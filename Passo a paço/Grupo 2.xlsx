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ites\Passo a Paço\Passo a paço\"/>
    </mc:Choice>
  </mc:AlternateContent>
  <xr:revisionPtr revIDLastSave="0" documentId="13_ncr:1_{CC0508C4-42C4-4D15-8144-521A0CA8BB20}" xr6:coauthVersionLast="47" xr6:coauthVersionMax="47" xr10:uidLastSave="{00000000-0000-0000-0000-000000000000}"/>
  <bookViews>
    <workbookView xWindow="28680" yWindow="-120" windowWidth="29040" windowHeight="15840" tabRatio="856" activeTab="14" xr2:uid="{C240BE87-05D5-447F-B1F0-2404202ACE54}"/>
  </bookViews>
  <sheets>
    <sheet name="011" sheetId="1" r:id="rId1"/>
    <sheet name="101" sheetId="2" r:id="rId2"/>
    <sheet name="110" sheetId="13" r:id="rId3"/>
    <sheet name="111" sheetId="11" r:id="rId4"/>
    <sheet name="112" sheetId="14" r:id="rId5"/>
    <sheet name="113" sheetId="3" r:id="rId6"/>
    <sheet name="119" sheetId="15" r:id="rId7"/>
    <sheet name="120" sheetId="4" r:id="rId8"/>
    <sheet name="121" sheetId="5" r:id="rId9"/>
    <sheet name="123" sheetId="16" r:id="rId10"/>
    <sheet name="126" sheetId="6" r:id="rId11"/>
    <sheet name="127" sheetId="17" r:id="rId12"/>
    <sheet name="129" sheetId="18" r:id="rId13"/>
    <sheet name="211" sheetId="19" r:id="rId14"/>
    <sheet name="216" sheetId="25" r:id="rId15"/>
    <sheet name="219" sheetId="24" r:id="rId16"/>
    <sheet name="221" sheetId="22" r:id="rId17"/>
    <sheet name="302" sheetId="7" r:id="rId18"/>
    <sheet name="305" sheetId="8" r:id="rId19"/>
    <sheet name="306" sheetId="20" r:id="rId20"/>
    <sheet name="320" sheetId="9" r:id="rId21"/>
    <sheet name="321" sheetId="10" r:id="rId22"/>
    <sheet name="324" sheetId="2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25" l="1"/>
  <c r="G48" i="25"/>
  <c r="M47" i="25"/>
  <c r="G47" i="25"/>
  <c r="L46" i="25"/>
  <c r="J46" i="25"/>
  <c r="F46" i="25"/>
  <c r="D46" i="25"/>
  <c r="M45" i="25"/>
  <c r="G45" i="25"/>
  <c r="M44" i="25"/>
  <c r="G44" i="25"/>
  <c r="M43" i="25"/>
  <c r="G43" i="25"/>
  <c r="S42" i="25"/>
  <c r="Q42" i="25"/>
  <c r="S41" i="25"/>
  <c r="Q41" i="25"/>
  <c r="S40" i="25"/>
  <c r="Q40" i="25"/>
  <c r="S39" i="25"/>
  <c r="Q39" i="25"/>
  <c r="S38" i="25"/>
  <c r="Q38" i="25"/>
  <c r="S37" i="25"/>
  <c r="Q37" i="25"/>
  <c r="M37" i="25"/>
  <c r="G37" i="25"/>
  <c r="S36" i="25"/>
  <c r="Q36" i="25"/>
  <c r="M36" i="25"/>
  <c r="G36" i="25"/>
  <c r="S35" i="25"/>
  <c r="Q35" i="25"/>
  <c r="M35" i="25"/>
  <c r="F35" i="25"/>
  <c r="H35" i="25" s="1"/>
  <c r="D35" i="25"/>
  <c r="S34" i="25"/>
  <c r="Q34" i="25"/>
  <c r="L34" i="25"/>
  <c r="J34" i="25"/>
  <c r="G34" i="25"/>
  <c r="S33" i="25"/>
  <c r="M33" i="25"/>
  <c r="G33" i="25"/>
  <c r="M32" i="25"/>
  <c r="G32" i="25"/>
  <c r="P31" i="25"/>
  <c r="N34" i="25" l="1"/>
  <c r="N39" i="25"/>
  <c r="J39" i="25"/>
  <c r="D39" i="25"/>
  <c r="H39" i="25"/>
  <c r="H46" i="25"/>
  <c r="H50" i="25" s="1"/>
  <c r="N46" i="25"/>
  <c r="N50" i="25" s="1"/>
  <c r="J50" i="25" l="1"/>
  <c r="D50" i="25"/>
  <c r="P5" i="25"/>
  <c r="G6" i="25"/>
  <c r="M6" i="25"/>
  <c r="G7" i="25"/>
  <c r="M7" i="25"/>
  <c r="S7" i="25"/>
  <c r="G8" i="25"/>
  <c r="J8" i="25"/>
  <c r="L8" i="25"/>
  <c r="N8" i="25" s="1"/>
  <c r="Q8" i="25"/>
  <c r="S8" i="25"/>
  <c r="D9" i="25"/>
  <c r="F9" i="25"/>
  <c r="M9" i="25"/>
  <c r="Q9" i="25"/>
  <c r="S9" i="25"/>
  <c r="G10" i="25"/>
  <c r="M10" i="25"/>
  <c r="Q10" i="25"/>
  <c r="S10" i="25"/>
  <c r="G11" i="25"/>
  <c r="M11" i="25"/>
  <c r="Q11" i="25"/>
  <c r="S11" i="25"/>
  <c r="Q12" i="25"/>
  <c r="S12" i="25"/>
  <c r="Q13" i="25"/>
  <c r="S13" i="25"/>
  <c r="Q14" i="25"/>
  <c r="S14" i="25"/>
  <c r="Q15" i="25"/>
  <c r="S15" i="25"/>
  <c r="Q16" i="25"/>
  <c r="S16" i="25"/>
  <c r="G17" i="25"/>
  <c r="M17" i="25"/>
  <c r="G18" i="25"/>
  <c r="M18" i="25"/>
  <c r="G19" i="25"/>
  <c r="M19" i="25"/>
  <c r="D20" i="25"/>
  <c r="F20" i="25"/>
  <c r="J20" i="25"/>
  <c r="L20" i="25"/>
  <c r="N20" i="25" s="1"/>
  <c r="G21" i="25"/>
  <c r="M21" i="25"/>
  <c r="G22" i="25"/>
  <c r="M22" i="25"/>
  <c r="N13" i="25" l="1"/>
  <c r="J13" i="25"/>
  <c r="J24" i="25"/>
  <c r="N24" i="25"/>
  <c r="D24" i="25"/>
  <c r="H9" i="25"/>
  <c r="H13" i="25" s="1"/>
  <c r="H20" i="25"/>
  <c r="H24" i="25" s="1"/>
  <c r="M74" i="25"/>
  <c r="G74" i="25"/>
  <c r="M73" i="25"/>
  <c r="G73" i="25"/>
  <c r="L72" i="25"/>
  <c r="J72" i="25"/>
  <c r="F72" i="25"/>
  <c r="D72" i="25"/>
  <c r="M71" i="25"/>
  <c r="G71" i="25"/>
  <c r="M70" i="25"/>
  <c r="G70" i="25"/>
  <c r="M69" i="25"/>
  <c r="G69" i="25"/>
  <c r="S68" i="25"/>
  <c r="Q68" i="25"/>
  <c r="S67" i="25"/>
  <c r="Q67" i="25"/>
  <c r="S66" i="25"/>
  <c r="Q66" i="25"/>
  <c r="S65" i="25"/>
  <c r="Q65" i="25"/>
  <c r="S64" i="25"/>
  <c r="Q64" i="25"/>
  <c r="S63" i="25"/>
  <c r="Q63" i="25"/>
  <c r="M63" i="25"/>
  <c r="G63" i="25"/>
  <c r="S62" i="25"/>
  <c r="Q62" i="25"/>
  <c r="M62" i="25"/>
  <c r="G62" i="25"/>
  <c r="S61" i="25"/>
  <c r="Q61" i="25"/>
  <c r="M61" i="25"/>
  <c r="F61" i="25"/>
  <c r="D61" i="25"/>
  <c r="S60" i="25"/>
  <c r="Q60" i="25"/>
  <c r="L60" i="25"/>
  <c r="J60" i="25"/>
  <c r="G60" i="25"/>
  <c r="S59" i="25"/>
  <c r="M59" i="25"/>
  <c r="G59" i="25"/>
  <c r="M58" i="25"/>
  <c r="G58" i="25"/>
  <c r="P57" i="25"/>
  <c r="H61" i="25" l="1"/>
  <c r="N60" i="25"/>
  <c r="D13" i="25"/>
  <c r="N65" i="25"/>
  <c r="J65" i="25"/>
  <c r="H65" i="25"/>
  <c r="D65" i="25"/>
  <c r="H72" i="25"/>
  <c r="H76" i="25" s="1"/>
  <c r="N72" i="25"/>
  <c r="N76" i="25" s="1"/>
  <c r="D76" i="25" l="1"/>
  <c r="J76" i="25"/>
  <c r="S79" i="24"/>
  <c r="M79" i="24"/>
  <c r="S78" i="24"/>
  <c r="M78" i="24"/>
  <c r="G78" i="24"/>
  <c r="Y77" i="24"/>
  <c r="W77" i="24"/>
  <c r="S77" i="24"/>
  <c r="L77" i="24"/>
  <c r="J77" i="24"/>
  <c r="F77" i="24"/>
  <c r="H77" i="24" s="1"/>
  <c r="D77" i="24"/>
  <c r="Y76" i="24"/>
  <c r="W76" i="24"/>
  <c r="S76" i="24"/>
  <c r="M76" i="24"/>
  <c r="G76" i="24"/>
  <c r="Y75" i="24"/>
  <c r="W75" i="24"/>
  <c r="R75" i="24"/>
  <c r="P75" i="24"/>
  <c r="M75" i="24"/>
  <c r="G75" i="24"/>
  <c r="Y74" i="24"/>
  <c r="W74" i="24"/>
  <c r="S74" i="24"/>
  <c r="M74" i="24"/>
  <c r="G74" i="24"/>
  <c r="Y73" i="24"/>
  <c r="W73" i="24"/>
  <c r="S73" i="24"/>
  <c r="M73" i="24"/>
  <c r="G73" i="24"/>
  <c r="Y72" i="24"/>
  <c r="W72" i="24"/>
  <c r="Y71" i="24"/>
  <c r="W71" i="24"/>
  <c r="Y70" i="24"/>
  <c r="W70" i="24"/>
  <c r="Y69" i="24"/>
  <c r="W69" i="24"/>
  <c r="Y68" i="24"/>
  <c r="W68" i="24"/>
  <c r="Y67" i="24"/>
  <c r="W67" i="24"/>
  <c r="S67" i="24"/>
  <c r="M67" i="24"/>
  <c r="G67" i="24"/>
  <c r="Y66" i="24"/>
  <c r="W66" i="24"/>
  <c r="S66" i="24"/>
  <c r="M66" i="24"/>
  <c r="G66" i="24"/>
  <c r="Y65" i="24"/>
  <c r="W65" i="24"/>
  <c r="S65" i="24"/>
  <c r="L65" i="24"/>
  <c r="J65" i="24"/>
  <c r="N65" i="24" s="1"/>
  <c r="G65" i="24"/>
  <c r="Y64" i="24"/>
  <c r="W64" i="24"/>
  <c r="R64" i="24"/>
  <c r="P64" i="24"/>
  <c r="M64" i="24"/>
  <c r="F64" i="24"/>
  <c r="H64" i="24" s="1"/>
  <c r="H69" i="24" s="1"/>
  <c r="D64" i="24"/>
  <c r="Y63" i="24"/>
  <c r="W63" i="24"/>
  <c r="S63" i="24"/>
  <c r="M63" i="24"/>
  <c r="G63" i="24"/>
  <c r="Y62" i="24"/>
  <c r="S62" i="24"/>
  <c r="M62" i="24"/>
  <c r="G62" i="24"/>
  <c r="V60" i="24"/>
  <c r="S51" i="24"/>
  <c r="M51" i="24"/>
  <c r="S50" i="24"/>
  <c r="M50" i="24"/>
  <c r="G50" i="24"/>
  <c r="Y49" i="24"/>
  <c r="W49" i="24"/>
  <c r="S49" i="24"/>
  <c r="L49" i="24"/>
  <c r="J49" i="24"/>
  <c r="H49" i="24"/>
  <c r="H53" i="24" s="1"/>
  <c r="F49" i="24"/>
  <c r="D49" i="24"/>
  <c r="Y48" i="24"/>
  <c r="W48" i="24"/>
  <c r="S48" i="24"/>
  <c r="M48" i="24"/>
  <c r="G48" i="24"/>
  <c r="Y47" i="24"/>
  <c r="W47" i="24"/>
  <c r="R47" i="24"/>
  <c r="T47" i="24" s="1"/>
  <c r="P47" i="24"/>
  <c r="M47" i="24"/>
  <c r="G47" i="24"/>
  <c r="Y46" i="24"/>
  <c r="W46" i="24"/>
  <c r="S46" i="24"/>
  <c r="M46" i="24"/>
  <c r="G46" i="24"/>
  <c r="Y45" i="24"/>
  <c r="W45" i="24"/>
  <c r="S45" i="24"/>
  <c r="M45" i="24"/>
  <c r="G45" i="24"/>
  <c r="Y44" i="24"/>
  <c r="W44" i="24"/>
  <c r="Y43" i="24"/>
  <c r="W43" i="24"/>
  <c r="Y42" i="24"/>
  <c r="W42" i="24"/>
  <c r="Y41" i="24"/>
  <c r="W41" i="24"/>
  <c r="Y40" i="24"/>
  <c r="W40" i="24"/>
  <c r="Y39" i="24"/>
  <c r="W39" i="24"/>
  <c r="S39" i="24"/>
  <c r="M39" i="24"/>
  <c r="G39" i="24"/>
  <c r="Y38" i="24"/>
  <c r="W38" i="24"/>
  <c r="S38" i="24"/>
  <c r="M38" i="24"/>
  <c r="G38" i="24"/>
  <c r="Y37" i="24"/>
  <c r="W37" i="24"/>
  <c r="S37" i="24"/>
  <c r="N37" i="24"/>
  <c r="N41" i="24" s="1"/>
  <c r="L37" i="24"/>
  <c r="J41" i="24" s="1"/>
  <c r="J37" i="24"/>
  <c r="G37" i="24"/>
  <c r="Y36" i="24"/>
  <c r="W36" i="24"/>
  <c r="R36" i="24"/>
  <c r="P36" i="24"/>
  <c r="M36" i="24"/>
  <c r="H36" i="24"/>
  <c r="H41" i="24" s="1"/>
  <c r="F36" i="24"/>
  <c r="D36" i="24"/>
  <c r="Y35" i="24"/>
  <c r="W35" i="24"/>
  <c r="S35" i="24"/>
  <c r="M35" i="24"/>
  <c r="G35" i="24"/>
  <c r="Y34" i="24"/>
  <c r="S34" i="24"/>
  <c r="M34" i="24"/>
  <c r="G34" i="24"/>
  <c r="V32" i="24"/>
  <c r="S23" i="24"/>
  <c r="M23" i="24"/>
  <c r="S22" i="24"/>
  <c r="M22" i="24"/>
  <c r="G22" i="24"/>
  <c r="Y21" i="24"/>
  <c r="W21" i="24"/>
  <c r="S21" i="24"/>
  <c r="L21" i="24"/>
  <c r="N21" i="24" s="1"/>
  <c r="J21" i="24"/>
  <c r="F21" i="24"/>
  <c r="D21" i="24"/>
  <c r="Y20" i="24"/>
  <c r="W20" i="24"/>
  <c r="S20" i="24"/>
  <c r="M20" i="24"/>
  <c r="G20" i="24"/>
  <c r="Y19" i="24"/>
  <c r="W19" i="24"/>
  <c r="R19" i="24"/>
  <c r="P19" i="24"/>
  <c r="T19" i="24" s="1"/>
  <c r="M19" i="24"/>
  <c r="G19" i="24"/>
  <c r="Y18" i="24"/>
  <c r="W18" i="24"/>
  <c r="S18" i="24"/>
  <c r="M18" i="24"/>
  <c r="G18" i="24"/>
  <c r="Y17" i="24"/>
  <c r="W17" i="24"/>
  <c r="S17" i="24"/>
  <c r="M17" i="24"/>
  <c r="G17" i="24"/>
  <c r="Y16" i="24"/>
  <c r="W16" i="24"/>
  <c r="Y15" i="24"/>
  <c r="W15" i="24"/>
  <c r="Y14" i="24"/>
  <c r="W14" i="24"/>
  <c r="Y13" i="24"/>
  <c r="W13" i="24"/>
  <c r="Y12" i="24"/>
  <c r="W12" i="24"/>
  <c r="Y11" i="24"/>
  <c r="W11" i="24"/>
  <c r="S11" i="24"/>
  <c r="M11" i="24"/>
  <c r="G11" i="24"/>
  <c r="Y10" i="24"/>
  <c r="W10" i="24"/>
  <c r="S10" i="24"/>
  <c r="M10" i="24"/>
  <c r="G10" i="24"/>
  <c r="Y9" i="24"/>
  <c r="W9" i="24"/>
  <c r="S9" i="24"/>
  <c r="L9" i="24"/>
  <c r="J9" i="24"/>
  <c r="N9" i="24" s="1"/>
  <c r="G9" i="24"/>
  <c r="Y8" i="24"/>
  <c r="W8" i="24"/>
  <c r="R8" i="24"/>
  <c r="T8" i="24" s="1"/>
  <c r="P8" i="24"/>
  <c r="M8" i="24"/>
  <c r="F8" i="24"/>
  <c r="D8" i="24"/>
  <c r="Y7" i="24"/>
  <c r="W7" i="24"/>
  <c r="S7" i="24"/>
  <c r="M7" i="24"/>
  <c r="G7" i="24"/>
  <c r="Y6" i="24"/>
  <c r="S6" i="24"/>
  <c r="M6" i="24"/>
  <c r="G6" i="24"/>
  <c r="V4" i="24"/>
  <c r="M22" i="22"/>
  <c r="G22" i="22"/>
  <c r="M21" i="22"/>
  <c r="G21" i="22"/>
  <c r="L20" i="22"/>
  <c r="J20" i="22"/>
  <c r="F20" i="22"/>
  <c r="D20" i="22"/>
  <c r="M19" i="22"/>
  <c r="G19" i="22"/>
  <c r="W18" i="22"/>
  <c r="M18" i="22"/>
  <c r="G18" i="22"/>
  <c r="Y17" i="22"/>
  <c r="W17" i="22"/>
  <c r="M17" i="22"/>
  <c r="G17" i="22"/>
  <c r="Y16" i="22"/>
  <c r="W16" i="22"/>
  <c r="Y15" i="22"/>
  <c r="W15" i="22"/>
  <c r="Y14" i="22"/>
  <c r="W14" i="22"/>
  <c r="Y13" i="22"/>
  <c r="W13" i="22"/>
  <c r="Y12" i="22"/>
  <c r="W12" i="22"/>
  <c r="Y11" i="22"/>
  <c r="W11" i="22"/>
  <c r="S11" i="22"/>
  <c r="M11" i="22"/>
  <c r="G11" i="22"/>
  <c r="Y10" i="22"/>
  <c r="W10" i="22"/>
  <c r="S10" i="22"/>
  <c r="M10" i="22"/>
  <c r="G10" i="22"/>
  <c r="Y9" i="22"/>
  <c r="W9" i="22"/>
  <c r="R9" i="22"/>
  <c r="P9" i="22"/>
  <c r="L9" i="22"/>
  <c r="J9" i="22"/>
  <c r="N9" i="22" s="1"/>
  <c r="N13" i="22" s="1"/>
  <c r="G9" i="22"/>
  <c r="Y8" i="22"/>
  <c r="W8" i="22"/>
  <c r="S8" i="22"/>
  <c r="M8" i="22"/>
  <c r="F8" i="22"/>
  <c r="D8" i="22"/>
  <c r="Y7" i="22"/>
  <c r="W7" i="22"/>
  <c r="S7" i="22"/>
  <c r="M7" i="22"/>
  <c r="G7" i="22"/>
  <c r="Y6" i="22"/>
  <c r="S6" i="22"/>
  <c r="M6" i="22"/>
  <c r="G6" i="22"/>
  <c r="V4" i="22"/>
  <c r="H81" i="24" l="1"/>
  <c r="D81" i="24"/>
  <c r="N69" i="24"/>
  <c r="J69" i="24"/>
  <c r="D13" i="24"/>
  <c r="N13" i="24"/>
  <c r="J13" i="24"/>
  <c r="P25" i="24"/>
  <c r="T25" i="24"/>
  <c r="D25" i="24"/>
  <c r="N25" i="24"/>
  <c r="J25" i="24"/>
  <c r="T13" i="24"/>
  <c r="P13" i="24"/>
  <c r="T53" i="24"/>
  <c r="P53" i="24"/>
  <c r="H21" i="24"/>
  <c r="H25" i="24" s="1"/>
  <c r="N77" i="24"/>
  <c r="N81" i="24" s="1"/>
  <c r="T36" i="24"/>
  <c r="T41" i="24" s="1"/>
  <c r="H8" i="24"/>
  <c r="H13" i="24" s="1"/>
  <c r="D69" i="24"/>
  <c r="T64" i="24"/>
  <c r="T69" i="24" s="1"/>
  <c r="T75" i="24"/>
  <c r="T81" i="24" s="1"/>
  <c r="D41" i="24"/>
  <c r="N49" i="24"/>
  <c r="N53" i="24" s="1"/>
  <c r="D53" i="24"/>
  <c r="J13" i="22"/>
  <c r="J24" i="22"/>
  <c r="D13" i="22"/>
  <c r="H8" i="22"/>
  <c r="H13" i="22" s="1"/>
  <c r="H20" i="22"/>
  <c r="H24" i="22" s="1"/>
  <c r="N20" i="22"/>
  <c r="N24" i="22" s="1"/>
  <c r="T9" i="22"/>
  <c r="T13" i="22" s="1"/>
  <c r="J53" i="24" l="1"/>
  <c r="P41" i="24"/>
  <c r="J81" i="24"/>
  <c r="P81" i="24"/>
  <c r="P69" i="24"/>
  <c r="D24" i="22"/>
  <c r="P13" i="22"/>
  <c r="S20" i="21"/>
  <c r="R19" i="21"/>
  <c r="P19" i="21"/>
  <c r="M19" i="21"/>
  <c r="G19" i="21"/>
  <c r="S18" i="21"/>
  <c r="M18" i="21"/>
  <c r="F18" i="21"/>
  <c r="D18" i="21"/>
  <c r="S17" i="21"/>
  <c r="L17" i="21"/>
  <c r="N17" i="21" s="1"/>
  <c r="N22" i="21" s="1"/>
  <c r="J17" i="21"/>
  <c r="G17" i="21"/>
  <c r="Y16" i="21"/>
  <c r="W16" i="21"/>
  <c r="S16" i="21"/>
  <c r="M16" i="21"/>
  <c r="G16" i="21"/>
  <c r="Y15" i="21"/>
  <c r="W15" i="21"/>
  <c r="Y14" i="21"/>
  <c r="W14" i="21"/>
  <c r="Y13" i="21"/>
  <c r="W13" i="21"/>
  <c r="Y12" i="21"/>
  <c r="W12" i="21"/>
  <c r="Y11" i="21"/>
  <c r="W11" i="21"/>
  <c r="Y10" i="21"/>
  <c r="W10" i="21"/>
  <c r="S10" i="21"/>
  <c r="M10" i="21"/>
  <c r="G10" i="21"/>
  <c r="Y9" i="21"/>
  <c r="W9" i="21"/>
  <c r="R9" i="21"/>
  <c r="T9" i="21" s="1"/>
  <c r="T12" i="21" s="1"/>
  <c r="P9" i="21"/>
  <c r="L9" i="21"/>
  <c r="N9" i="21" s="1"/>
  <c r="N12" i="21" s="1"/>
  <c r="J9" i="21"/>
  <c r="H9" i="21"/>
  <c r="H12" i="21" s="1"/>
  <c r="F9" i="21"/>
  <c r="D9" i="21"/>
  <c r="Y8" i="21"/>
  <c r="W8" i="21"/>
  <c r="S8" i="21"/>
  <c r="M8" i="21"/>
  <c r="G8" i="21"/>
  <c r="Y7" i="21"/>
  <c r="W7" i="21"/>
  <c r="S7" i="21"/>
  <c r="M7" i="21"/>
  <c r="G7" i="21"/>
  <c r="Y6" i="21"/>
  <c r="S6" i="21"/>
  <c r="M6" i="21"/>
  <c r="G6" i="21"/>
  <c r="V4" i="21"/>
  <c r="S20" i="20"/>
  <c r="M20" i="20"/>
  <c r="G20" i="20"/>
  <c r="R19" i="20"/>
  <c r="P19" i="20"/>
  <c r="L19" i="20"/>
  <c r="J19" i="20"/>
  <c r="H19" i="20"/>
  <c r="H23" i="20" s="1"/>
  <c r="F19" i="20"/>
  <c r="D23" i="20" s="1"/>
  <c r="D19" i="20"/>
  <c r="S18" i="20"/>
  <c r="M18" i="20"/>
  <c r="G18" i="20"/>
  <c r="S17" i="20"/>
  <c r="M17" i="20"/>
  <c r="G17" i="20"/>
  <c r="W16" i="20"/>
  <c r="S16" i="20"/>
  <c r="M16" i="20"/>
  <c r="G16" i="20"/>
  <c r="Y15" i="20"/>
  <c r="W15" i="20"/>
  <c r="Y14" i="20"/>
  <c r="W14" i="20"/>
  <c r="Y13" i="20"/>
  <c r="W13" i="20"/>
  <c r="Y12" i="20"/>
  <c r="W12" i="20"/>
  <c r="Y11" i="20"/>
  <c r="W11" i="20"/>
  <c r="Y10" i="20"/>
  <c r="W10" i="20"/>
  <c r="Y9" i="20"/>
  <c r="W9" i="20"/>
  <c r="S9" i="20"/>
  <c r="M9" i="20"/>
  <c r="G9" i="20"/>
  <c r="Y8" i="20"/>
  <c r="W8" i="20"/>
  <c r="R8" i="20"/>
  <c r="P8" i="20"/>
  <c r="N8" i="20"/>
  <c r="N12" i="20" s="1"/>
  <c r="L8" i="20"/>
  <c r="J12" i="20" s="1"/>
  <c r="J8" i="20"/>
  <c r="F8" i="20"/>
  <c r="D8" i="20"/>
  <c r="Y7" i="20"/>
  <c r="W7" i="20"/>
  <c r="S7" i="20"/>
  <c r="M7" i="20"/>
  <c r="G7" i="20"/>
  <c r="Y6" i="20"/>
  <c r="S6" i="20"/>
  <c r="M6" i="20"/>
  <c r="G6" i="20"/>
  <c r="V4" i="20"/>
  <c r="S21" i="19"/>
  <c r="M21" i="19"/>
  <c r="G21" i="19"/>
  <c r="R20" i="19"/>
  <c r="P20" i="19"/>
  <c r="L20" i="19"/>
  <c r="J20" i="19"/>
  <c r="H20" i="19"/>
  <c r="H23" i="19" s="1"/>
  <c r="F20" i="19"/>
  <c r="D20" i="19"/>
  <c r="S19" i="19"/>
  <c r="M19" i="19"/>
  <c r="G19" i="19"/>
  <c r="S18" i="19"/>
  <c r="M18" i="19"/>
  <c r="G18" i="19"/>
  <c r="Y17" i="19"/>
  <c r="W17" i="19"/>
  <c r="S17" i="19"/>
  <c r="M17" i="19"/>
  <c r="G17" i="19"/>
  <c r="Y16" i="19"/>
  <c r="W16" i="19"/>
  <c r="Y15" i="19"/>
  <c r="W15" i="19"/>
  <c r="Y14" i="19"/>
  <c r="W14" i="19"/>
  <c r="Y13" i="19"/>
  <c r="W13" i="19"/>
  <c r="Y12" i="19"/>
  <c r="W12" i="19"/>
  <c r="Y11" i="19"/>
  <c r="W11" i="19"/>
  <c r="Y10" i="19"/>
  <c r="W10" i="19"/>
  <c r="S10" i="19"/>
  <c r="M10" i="19"/>
  <c r="G10" i="19"/>
  <c r="Y9" i="19"/>
  <c r="W9" i="19"/>
  <c r="R9" i="19"/>
  <c r="P9" i="19"/>
  <c r="T9" i="19" s="1"/>
  <c r="T13" i="19" s="1"/>
  <c r="M9" i="19"/>
  <c r="F9" i="19"/>
  <c r="D9" i="19"/>
  <c r="Y8" i="19"/>
  <c r="W8" i="19"/>
  <c r="S8" i="19"/>
  <c r="L8" i="19"/>
  <c r="N8" i="19" s="1"/>
  <c r="J8" i="19"/>
  <c r="G8" i="19"/>
  <c r="Y7" i="19"/>
  <c r="W7" i="19"/>
  <c r="S7" i="19"/>
  <c r="M7" i="19"/>
  <c r="G7" i="19"/>
  <c r="Y6" i="19"/>
  <c r="S6" i="19"/>
  <c r="M6" i="19"/>
  <c r="G6" i="19"/>
  <c r="V4" i="19"/>
  <c r="S20" i="18"/>
  <c r="M20" i="18"/>
  <c r="G20" i="18"/>
  <c r="R19" i="18"/>
  <c r="P19" i="18"/>
  <c r="L19" i="18"/>
  <c r="J19" i="18"/>
  <c r="H19" i="18"/>
  <c r="H22" i="18" s="1"/>
  <c r="F19" i="18"/>
  <c r="D19" i="18"/>
  <c r="S18" i="18"/>
  <c r="M18" i="18"/>
  <c r="G18" i="18"/>
  <c r="S17" i="18"/>
  <c r="M17" i="18"/>
  <c r="G17" i="18"/>
  <c r="Y16" i="18"/>
  <c r="W16" i="18"/>
  <c r="S16" i="18"/>
  <c r="M16" i="18"/>
  <c r="G16" i="18"/>
  <c r="Y15" i="18"/>
  <c r="W15" i="18"/>
  <c r="Y14" i="18"/>
  <c r="W14" i="18"/>
  <c r="Y13" i="18"/>
  <c r="W13" i="18"/>
  <c r="Y12" i="18"/>
  <c r="W12" i="18"/>
  <c r="Y11" i="18"/>
  <c r="W11" i="18"/>
  <c r="Y10" i="18"/>
  <c r="W10" i="18"/>
  <c r="S10" i="18"/>
  <c r="M10" i="18"/>
  <c r="G10" i="18"/>
  <c r="Y9" i="18"/>
  <c r="W9" i="18"/>
  <c r="S9" i="18"/>
  <c r="N9" i="18"/>
  <c r="N12" i="18" s="1"/>
  <c r="L9" i="18"/>
  <c r="J9" i="18"/>
  <c r="G9" i="18"/>
  <c r="Y8" i="18"/>
  <c r="W8" i="18"/>
  <c r="R8" i="18"/>
  <c r="P8" i="18"/>
  <c r="M8" i="18"/>
  <c r="H8" i="18"/>
  <c r="H12" i="18" s="1"/>
  <c r="F8" i="18"/>
  <c r="D8" i="18"/>
  <c r="Y7" i="18"/>
  <c r="W7" i="18"/>
  <c r="S7" i="18"/>
  <c r="M7" i="18"/>
  <c r="G7" i="18"/>
  <c r="Y6" i="18"/>
  <c r="W6" i="18"/>
  <c r="S6" i="18"/>
  <c r="M6" i="18"/>
  <c r="G6" i="18"/>
  <c r="Y5" i="18"/>
  <c r="F21" i="17"/>
  <c r="D21" i="17"/>
  <c r="L20" i="17"/>
  <c r="J20" i="17"/>
  <c r="W17" i="17"/>
  <c r="Y16" i="17"/>
  <c r="W16" i="17"/>
  <c r="Y15" i="17"/>
  <c r="W15" i="17"/>
  <c r="Y14" i="17"/>
  <c r="W14" i="17"/>
  <c r="Y13" i="17"/>
  <c r="W13" i="17"/>
  <c r="Y12" i="17"/>
  <c r="W12" i="17"/>
  <c r="Y11" i="17"/>
  <c r="W11" i="17"/>
  <c r="Y10" i="17"/>
  <c r="W10" i="17"/>
  <c r="Y9" i="17"/>
  <c r="W9" i="17"/>
  <c r="R9" i="17"/>
  <c r="T9" i="17" s="1"/>
  <c r="T14" i="17" s="1"/>
  <c r="P9" i="17"/>
  <c r="L9" i="17"/>
  <c r="J9" i="17"/>
  <c r="F9" i="17"/>
  <c r="D9" i="17"/>
  <c r="Y8" i="17"/>
  <c r="W8" i="17"/>
  <c r="Y7" i="17"/>
  <c r="W7" i="17"/>
  <c r="Y6" i="17"/>
  <c r="V4" i="17"/>
  <c r="M19" i="16"/>
  <c r="G19" i="16"/>
  <c r="M18" i="16"/>
  <c r="G18" i="16"/>
  <c r="L17" i="16"/>
  <c r="J17" i="16"/>
  <c r="F17" i="16"/>
  <c r="D17" i="16"/>
  <c r="M16" i="16"/>
  <c r="G16" i="16"/>
  <c r="M15" i="16"/>
  <c r="G15" i="16"/>
  <c r="S12" i="16"/>
  <c r="Q12" i="16"/>
  <c r="S11" i="16"/>
  <c r="Q11" i="16"/>
  <c r="S10" i="16"/>
  <c r="Q10" i="16"/>
  <c r="S9" i="16"/>
  <c r="Q9" i="16"/>
  <c r="M9" i="16"/>
  <c r="G9" i="16"/>
  <c r="S8" i="16"/>
  <c r="Q8" i="16"/>
  <c r="L8" i="16"/>
  <c r="N8" i="16" s="1"/>
  <c r="J8" i="16"/>
  <c r="F8" i="16"/>
  <c r="H8" i="16" s="1"/>
  <c r="H11" i="16" s="1"/>
  <c r="D8" i="16"/>
  <c r="S7" i="16"/>
  <c r="Q7" i="16"/>
  <c r="M7" i="16"/>
  <c r="G7" i="16"/>
  <c r="S6" i="16"/>
  <c r="M6" i="16"/>
  <c r="G6" i="16"/>
  <c r="P4" i="16"/>
  <c r="M21" i="15"/>
  <c r="G21" i="15"/>
  <c r="L20" i="15"/>
  <c r="J20" i="15"/>
  <c r="F20" i="15"/>
  <c r="D20" i="15"/>
  <c r="M19" i="15"/>
  <c r="G19" i="15"/>
  <c r="M18" i="15"/>
  <c r="G18" i="15"/>
  <c r="M17" i="15"/>
  <c r="G17" i="15"/>
  <c r="S14" i="15"/>
  <c r="Q14" i="15"/>
  <c r="S13" i="15"/>
  <c r="Q13" i="15"/>
  <c r="S12" i="15"/>
  <c r="Q12" i="15"/>
  <c r="S11" i="15"/>
  <c r="Q11" i="15"/>
  <c r="M11" i="15"/>
  <c r="G11" i="15"/>
  <c r="S10" i="15"/>
  <c r="Q10" i="15"/>
  <c r="M10" i="15"/>
  <c r="G10" i="15"/>
  <c r="S9" i="15"/>
  <c r="Q9" i="15"/>
  <c r="M9" i="15"/>
  <c r="F9" i="15"/>
  <c r="H9" i="15" s="1"/>
  <c r="H13" i="15" s="1"/>
  <c r="D9" i="15"/>
  <c r="S8" i="15"/>
  <c r="Q8" i="15"/>
  <c r="L8" i="15"/>
  <c r="J8" i="15"/>
  <c r="G8" i="15"/>
  <c r="S7" i="15"/>
  <c r="Q7" i="15"/>
  <c r="M7" i="15"/>
  <c r="G7" i="15"/>
  <c r="S6" i="15"/>
  <c r="M6" i="15"/>
  <c r="G6" i="15"/>
  <c r="P4" i="15"/>
  <c r="G30" i="14"/>
  <c r="G29" i="14"/>
  <c r="G28" i="14"/>
  <c r="G27" i="14"/>
  <c r="G26" i="14"/>
  <c r="G25" i="14"/>
  <c r="G24" i="14"/>
  <c r="G23" i="14"/>
  <c r="F22" i="14"/>
  <c r="D22" i="14"/>
  <c r="G21" i="14"/>
  <c r="M15" i="14"/>
  <c r="K15" i="14"/>
  <c r="G15" i="14"/>
  <c r="M14" i="14"/>
  <c r="K14" i="14"/>
  <c r="G14" i="14"/>
  <c r="M13" i="14"/>
  <c r="K13" i="14"/>
  <c r="G13" i="14"/>
  <c r="M12" i="14"/>
  <c r="K12" i="14"/>
  <c r="F12" i="14"/>
  <c r="H12" i="14" s="1"/>
  <c r="D12" i="14"/>
  <c r="M11" i="14"/>
  <c r="K11" i="14"/>
  <c r="G11" i="14"/>
  <c r="M10" i="14"/>
  <c r="K10" i="14"/>
  <c r="G10" i="14"/>
  <c r="M9" i="14"/>
  <c r="K9" i="14"/>
  <c r="G9" i="14"/>
  <c r="M8" i="14"/>
  <c r="K8" i="14"/>
  <c r="G8" i="14"/>
  <c r="M7" i="14"/>
  <c r="G7" i="14"/>
  <c r="G6" i="14"/>
  <c r="J5" i="14"/>
  <c r="M20" i="13"/>
  <c r="G20" i="13"/>
  <c r="M19" i="13"/>
  <c r="F19" i="13"/>
  <c r="D19" i="13"/>
  <c r="N18" i="13"/>
  <c r="N23" i="13" s="1"/>
  <c r="L18" i="13"/>
  <c r="J23" i="13" s="1"/>
  <c r="J18" i="13"/>
  <c r="G18" i="13"/>
  <c r="M17" i="13"/>
  <c r="G17" i="13"/>
  <c r="M16" i="13"/>
  <c r="G16" i="13"/>
  <c r="S13" i="13"/>
  <c r="Q13" i="13"/>
  <c r="S12" i="13"/>
  <c r="Q12" i="13"/>
  <c r="S11" i="13"/>
  <c r="Q11" i="13"/>
  <c r="S10" i="13"/>
  <c r="Q10" i="13"/>
  <c r="M10" i="13"/>
  <c r="G10" i="13"/>
  <c r="S9" i="13"/>
  <c r="Q9" i="13"/>
  <c r="L9" i="13"/>
  <c r="N9" i="13" s="1"/>
  <c r="J9" i="13"/>
  <c r="F9" i="13"/>
  <c r="H9" i="13" s="1"/>
  <c r="D9" i="13"/>
  <c r="S8" i="13"/>
  <c r="Q8" i="13"/>
  <c r="M8" i="13"/>
  <c r="G8" i="13"/>
  <c r="S7" i="13"/>
  <c r="Q7" i="13"/>
  <c r="M7" i="13"/>
  <c r="G7" i="13"/>
  <c r="S6" i="13"/>
  <c r="M6" i="13"/>
  <c r="G6" i="13"/>
  <c r="P4" i="13"/>
  <c r="M27" i="11"/>
  <c r="M26" i="11"/>
  <c r="G26" i="11"/>
  <c r="L25" i="11"/>
  <c r="J25" i="11"/>
  <c r="F25" i="11"/>
  <c r="D25" i="11"/>
  <c r="M24" i="11"/>
  <c r="G24" i="11"/>
  <c r="M23" i="11"/>
  <c r="G23" i="11"/>
  <c r="M22" i="11"/>
  <c r="G22" i="11"/>
  <c r="M21" i="11"/>
  <c r="G21" i="11"/>
  <c r="M20" i="11"/>
  <c r="G20" i="11"/>
  <c r="S19" i="11"/>
  <c r="Q19" i="11"/>
  <c r="S18" i="11"/>
  <c r="Q18" i="11"/>
  <c r="S17" i="11"/>
  <c r="Q17" i="11"/>
  <c r="S16" i="11"/>
  <c r="Q16" i="11"/>
  <c r="S15" i="11"/>
  <c r="Q15" i="11"/>
  <c r="S14" i="11"/>
  <c r="Q14" i="11"/>
  <c r="G14" i="11"/>
  <c r="S13" i="11"/>
  <c r="Q13" i="11"/>
  <c r="M13" i="11"/>
  <c r="G13" i="11"/>
  <c r="S12" i="11"/>
  <c r="Q12" i="11"/>
  <c r="M12" i="11"/>
  <c r="G12" i="11"/>
  <c r="S11" i="11"/>
  <c r="Q11" i="11"/>
  <c r="M11" i="11"/>
  <c r="G11" i="11"/>
  <c r="S10" i="11"/>
  <c r="Q10" i="11"/>
  <c r="L10" i="11"/>
  <c r="J10" i="11"/>
  <c r="F10" i="11"/>
  <c r="D10" i="11"/>
  <c r="S9" i="11"/>
  <c r="Q9" i="11"/>
  <c r="M9" i="11"/>
  <c r="G9" i="11"/>
  <c r="S8" i="11"/>
  <c r="Q8" i="11"/>
  <c r="M8" i="11"/>
  <c r="G8" i="11"/>
  <c r="S7" i="11"/>
  <c r="Q7" i="11"/>
  <c r="M7" i="11"/>
  <c r="G7" i="11"/>
  <c r="S6" i="11"/>
  <c r="M6" i="11"/>
  <c r="G6" i="11"/>
  <c r="P4" i="11"/>
  <c r="S70" i="10"/>
  <c r="M70" i="10"/>
  <c r="S69" i="10"/>
  <c r="M69" i="10"/>
  <c r="G69" i="10"/>
  <c r="R68" i="10"/>
  <c r="P68" i="10"/>
  <c r="L68" i="10"/>
  <c r="J68" i="10"/>
  <c r="F68" i="10"/>
  <c r="H68" i="10" s="1"/>
  <c r="H72" i="10" s="1"/>
  <c r="D68" i="10"/>
  <c r="S67" i="10"/>
  <c r="M67" i="10"/>
  <c r="G67" i="10"/>
  <c r="Y66" i="10"/>
  <c r="W66" i="10"/>
  <c r="S66" i="10"/>
  <c r="M66" i="10"/>
  <c r="G66" i="10"/>
  <c r="Y65" i="10"/>
  <c r="W65" i="10"/>
  <c r="Y64" i="10"/>
  <c r="W64" i="10"/>
  <c r="Y63" i="10"/>
  <c r="W63" i="10"/>
  <c r="Y62" i="10"/>
  <c r="W62" i="10"/>
  <c r="Y61" i="10"/>
  <c r="W61" i="10"/>
  <c r="Y60" i="10"/>
  <c r="W60" i="10"/>
  <c r="S60" i="10"/>
  <c r="M60" i="10"/>
  <c r="Y59" i="10"/>
  <c r="W59" i="10"/>
  <c r="S59" i="10"/>
  <c r="M59" i="10"/>
  <c r="G59" i="10"/>
  <c r="Y58" i="10"/>
  <c r="W58" i="10"/>
  <c r="S58" i="10"/>
  <c r="L58" i="10"/>
  <c r="J58" i="10"/>
  <c r="F58" i="10"/>
  <c r="D58" i="10"/>
  <c r="Y57" i="10"/>
  <c r="W57" i="10"/>
  <c r="R57" i="10"/>
  <c r="T57" i="10" s="1"/>
  <c r="P57" i="10"/>
  <c r="M57" i="10"/>
  <c r="G57" i="10"/>
  <c r="Y56" i="10"/>
  <c r="S56" i="10"/>
  <c r="M56" i="10"/>
  <c r="G56" i="10"/>
  <c r="V54" i="10"/>
  <c r="T47" i="10"/>
  <c r="P47" i="10"/>
  <c r="S45" i="10"/>
  <c r="M45" i="10"/>
  <c r="S44" i="10"/>
  <c r="M44" i="10"/>
  <c r="G44" i="10"/>
  <c r="T43" i="10"/>
  <c r="R43" i="10"/>
  <c r="P43" i="10"/>
  <c r="L43" i="10"/>
  <c r="N43" i="10" s="1"/>
  <c r="N47" i="10" s="1"/>
  <c r="J43" i="10"/>
  <c r="F43" i="10"/>
  <c r="D43" i="10"/>
  <c r="H43" i="10" s="1"/>
  <c r="S42" i="10"/>
  <c r="M42" i="10"/>
  <c r="G42" i="10"/>
  <c r="Y41" i="10"/>
  <c r="W41" i="10"/>
  <c r="S41" i="10"/>
  <c r="M41" i="10"/>
  <c r="G41" i="10"/>
  <c r="Y40" i="10"/>
  <c r="W40" i="10"/>
  <c r="Y39" i="10"/>
  <c r="W39" i="10"/>
  <c r="Y38" i="10"/>
  <c r="W38" i="10"/>
  <c r="Y37" i="10"/>
  <c r="W37" i="10"/>
  <c r="P37" i="10"/>
  <c r="Y36" i="10"/>
  <c r="W36" i="10"/>
  <c r="Y35" i="10"/>
  <c r="W35" i="10"/>
  <c r="S35" i="10"/>
  <c r="M35" i="10"/>
  <c r="Y34" i="10"/>
  <c r="W34" i="10"/>
  <c r="S34" i="10"/>
  <c r="M34" i="10"/>
  <c r="G34" i="10"/>
  <c r="Y33" i="10"/>
  <c r="W33" i="10"/>
  <c r="S33" i="10"/>
  <c r="L33" i="10"/>
  <c r="J33" i="10"/>
  <c r="H33" i="10"/>
  <c r="H37" i="10" s="1"/>
  <c r="F33" i="10"/>
  <c r="D37" i="10" s="1"/>
  <c r="D33" i="10"/>
  <c r="Y32" i="10"/>
  <c r="W32" i="10"/>
  <c r="T32" i="10"/>
  <c r="T37" i="10" s="1"/>
  <c r="R32" i="10"/>
  <c r="P32" i="10"/>
  <c r="M32" i="10"/>
  <c r="G32" i="10"/>
  <c r="Y31" i="10"/>
  <c r="S31" i="10"/>
  <c r="M31" i="10"/>
  <c r="G31" i="10"/>
  <c r="V29" i="10"/>
  <c r="D22" i="10"/>
  <c r="S20" i="10"/>
  <c r="M20" i="10"/>
  <c r="S19" i="10"/>
  <c r="M19" i="10"/>
  <c r="G19" i="10"/>
  <c r="T18" i="10"/>
  <c r="T22" i="10" s="1"/>
  <c r="R18" i="10"/>
  <c r="P18" i="10"/>
  <c r="L18" i="10"/>
  <c r="N18" i="10" s="1"/>
  <c r="N22" i="10" s="1"/>
  <c r="J18" i="10"/>
  <c r="H18" i="10"/>
  <c r="H22" i="10" s="1"/>
  <c r="F18" i="10"/>
  <c r="D18" i="10"/>
  <c r="S17" i="10"/>
  <c r="M17" i="10"/>
  <c r="G17" i="10"/>
  <c r="Y16" i="10"/>
  <c r="W16" i="10"/>
  <c r="S16" i="10"/>
  <c r="M16" i="10"/>
  <c r="G16" i="10"/>
  <c r="Y15" i="10"/>
  <c r="W15" i="10"/>
  <c r="Y14" i="10"/>
  <c r="W14" i="10"/>
  <c r="Y13" i="10"/>
  <c r="W13" i="10"/>
  <c r="Y12" i="10"/>
  <c r="W12" i="10"/>
  <c r="Y11" i="10"/>
  <c r="W11" i="10"/>
  <c r="Y10" i="10"/>
  <c r="W10" i="10"/>
  <c r="S10" i="10"/>
  <c r="M10" i="10"/>
  <c r="Y9" i="10"/>
  <c r="W9" i="10"/>
  <c r="S9" i="10"/>
  <c r="M9" i="10"/>
  <c r="G9" i="10"/>
  <c r="Y8" i="10"/>
  <c r="W8" i="10"/>
  <c r="S8" i="10"/>
  <c r="L8" i="10"/>
  <c r="J8" i="10"/>
  <c r="H8" i="10"/>
  <c r="H12" i="10" s="1"/>
  <c r="F8" i="10"/>
  <c r="D8" i="10"/>
  <c r="Y7" i="10"/>
  <c r="W7" i="10"/>
  <c r="R7" i="10"/>
  <c r="T7" i="10" s="1"/>
  <c r="P7" i="10"/>
  <c r="M7" i="10"/>
  <c r="G7" i="10"/>
  <c r="Y6" i="10"/>
  <c r="S6" i="10"/>
  <c r="M6" i="10"/>
  <c r="G6" i="10"/>
  <c r="V4" i="10"/>
  <c r="AC71" i="9"/>
  <c r="AE70" i="9"/>
  <c r="AC70" i="9"/>
  <c r="Y70" i="9"/>
  <c r="S70" i="9"/>
  <c r="M70" i="9"/>
  <c r="AE69" i="9"/>
  <c r="AC69" i="9"/>
  <c r="Y69" i="9"/>
  <c r="S69" i="9"/>
  <c r="M69" i="9"/>
  <c r="G69" i="9"/>
  <c r="AE68" i="9"/>
  <c r="AC68" i="9"/>
  <c r="X68" i="9"/>
  <c r="Z68" i="9" s="1"/>
  <c r="V68" i="9"/>
  <c r="R68" i="9"/>
  <c r="P68" i="9"/>
  <c r="N68" i="9"/>
  <c r="N72" i="9" s="1"/>
  <c r="L68" i="9"/>
  <c r="J72" i="9" s="1"/>
  <c r="J68" i="9"/>
  <c r="F68" i="9"/>
  <c r="D72" i="9" s="1"/>
  <c r="D68" i="9"/>
  <c r="H68" i="9" s="1"/>
  <c r="H72" i="9" s="1"/>
  <c r="AE67" i="9"/>
  <c r="AC67" i="9"/>
  <c r="Y67" i="9"/>
  <c r="S67" i="9"/>
  <c r="M67" i="9"/>
  <c r="G67" i="9"/>
  <c r="AE66" i="9"/>
  <c r="AC66" i="9"/>
  <c r="Y66" i="9"/>
  <c r="S66" i="9"/>
  <c r="M66" i="9"/>
  <c r="G66" i="9"/>
  <c r="AE65" i="9"/>
  <c r="AC65" i="9"/>
  <c r="AE64" i="9"/>
  <c r="AC64" i="9"/>
  <c r="AE63" i="9"/>
  <c r="AC63" i="9"/>
  <c r="AE62" i="9"/>
  <c r="AC62" i="9"/>
  <c r="AE61" i="9"/>
  <c r="AC61" i="9"/>
  <c r="AE60" i="9"/>
  <c r="AC60" i="9"/>
  <c r="Y60" i="9"/>
  <c r="S60" i="9"/>
  <c r="M60" i="9"/>
  <c r="G60" i="9"/>
  <c r="AE59" i="9"/>
  <c r="AC59" i="9"/>
  <c r="Y59" i="9"/>
  <c r="S59" i="9"/>
  <c r="L59" i="9"/>
  <c r="N59" i="9" s="1"/>
  <c r="N62" i="9" s="1"/>
  <c r="J59" i="9"/>
  <c r="G59" i="9"/>
  <c r="AE58" i="9"/>
  <c r="AC58" i="9"/>
  <c r="X58" i="9"/>
  <c r="V58" i="9"/>
  <c r="R58" i="9"/>
  <c r="P58" i="9"/>
  <c r="T58" i="9" s="1"/>
  <c r="T62" i="9" s="1"/>
  <c r="M58" i="9"/>
  <c r="F58" i="9"/>
  <c r="H58" i="9" s="1"/>
  <c r="D58" i="9"/>
  <c r="AE57" i="9"/>
  <c r="AC57" i="9"/>
  <c r="Y57" i="9"/>
  <c r="S57" i="9"/>
  <c r="M57" i="9"/>
  <c r="G57" i="9"/>
  <c r="AE56" i="9"/>
  <c r="Y56" i="9"/>
  <c r="S56" i="9"/>
  <c r="M56" i="9"/>
  <c r="G56" i="9"/>
  <c r="AB54" i="9"/>
  <c r="AC46" i="9"/>
  <c r="AE45" i="9"/>
  <c r="AC45" i="9"/>
  <c r="Y45" i="9"/>
  <c r="S45" i="9"/>
  <c r="M45" i="9"/>
  <c r="AE44" i="9"/>
  <c r="AC44" i="9"/>
  <c r="Y44" i="9"/>
  <c r="S44" i="9"/>
  <c r="M44" i="9"/>
  <c r="G44" i="9"/>
  <c r="AE43" i="9"/>
  <c r="AC43" i="9"/>
  <c r="Z43" i="9"/>
  <c r="Z47" i="9" s="1"/>
  <c r="X43" i="9"/>
  <c r="V47" i="9" s="1"/>
  <c r="V43" i="9"/>
  <c r="R43" i="9"/>
  <c r="P47" i="9" s="1"/>
  <c r="P43" i="9"/>
  <c r="T43" i="9" s="1"/>
  <c r="T47" i="9" s="1"/>
  <c r="L43" i="9"/>
  <c r="N43" i="9" s="1"/>
  <c r="J43" i="9"/>
  <c r="H43" i="9"/>
  <c r="H47" i="9" s="1"/>
  <c r="F43" i="9"/>
  <c r="D43" i="9"/>
  <c r="AE42" i="9"/>
  <c r="AC42" i="9"/>
  <c r="Y42" i="9"/>
  <c r="S42" i="9"/>
  <c r="M42" i="9"/>
  <c r="G42" i="9"/>
  <c r="AE41" i="9"/>
  <c r="AC41" i="9"/>
  <c r="Y41" i="9"/>
  <c r="S41" i="9"/>
  <c r="M41" i="9"/>
  <c r="G41" i="9"/>
  <c r="AE40" i="9"/>
  <c r="AC40" i="9"/>
  <c r="AE39" i="9"/>
  <c r="AC39" i="9"/>
  <c r="AE38" i="9"/>
  <c r="AC38" i="9"/>
  <c r="AE37" i="9"/>
  <c r="AC37" i="9"/>
  <c r="AE36" i="9"/>
  <c r="AC36" i="9"/>
  <c r="AE35" i="9"/>
  <c r="AC35" i="9"/>
  <c r="Y35" i="9"/>
  <c r="S35" i="9"/>
  <c r="M35" i="9"/>
  <c r="G35" i="9"/>
  <c r="AE34" i="9"/>
  <c r="AC34" i="9"/>
  <c r="Y34" i="9"/>
  <c r="S34" i="9"/>
  <c r="L34" i="9"/>
  <c r="N34" i="9" s="1"/>
  <c r="N37" i="9" s="1"/>
  <c r="J34" i="9"/>
  <c r="G34" i="9"/>
  <c r="AE33" i="9"/>
  <c r="AC33" i="9"/>
  <c r="X33" i="9"/>
  <c r="Z33" i="9" s="1"/>
  <c r="V33" i="9"/>
  <c r="R33" i="9"/>
  <c r="T33" i="9" s="1"/>
  <c r="P33" i="9"/>
  <c r="M33" i="9"/>
  <c r="F33" i="9"/>
  <c r="D33" i="9"/>
  <c r="H33" i="9" s="1"/>
  <c r="H37" i="9" s="1"/>
  <c r="AE32" i="9"/>
  <c r="AC32" i="9"/>
  <c r="Y32" i="9"/>
  <c r="S32" i="9"/>
  <c r="M32" i="9"/>
  <c r="G32" i="9"/>
  <c r="AE31" i="9"/>
  <c r="Y31" i="9"/>
  <c r="S31" i="9"/>
  <c r="M31" i="9"/>
  <c r="G31" i="9"/>
  <c r="AB29" i="9"/>
  <c r="P22" i="9"/>
  <c r="N22" i="9"/>
  <c r="J22" i="9"/>
  <c r="AC21" i="9"/>
  <c r="AE20" i="9"/>
  <c r="AC20" i="9"/>
  <c r="Y20" i="9"/>
  <c r="S20" i="9"/>
  <c r="M20" i="9"/>
  <c r="AE19" i="9"/>
  <c r="AC19" i="9"/>
  <c r="Y19" i="9"/>
  <c r="S19" i="9"/>
  <c r="M19" i="9"/>
  <c r="G19" i="9"/>
  <c r="AE18" i="9"/>
  <c r="AC18" i="9"/>
  <c r="X18" i="9"/>
  <c r="Z18" i="9" s="1"/>
  <c r="V18" i="9"/>
  <c r="T18" i="9"/>
  <c r="T22" i="9" s="1"/>
  <c r="R18" i="9"/>
  <c r="P18" i="9"/>
  <c r="N18" i="9"/>
  <c r="L18" i="9"/>
  <c r="J18" i="9"/>
  <c r="H18" i="9"/>
  <c r="H22" i="9" s="1"/>
  <c r="F18" i="9"/>
  <c r="D22" i="9" s="1"/>
  <c r="D18" i="9"/>
  <c r="AE17" i="9"/>
  <c r="AC17" i="9"/>
  <c r="Y17" i="9"/>
  <c r="S17" i="9"/>
  <c r="M17" i="9"/>
  <c r="G17" i="9"/>
  <c r="AE16" i="9"/>
  <c r="AC16" i="9"/>
  <c r="Y16" i="9"/>
  <c r="S16" i="9"/>
  <c r="M16" i="9"/>
  <c r="G16" i="9"/>
  <c r="AE15" i="9"/>
  <c r="AC15" i="9"/>
  <c r="AE14" i="9"/>
  <c r="AC14" i="9"/>
  <c r="AE13" i="9"/>
  <c r="AC13" i="9"/>
  <c r="AE12" i="9"/>
  <c r="AC12" i="9"/>
  <c r="AE11" i="9"/>
  <c r="AC11" i="9"/>
  <c r="AE10" i="9"/>
  <c r="AC10" i="9"/>
  <c r="Y10" i="9"/>
  <c r="S10" i="9"/>
  <c r="M10" i="9"/>
  <c r="G10" i="9"/>
  <c r="AE9" i="9"/>
  <c r="AC9" i="9"/>
  <c r="Y9" i="9"/>
  <c r="S9" i="9"/>
  <c r="L9" i="9"/>
  <c r="N9" i="9" s="1"/>
  <c r="N12" i="9" s="1"/>
  <c r="J9" i="9"/>
  <c r="G9" i="9"/>
  <c r="AE8" i="9"/>
  <c r="AC8" i="9"/>
  <c r="X8" i="9"/>
  <c r="V8" i="9"/>
  <c r="R8" i="9"/>
  <c r="P12" i="9" s="1"/>
  <c r="P8" i="9"/>
  <c r="T8" i="9" s="1"/>
  <c r="T12" i="9" s="1"/>
  <c r="M8" i="9"/>
  <c r="F8" i="9"/>
  <c r="D8" i="9"/>
  <c r="H8" i="9" s="1"/>
  <c r="H12" i="9" s="1"/>
  <c r="AE7" i="9"/>
  <c r="AC7" i="9"/>
  <c r="Y7" i="9"/>
  <c r="S7" i="9"/>
  <c r="M7" i="9"/>
  <c r="G7" i="9"/>
  <c r="AE6" i="9"/>
  <c r="Y6" i="9"/>
  <c r="S6" i="9"/>
  <c r="M6" i="9"/>
  <c r="G6" i="9"/>
  <c r="AB4" i="9"/>
  <c r="S79" i="8"/>
  <c r="M79" i="8"/>
  <c r="G79" i="8"/>
  <c r="T78" i="8"/>
  <c r="T82" i="8" s="1"/>
  <c r="R78" i="8"/>
  <c r="P82" i="8" s="1"/>
  <c r="P78" i="8"/>
  <c r="L78" i="8"/>
  <c r="J78" i="8"/>
  <c r="H78" i="8"/>
  <c r="H82" i="8" s="1"/>
  <c r="F78" i="8"/>
  <c r="D78" i="8"/>
  <c r="S77" i="8"/>
  <c r="M77" i="8"/>
  <c r="G77" i="8"/>
  <c r="W74" i="8"/>
  <c r="Y73" i="8"/>
  <c r="Y72" i="8"/>
  <c r="W72" i="8"/>
  <c r="Y71" i="8"/>
  <c r="W71" i="8"/>
  <c r="Y70" i="8"/>
  <c r="W70" i="8"/>
  <c r="M70" i="8"/>
  <c r="G70" i="8"/>
  <c r="Y69" i="8"/>
  <c r="S69" i="8"/>
  <c r="L69" i="8"/>
  <c r="N69" i="8" s="1"/>
  <c r="J69" i="8"/>
  <c r="F69" i="8"/>
  <c r="H69" i="8" s="1"/>
  <c r="H73" i="8" s="1"/>
  <c r="D69" i="8"/>
  <c r="Y68" i="8"/>
  <c r="R68" i="8"/>
  <c r="P68" i="8"/>
  <c r="M68" i="8"/>
  <c r="G68" i="8"/>
  <c r="S67" i="8"/>
  <c r="M67" i="8"/>
  <c r="G67" i="8"/>
  <c r="V65" i="8"/>
  <c r="N52" i="8"/>
  <c r="J52" i="8"/>
  <c r="H52" i="8"/>
  <c r="S49" i="8"/>
  <c r="M49" i="8"/>
  <c r="G49" i="8"/>
  <c r="R48" i="8"/>
  <c r="T48" i="8" s="1"/>
  <c r="T52" i="8" s="1"/>
  <c r="P48" i="8"/>
  <c r="N48" i="8"/>
  <c r="L48" i="8"/>
  <c r="J48" i="8"/>
  <c r="H48" i="8"/>
  <c r="D52" i="8" s="1"/>
  <c r="F48" i="8"/>
  <c r="D48" i="8"/>
  <c r="S47" i="8"/>
  <c r="M47" i="8"/>
  <c r="G47" i="8"/>
  <c r="W44" i="8"/>
  <c r="Y43" i="8"/>
  <c r="Y42" i="8"/>
  <c r="W42" i="8"/>
  <c r="Y41" i="8"/>
  <c r="W41" i="8"/>
  <c r="Y40" i="8"/>
  <c r="W40" i="8"/>
  <c r="M40" i="8"/>
  <c r="G40" i="8"/>
  <c r="Y39" i="8"/>
  <c r="S39" i="8"/>
  <c r="L39" i="8"/>
  <c r="J39" i="8"/>
  <c r="F39" i="8"/>
  <c r="D39" i="8"/>
  <c r="H39" i="8" s="1"/>
  <c r="Y38" i="8"/>
  <c r="R38" i="8"/>
  <c r="T38" i="8" s="1"/>
  <c r="P38" i="8"/>
  <c r="M38" i="8"/>
  <c r="G38" i="8"/>
  <c r="S37" i="8"/>
  <c r="M37" i="8"/>
  <c r="G37" i="8"/>
  <c r="V35" i="8"/>
  <c r="S18" i="8"/>
  <c r="M18" i="8"/>
  <c r="G18" i="8"/>
  <c r="R17" i="8"/>
  <c r="T17" i="8" s="1"/>
  <c r="P17" i="8"/>
  <c r="L17" i="8"/>
  <c r="J17" i="8"/>
  <c r="F17" i="8"/>
  <c r="D17" i="8"/>
  <c r="H17" i="8" s="1"/>
  <c r="S16" i="8"/>
  <c r="M16" i="8"/>
  <c r="G16" i="8"/>
  <c r="W13" i="8"/>
  <c r="Y12" i="8"/>
  <c r="Y11" i="8"/>
  <c r="W11" i="8"/>
  <c r="Y10" i="8"/>
  <c r="W10" i="8"/>
  <c r="Y9" i="8"/>
  <c r="W9" i="8"/>
  <c r="M9" i="8"/>
  <c r="G9" i="8"/>
  <c r="Y8" i="8"/>
  <c r="S8" i="8"/>
  <c r="L8" i="8"/>
  <c r="N8" i="8" s="1"/>
  <c r="N12" i="8" s="1"/>
  <c r="J8" i="8"/>
  <c r="F8" i="8"/>
  <c r="H8" i="8" s="1"/>
  <c r="H12" i="8" s="1"/>
  <c r="D8" i="8"/>
  <c r="Y7" i="8"/>
  <c r="R7" i="8"/>
  <c r="P7" i="8"/>
  <c r="M7" i="8"/>
  <c r="G7" i="8"/>
  <c r="S6" i="8"/>
  <c r="M6" i="8"/>
  <c r="G6" i="8"/>
  <c r="V4" i="8"/>
  <c r="G66" i="7"/>
  <c r="M65" i="7"/>
  <c r="G65" i="7"/>
  <c r="L64" i="7"/>
  <c r="J64" i="7"/>
  <c r="H64" i="7"/>
  <c r="H68" i="7" s="1"/>
  <c r="F64" i="7"/>
  <c r="D64" i="7"/>
  <c r="M63" i="7"/>
  <c r="G63" i="7"/>
  <c r="Q59" i="7"/>
  <c r="S58" i="7"/>
  <c r="Q58" i="7"/>
  <c r="S57" i="7"/>
  <c r="Q57" i="7"/>
  <c r="M57" i="7"/>
  <c r="G57" i="7"/>
  <c r="S56" i="7"/>
  <c r="Q56" i="7"/>
  <c r="M56" i="7"/>
  <c r="F56" i="7"/>
  <c r="H56" i="7" s="1"/>
  <c r="H59" i="7" s="1"/>
  <c r="D56" i="7"/>
  <c r="S55" i="7"/>
  <c r="N55" i="7"/>
  <c r="N59" i="7" s="1"/>
  <c r="L55" i="7"/>
  <c r="J55" i="7"/>
  <c r="G55" i="7"/>
  <c r="S54" i="7"/>
  <c r="M54" i="7"/>
  <c r="G54" i="7"/>
  <c r="P52" i="7"/>
  <c r="G43" i="7"/>
  <c r="M42" i="7"/>
  <c r="G42" i="7"/>
  <c r="L41" i="7"/>
  <c r="N41" i="7" s="1"/>
  <c r="J41" i="7"/>
  <c r="F41" i="7"/>
  <c r="D41" i="7"/>
  <c r="M40" i="7"/>
  <c r="G40" i="7"/>
  <c r="Q36" i="7"/>
  <c r="S35" i="7"/>
  <c r="Q35" i="7"/>
  <c r="S34" i="7"/>
  <c r="Q34" i="7"/>
  <c r="M34" i="7"/>
  <c r="G34" i="7"/>
  <c r="S33" i="7"/>
  <c r="Q33" i="7"/>
  <c r="M33" i="7"/>
  <c r="H33" i="7"/>
  <c r="H36" i="7" s="1"/>
  <c r="F33" i="7"/>
  <c r="D36" i="7" s="1"/>
  <c r="D33" i="7"/>
  <c r="S32" i="7"/>
  <c r="N32" i="7"/>
  <c r="N36" i="7" s="1"/>
  <c r="L32" i="7"/>
  <c r="J32" i="7"/>
  <c r="G32" i="7"/>
  <c r="S31" i="7"/>
  <c r="M31" i="7"/>
  <c r="G31" i="7"/>
  <c r="P29" i="7"/>
  <c r="G18" i="7"/>
  <c r="M17" i="7"/>
  <c r="G17" i="7"/>
  <c r="L16" i="7"/>
  <c r="J16" i="7"/>
  <c r="F16" i="7"/>
  <c r="D16" i="7"/>
  <c r="H16" i="7" s="1"/>
  <c r="M15" i="7"/>
  <c r="G15" i="7"/>
  <c r="Q11" i="7"/>
  <c r="S10" i="7"/>
  <c r="Q10" i="7"/>
  <c r="S9" i="7"/>
  <c r="Q9" i="7"/>
  <c r="M9" i="7"/>
  <c r="G9" i="7"/>
  <c r="S8" i="7"/>
  <c r="Q8" i="7"/>
  <c r="M8" i="7"/>
  <c r="F8" i="7"/>
  <c r="D8" i="7"/>
  <c r="H8" i="7" s="1"/>
  <c r="S7" i="7"/>
  <c r="L7" i="7"/>
  <c r="J7" i="7"/>
  <c r="G7" i="7"/>
  <c r="S6" i="7"/>
  <c r="M6" i="7"/>
  <c r="G6" i="7"/>
  <c r="P4" i="7"/>
  <c r="AQ68" i="6"/>
  <c r="AO68" i="6"/>
  <c r="AQ67" i="6"/>
  <c r="AO67" i="6"/>
  <c r="T67" i="6"/>
  <c r="P67" i="6"/>
  <c r="J67" i="6"/>
  <c r="D67" i="6"/>
  <c r="AQ66" i="6"/>
  <c r="AO66" i="6"/>
  <c r="AQ65" i="6"/>
  <c r="AO65" i="6"/>
  <c r="AK65" i="6"/>
  <c r="AE65" i="6"/>
  <c r="Y65" i="6"/>
  <c r="S65" i="6"/>
  <c r="M65" i="6"/>
  <c r="G65" i="6"/>
  <c r="AQ64" i="6"/>
  <c r="AO64" i="6"/>
  <c r="AK64" i="6"/>
  <c r="AD64" i="6"/>
  <c r="AB67" i="6" s="1"/>
  <c r="AB64" i="6"/>
  <c r="AF64" i="6" s="1"/>
  <c r="AF67" i="6" s="1"/>
  <c r="X64" i="6"/>
  <c r="Z64" i="6" s="1"/>
  <c r="V64" i="6"/>
  <c r="T64" i="6"/>
  <c r="R64" i="6"/>
  <c r="P64" i="6"/>
  <c r="N64" i="6"/>
  <c r="N67" i="6" s="1"/>
  <c r="L64" i="6"/>
  <c r="J64" i="6"/>
  <c r="G64" i="6"/>
  <c r="AQ63" i="6"/>
  <c r="AO63" i="6"/>
  <c r="AJ63" i="6"/>
  <c r="AH63" i="6"/>
  <c r="AE63" i="6"/>
  <c r="Y63" i="6"/>
  <c r="S63" i="6"/>
  <c r="M63" i="6"/>
  <c r="H63" i="6"/>
  <c r="H67" i="6" s="1"/>
  <c r="F63" i="6"/>
  <c r="D63" i="6"/>
  <c r="AQ62" i="6"/>
  <c r="AO62" i="6"/>
  <c r="AK62" i="6"/>
  <c r="AE62" i="6"/>
  <c r="Y62" i="6"/>
  <c r="S62" i="6"/>
  <c r="M62" i="6"/>
  <c r="G62" i="6"/>
  <c r="AQ61" i="6"/>
  <c r="AO61" i="6"/>
  <c r="AQ60" i="6"/>
  <c r="AO60" i="6"/>
  <c r="AQ59" i="6"/>
  <c r="AO59" i="6"/>
  <c r="AQ58" i="6"/>
  <c r="AO58" i="6"/>
  <c r="AQ57" i="6"/>
  <c r="AO57" i="6"/>
  <c r="AQ56" i="6"/>
  <c r="AO56" i="6"/>
  <c r="AK56" i="6"/>
  <c r="AE56" i="6"/>
  <c r="AQ55" i="6"/>
  <c r="AO55" i="6"/>
  <c r="AK55" i="6"/>
  <c r="AE55" i="6"/>
  <c r="Y55" i="6"/>
  <c r="S55" i="6"/>
  <c r="M55" i="6"/>
  <c r="G55" i="6"/>
  <c r="AQ54" i="6"/>
  <c r="AO54" i="6"/>
  <c r="AJ54" i="6"/>
  <c r="AL54" i="6" s="1"/>
  <c r="AL58" i="6" s="1"/>
  <c r="AH54" i="6"/>
  <c r="AD54" i="6"/>
  <c r="AF54" i="6" s="1"/>
  <c r="AB54" i="6"/>
  <c r="X54" i="6"/>
  <c r="Z54" i="6" s="1"/>
  <c r="Z58" i="6" s="1"/>
  <c r="V54" i="6"/>
  <c r="T54" i="6"/>
  <c r="T58" i="6" s="1"/>
  <c r="R54" i="6"/>
  <c r="P54" i="6"/>
  <c r="L54" i="6"/>
  <c r="N54" i="6" s="1"/>
  <c r="N58" i="6" s="1"/>
  <c r="J54" i="6"/>
  <c r="F54" i="6"/>
  <c r="D58" i="6" s="1"/>
  <c r="D54" i="6"/>
  <c r="H54" i="6" s="1"/>
  <c r="H58" i="6" s="1"/>
  <c r="AQ53" i="6"/>
  <c r="AK53" i="6"/>
  <c r="AE53" i="6"/>
  <c r="Y53" i="6"/>
  <c r="S53" i="6"/>
  <c r="M53" i="6"/>
  <c r="G53" i="6"/>
  <c r="AN51" i="6"/>
  <c r="AQ44" i="6"/>
  <c r="AO44" i="6"/>
  <c r="AQ43" i="6"/>
  <c r="AO43" i="6"/>
  <c r="AQ42" i="6"/>
  <c r="AO42" i="6"/>
  <c r="AQ41" i="6"/>
  <c r="AO41" i="6"/>
  <c r="AK41" i="6"/>
  <c r="AE41" i="6"/>
  <c r="Y41" i="6"/>
  <c r="S41" i="6"/>
  <c r="M41" i="6"/>
  <c r="G41" i="6"/>
  <c r="AQ40" i="6"/>
  <c r="AO40" i="6"/>
  <c r="AK40" i="6"/>
  <c r="AF40" i="6"/>
  <c r="AF43" i="6" s="1"/>
  <c r="AD40" i="6"/>
  <c r="AB43" i="6" s="1"/>
  <c r="AB40" i="6"/>
  <c r="X40" i="6"/>
  <c r="V40" i="6"/>
  <c r="T40" i="6"/>
  <c r="T43" i="6" s="1"/>
  <c r="R40" i="6"/>
  <c r="P43" i="6" s="1"/>
  <c r="P40" i="6"/>
  <c r="L40" i="6"/>
  <c r="N40" i="6" s="1"/>
  <c r="J40" i="6"/>
  <c r="G40" i="6"/>
  <c r="AQ39" i="6"/>
  <c r="AO39" i="6"/>
  <c r="AJ39" i="6"/>
  <c r="AH39" i="6"/>
  <c r="AE39" i="6"/>
  <c r="Y39" i="6"/>
  <c r="S39" i="6"/>
  <c r="M39" i="6"/>
  <c r="H39" i="6"/>
  <c r="H43" i="6" s="1"/>
  <c r="F39" i="6"/>
  <c r="D39" i="6"/>
  <c r="AQ38" i="6"/>
  <c r="AO38" i="6"/>
  <c r="AK38" i="6"/>
  <c r="AE38" i="6"/>
  <c r="Y38" i="6"/>
  <c r="S38" i="6"/>
  <c r="M38" i="6"/>
  <c r="G38" i="6"/>
  <c r="AQ37" i="6"/>
  <c r="AO37" i="6"/>
  <c r="AQ36" i="6"/>
  <c r="AO36" i="6"/>
  <c r="AQ35" i="6"/>
  <c r="AO35" i="6"/>
  <c r="AQ34" i="6"/>
  <c r="AO34" i="6"/>
  <c r="AQ33" i="6"/>
  <c r="AO33" i="6"/>
  <c r="AQ32" i="6"/>
  <c r="AO32" i="6"/>
  <c r="AK32" i="6"/>
  <c r="AE32" i="6"/>
  <c r="AQ31" i="6"/>
  <c r="AO31" i="6"/>
  <c r="AK31" i="6"/>
  <c r="AE31" i="6"/>
  <c r="Y31" i="6"/>
  <c r="S31" i="6"/>
  <c r="M31" i="6"/>
  <c r="G31" i="6"/>
  <c r="AQ30" i="6"/>
  <c r="AO30" i="6"/>
  <c r="AJ30" i="6"/>
  <c r="AH30" i="6"/>
  <c r="AD30" i="6"/>
  <c r="AF30" i="6" s="1"/>
  <c r="AF34" i="6" s="1"/>
  <c r="AB30" i="6"/>
  <c r="X30" i="6"/>
  <c r="V30" i="6"/>
  <c r="Z30" i="6" s="1"/>
  <c r="Z34" i="6" s="1"/>
  <c r="R30" i="6"/>
  <c r="T30" i="6" s="1"/>
  <c r="P30" i="6"/>
  <c r="L30" i="6"/>
  <c r="N30" i="6" s="1"/>
  <c r="N34" i="6" s="1"/>
  <c r="J30" i="6"/>
  <c r="F30" i="6"/>
  <c r="D30" i="6"/>
  <c r="H30" i="6" s="1"/>
  <c r="AQ29" i="6"/>
  <c r="AK29" i="6"/>
  <c r="AE29" i="6"/>
  <c r="Y29" i="6"/>
  <c r="S29" i="6"/>
  <c r="M29" i="6"/>
  <c r="G29" i="6"/>
  <c r="AN27" i="6"/>
  <c r="AQ21" i="6"/>
  <c r="AO21" i="6"/>
  <c r="AQ20" i="6"/>
  <c r="AO20" i="6"/>
  <c r="AQ19" i="6"/>
  <c r="AO19" i="6"/>
  <c r="AQ18" i="6"/>
  <c r="AO18" i="6"/>
  <c r="AK18" i="6"/>
  <c r="AE18" i="6"/>
  <c r="Y18" i="6"/>
  <c r="S18" i="6"/>
  <c r="M18" i="6"/>
  <c r="G18" i="6"/>
  <c r="AQ17" i="6"/>
  <c r="AO17" i="6"/>
  <c r="AK17" i="6"/>
  <c r="AD17" i="6"/>
  <c r="AF17" i="6" s="1"/>
  <c r="AB17" i="6"/>
  <c r="X17" i="6"/>
  <c r="V17" i="6"/>
  <c r="T17" i="6"/>
  <c r="T20" i="6" s="1"/>
  <c r="R17" i="6"/>
  <c r="P17" i="6"/>
  <c r="L17" i="6"/>
  <c r="J17" i="6"/>
  <c r="G17" i="6"/>
  <c r="AQ16" i="6"/>
  <c r="AO16" i="6"/>
  <c r="AJ16" i="6"/>
  <c r="AL16" i="6" s="1"/>
  <c r="AH16" i="6"/>
  <c r="AE16" i="6"/>
  <c r="Y16" i="6"/>
  <c r="S16" i="6"/>
  <c r="M16" i="6"/>
  <c r="H16" i="6"/>
  <c r="H20" i="6" s="1"/>
  <c r="F16" i="6"/>
  <c r="D16" i="6"/>
  <c r="AQ15" i="6"/>
  <c r="AO15" i="6"/>
  <c r="AK15" i="6"/>
  <c r="AE15" i="6"/>
  <c r="Y15" i="6"/>
  <c r="S15" i="6"/>
  <c r="M15" i="6"/>
  <c r="G15" i="6"/>
  <c r="AQ14" i="6"/>
  <c r="AO14" i="6"/>
  <c r="AQ13" i="6"/>
  <c r="AO13" i="6"/>
  <c r="AQ12" i="6"/>
  <c r="AO12" i="6"/>
  <c r="AQ11" i="6"/>
  <c r="AO11" i="6"/>
  <c r="AQ10" i="6"/>
  <c r="AO10" i="6"/>
  <c r="AQ9" i="6"/>
  <c r="AO9" i="6"/>
  <c r="AK9" i="6"/>
  <c r="AE9" i="6"/>
  <c r="AQ8" i="6"/>
  <c r="AO8" i="6"/>
  <c r="AK8" i="6"/>
  <c r="AE8" i="6"/>
  <c r="Y8" i="6"/>
  <c r="S8" i="6"/>
  <c r="M8" i="6"/>
  <c r="G8" i="6"/>
  <c r="AQ7" i="6"/>
  <c r="AO7" i="6"/>
  <c r="AJ7" i="6"/>
  <c r="AL7" i="6" s="1"/>
  <c r="AH7" i="6"/>
  <c r="AD7" i="6"/>
  <c r="AB11" i="6" s="1"/>
  <c r="AB7" i="6"/>
  <c r="AF7" i="6" s="1"/>
  <c r="AF11" i="6" s="1"/>
  <c r="X7" i="6"/>
  <c r="Z7" i="6" s="1"/>
  <c r="V7" i="6"/>
  <c r="T7" i="6"/>
  <c r="T11" i="6" s="1"/>
  <c r="R7" i="6"/>
  <c r="P11" i="6" s="1"/>
  <c r="P7" i="6"/>
  <c r="N7" i="6"/>
  <c r="N11" i="6" s="1"/>
  <c r="L7" i="6"/>
  <c r="J11" i="6" s="1"/>
  <c r="J7" i="6"/>
  <c r="H7" i="6"/>
  <c r="H11" i="6" s="1"/>
  <c r="F7" i="6"/>
  <c r="D7" i="6"/>
  <c r="AQ6" i="6"/>
  <c r="AK6" i="6"/>
  <c r="AE6" i="6"/>
  <c r="Y6" i="6"/>
  <c r="S6" i="6"/>
  <c r="M6" i="6"/>
  <c r="G6" i="6"/>
  <c r="AN4" i="6"/>
  <c r="S76" i="5"/>
  <c r="S75" i="5"/>
  <c r="M75" i="5"/>
  <c r="G75" i="5"/>
  <c r="S74" i="5"/>
  <c r="N74" i="5"/>
  <c r="N78" i="5" s="1"/>
  <c r="L74" i="5"/>
  <c r="J74" i="5"/>
  <c r="F74" i="5"/>
  <c r="H74" i="5" s="1"/>
  <c r="D74" i="5"/>
  <c r="R73" i="5"/>
  <c r="P73" i="5"/>
  <c r="M73" i="5"/>
  <c r="G73" i="5"/>
  <c r="Y72" i="5"/>
  <c r="W72" i="5"/>
  <c r="S72" i="5"/>
  <c r="M72" i="5"/>
  <c r="G72" i="5"/>
  <c r="Y71" i="5"/>
  <c r="W71" i="5"/>
  <c r="S71" i="5"/>
  <c r="M71" i="5"/>
  <c r="G71" i="5"/>
  <c r="Y70" i="5"/>
  <c r="W70" i="5"/>
  <c r="Y69" i="5"/>
  <c r="W69" i="5"/>
  <c r="Y68" i="5"/>
  <c r="W68" i="5"/>
  <c r="Y67" i="5"/>
  <c r="W67" i="5"/>
  <c r="Y66" i="5"/>
  <c r="W66" i="5"/>
  <c r="Y65" i="5"/>
  <c r="W65" i="5"/>
  <c r="S65" i="5"/>
  <c r="Y64" i="5"/>
  <c r="W64" i="5"/>
  <c r="S64" i="5"/>
  <c r="M64" i="5"/>
  <c r="G64" i="5"/>
  <c r="Y63" i="5"/>
  <c r="W63" i="5"/>
  <c r="R63" i="5"/>
  <c r="P63" i="5"/>
  <c r="M63" i="5"/>
  <c r="F63" i="5"/>
  <c r="D63" i="5"/>
  <c r="Y62" i="5"/>
  <c r="W62" i="5"/>
  <c r="S62" i="5"/>
  <c r="L62" i="5"/>
  <c r="N62" i="5" s="1"/>
  <c r="N67" i="5" s="1"/>
  <c r="J62" i="5"/>
  <c r="G62" i="5"/>
  <c r="Y61" i="5"/>
  <c r="W61" i="5"/>
  <c r="S61" i="5"/>
  <c r="M61" i="5"/>
  <c r="G61" i="5"/>
  <c r="Y60" i="5"/>
  <c r="S60" i="5"/>
  <c r="M60" i="5"/>
  <c r="G60" i="5"/>
  <c r="V58" i="5"/>
  <c r="S49" i="5"/>
  <c r="S48" i="5"/>
  <c r="M48" i="5"/>
  <c r="G48" i="5"/>
  <c r="S47" i="5"/>
  <c r="L47" i="5"/>
  <c r="J47" i="5"/>
  <c r="N47" i="5" s="1"/>
  <c r="F47" i="5"/>
  <c r="H47" i="5" s="1"/>
  <c r="D47" i="5"/>
  <c r="R46" i="5"/>
  <c r="P46" i="5"/>
  <c r="T46" i="5" s="1"/>
  <c r="M46" i="5"/>
  <c r="G46" i="5"/>
  <c r="Y45" i="5"/>
  <c r="W45" i="5"/>
  <c r="S45" i="5"/>
  <c r="M45" i="5"/>
  <c r="G45" i="5"/>
  <c r="Y44" i="5"/>
  <c r="W44" i="5"/>
  <c r="S44" i="5"/>
  <c r="M44" i="5"/>
  <c r="G44" i="5"/>
  <c r="Y43" i="5"/>
  <c r="W43" i="5"/>
  <c r="Y42" i="5"/>
  <c r="W42" i="5"/>
  <c r="Y41" i="5"/>
  <c r="W41" i="5"/>
  <c r="Y40" i="5"/>
  <c r="W40" i="5"/>
  <c r="Y39" i="5"/>
  <c r="W39" i="5"/>
  <c r="Y38" i="5"/>
  <c r="W38" i="5"/>
  <c r="S38" i="5"/>
  <c r="Y37" i="5"/>
  <c r="W37" i="5"/>
  <c r="S37" i="5"/>
  <c r="M37" i="5"/>
  <c r="G37" i="5"/>
  <c r="Y36" i="5"/>
  <c r="W36" i="5"/>
  <c r="R36" i="5"/>
  <c r="T36" i="5" s="1"/>
  <c r="P36" i="5"/>
  <c r="M36" i="5"/>
  <c r="F36" i="5"/>
  <c r="D36" i="5"/>
  <c r="Y35" i="5"/>
  <c r="W35" i="5"/>
  <c r="S35" i="5"/>
  <c r="L35" i="5"/>
  <c r="J35" i="5"/>
  <c r="G35" i="5"/>
  <c r="Y34" i="5"/>
  <c r="W34" i="5"/>
  <c r="S34" i="5"/>
  <c r="M34" i="5"/>
  <c r="G34" i="5"/>
  <c r="Y33" i="5"/>
  <c r="S33" i="5"/>
  <c r="M33" i="5"/>
  <c r="G33" i="5"/>
  <c r="V31" i="5"/>
  <c r="S22" i="5"/>
  <c r="S21" i="5"/>
  <c r="M21" i="5"/>
  <c r="G21" i="5"/>
  <c r="S20" i="5"/>
  <c r="L20" i="5"/>
  <c r="J20" i="5"/>
  <c r="N20" i="5" s="1"/>
  <c r="F20" i="5"/>
  <c r="H20" i="5" s="1"/>
  <c r="D20" i="5"/>
  <c r="T19" i="5"/>
  <c r="T24" i="5" s="1"/>
  <c r="R19" i="5"/>
  <c r="P19" i="5"/>
  <c r="M19" i="5"/>
  <c r="G19" i="5"/>
  <c r="Y18" i="5"/>
  <c r="W18" i="5"/>
  <c r="S18" i="5"/>
  <c r="M18" i="5"/>
  <c r="G18" i="5"/>
  <c r="Y17" i="5"/>
  <c r="W17" i="5"/>
  <c r="S17" i="5"/>
  <c r="M17" i="5"/>
  <c r="G17" i="5"/>
  <c r="Y16" i="5"/>
  <c r="W16" i="5"/>
  <c r="Y15" i="5"/>
  <c r="W15" i="5"/>
  <c r="Y14" i="5"/>
  <c r="W14" i="5"/>
  <c r="Y13" i="5"/>
  <c r="W13" i="5"/>
  <c r="Y12" i="5"/>
  <c r="W12" i="5"/>
  <c r="Y11" i="5"/>
  <c r="W11" i="5"/>
  <c r="S11" i="5"/>
  <c r="Y10" i="5"/>
  <c r="W10" i="5"/>
  <c r="S10" i="5"/>
  <c r="M10" i="5"/>
  <c r="G10" i="5"/>
  <c r="Y9" i="5"/>
  <c r="W9" i="5"/>
  <c r="R9" i="5"/>
  <c r="P9" i="5"/>
  <c r="M9" i="5"/>
  <c r="F9" i="5"/>
  <c r="H9" i="5" s="1"/>
  <c r="D9" i="5"/>
  <c r="Y8" i="5"/>
  <c r="W8" i="5"/>
  <c r="S8" i="5"/>
  <c r="L8" i="5"/>
  <c r="J8" i="5"/>
  <c r="G8" i="5"/>
  <c r="Y7" i="5"/>
  <c r="W7" i="5"/>
  <c r="S7" i="5"/>
  <c r="M7" i="5"/>
  <c r="G7" i="5"/>
  <c r="Y6" i="5"/>
  <c r="S6" i="5"/>
  <c r="M6" i="5"/>
  <c r="G6" i="5"/>
  <c r="V4" i="5"/>
  <c r="AE80" i="4"/>
  <c r="AC80" i="4"/>
  <c r="AE79" i="4"/>
  <c r="AC79" i="4"/>
  <c r="Y79" i="4"/>
  <c r="AE78" i="4"/>
  <c r="AC78" i="4"/>
  <c r="Y78" i="4"/>
  <c r="S78" i="4"/>
  <c r="AE77" i="4"/>
  <c r="AC77" i="4"/>
  <c r="Y77" i="4"/>
  <c r="S77" i="4"/>
  <c r="M77" i="4"/>
  <c r="G77" i="4"/>
  <c r="AE76" i="4"/>
  <c r="AC76" i="4"/>
  <c r="Y76" i="4"/>
  <c r="R76" i="4"/>
  <c r="T76" i="4" s="1"/>
  <c r="T81" i="4" s="1"/>
  <c r="P76" i="4"/>
  <c r="M76" i="4"/>
  <c r="F76" i="4"/>
  <c r="D76" i="4"/>
  <c r="AE75" i="4"/>
  <c r="AC75" i="4"/>
  <c r="X75" i="4"/>
  <c r="V75" i="4"/>
  <c r="Z75" i="4" s="1"/>
  <c r="S75" i="4"/>
  <c r="L75" i="4"/>
  <c r="J75" i="4"/>
  <c r="N75" i="4" s="1"/>
  <c r="G75" i="4"/>
  <c r="AE74" i="4"/>
  <c r="AC74" i="4"/>
  <c r="Y74" i="4"/>
  <c r="S74" i="4"/>
  <c r="M74" i="4"/>
  <c r="G74" i="4"/>
  <c r="AE73" i="4"/>
  <c r="AC73" i="4"/>
  <c r="Y73" i="4"/>
  <c r="S73" i="4"/>
  <c r="M73" i="4"/>
  <c r="G73" i="4"/>
  <c r="AE72" i="4"/>
  <c r="AC72" i="4"/>
  <c r="AE71" i="4"/>
  <c r="AC71" i="4"/>
  <c r="AE70" i="4"/>
  <c r="AC70" i="4"/>
  <c r="AE69" i="4"/>
  <c r="AC69" i="4"/>
  <c r="H69" i="4"/>
  <c r="AE68" i="4"/>
  <c r="AC68" i="4"/>
  <c r="AE67" i="4"/>
  <c r="AC67" i="4"/>
  <c r="Y67" i="4"/>
  <c r="S67" i="4"/>
  <c r="M67" i="4"/>
  <c r="AE66" i="4"/>
  <c r="AC66" i="4"/>
  <c r="Y66" i="4"/>
  <c r="S66" i="4"/>
  <c r="M66" i="4"/>
  <c r="G66" i="4"/>
  <c r="AE65" i="4"/>
  <c r="AC65" i="4"/>
  <c r="Y65" i="4"/>
  <c r="R65" i="4"/>
  <c r="P65" i="4"/>
  <c r="T65" i="4" s="1"/>
  <c r="M65" i="4"/>
  <c r="H65" i="4"/>
  <c r="F65" i="4"/>
  <c r="D69" i="4" s="1"/>
  <c r="D65" i="4"/>
  <c r="AE64" i="4"/>
  <c r="AC64" i="4"/>
  <c r="X64" i="4"/>
  <c r="V64" i="4"/>
  <c r="S64" i="4"/>
  <c r="L64" i="4"/>
  <c r="J64" i="4"/>
  <c r="G64" i="4"/>
  <c r="AE63" i="4"/>
  <c r="AC63" i="4"/>
  <c r="Y63" i="4"/>
  <c r="S63" i="4"/>
  <c r="M63" i="4"/>
  <c r="G63" i="4"/>
  <c r="AE62" i="4"/>
  <c r="Y62" i="4"/>
  <c r="S62" i="4"/>
  <c r="M62" i="4"/>
  <c r="G62" i="4"/>
  <c r="AB60" i="4"/>
  <c r="AE52" i="4"/>
  <c r="AC52" i="4"/>
  <c r="AE51" i="4"/>
  <c r="AC51" i="4"/>
  <c r="Y51" i="4"/>
  <c r="AE50" i="4"/>
  <c r="AC50" i="4"/>
  <c r="Y50" i="4"/>
  <c r="S50" i="4"/>
  <c r="AE49" i="4"/>
  <c r="AC49" i="4"/>
  <c r="Y49" i="4"/>
  <c r="S49" i="4"/>
  <c r="M49" i="4"/>
  <c r="G49" i="4"/>
  <c r="AE48" i="4"/>
  <c r="AC48" i="4"/>
  <c r="Y48" i="4"/>
  <c r="R48" i="4"/>
  <c r="P48" i="4"/>
  <c r="M48" i="4"/>
  <c r="F48" i="4"/>
  <c r="D48" i="4"/>
  <c r="AE47" i="4"/>
  <c r="AC47" i="4"/>
  <c r="X47" i="4"/>
  <c r="Z47" i="4" s="1"/>
  <c r="V47" i="4"/>
  <c r="S47" i="4"/>
  <c r="N47" i="4"/>
  <c r="N53" i="4" s="1"/>
  <c r="L47" i="4"/>
  <c r="J47" i="4"/>
  <c r="G47" i="4"/>
  <c r="AE46" i="4"/>
  <c r="AC46" i="4"/>
  <c r="Y46" i="4"/>
  <c r="S46" i="4"/>
  <c r="M46" i="4"/>
  <c r="G46" i="4"/>
  <c r="AE45" i="4"/>
  <c r="AC45" i="4"/>
  <c r="Y45" i="4"/>
  <c r="S45" i="4"/>
  <c r="M45" i="4"/>
  <c r="G45" i="4"/>
  <c r="AE44" i="4"/>
  <c r="AC44" i="4"/>
  <c r="AE43" i="4"/>
  <c r="AC43" i="4"/>
  <c r="AE42" i="4"/>
  <c r="AC42" i="4"/>
  <c r="AE41" i="4"/>
  <c r="AC41" i="4"/>
  <c r="T41" i="4"/>
  <c r="AE40" i="4"/>
  <c r="AC40" i="4"/>
  <c r="AE39" i="4"/>
  <c r="AC39" i="4"/>
  <c r="Y39" i="4"/>
  <c r="S39" i="4"/>
  <c r="M39" i="4"/>
  <c r="AE38" i="4"/>
  <c r="AC38" i="4"/>
  <c r="Y38" i="4"/>
  <c r="S38" i="4"/>
  <c r="M38" i="4"/>
  <c r="G38" i="4"/>
  <c r="AE37" i="4"/>
  <c r="AC37" i="4"/>
  <c r="Y37" i="4"/>
  <c r="T37" i="4"/>
  <c r="P41" i="4" s="1"/>
  <c r="R37" i="4"/>
  <c r="P37" i="4"/>
  <c r="M37" i="4"/>
  <c r="H37" i="4"/>
  <c r="H41" i="4" s="1"/>
  <c r="F37" i="4"/>
  <c r="D41" i="4" s="1"/>
  <c r="D37" i="4"/>
  <c r="AE36" i="4"/>
  <c r="AC36" i="4"/>
  <c r="X36" i="4"/>
  <c r="V36" i="4"/>
  <c r="S36" i="4"/>
  <c r="L36" i="4"/>
  <c r="J36" i="4"/>
  <c r="G36" i="4"/>
  <c r="AE35" i="4"/>
  <c r="AC35" i="4"/>
  <c r="Y35" i="4"/>
  <c r="S35" i="4"/>
  <c r="M35" i="4"/>
  <c r="G35" i="4"/>
  <c r="AE34" i="4"/>
  <c r="Y34" i="4"/>
  <c r="S34" i="4"/>
  <c r="M34" i="4"/>
  <c r="G34" i="4"/>
  <c r="AB32" i="4"/>
  <c r="V25" i="4"/>
  <c r="AE24" i="4"/>
  <c r="AC24" i="4"/>
  <c r="AE23" i="4"/>
  <c r="AC23" i="4"/>
  <c r="Y23" i="4"/>
  <c r="AE22" i="4"/>
  <c r="AC22" i="4"/>
  <c r="Y22" i="4"/>
  <c r="S22" i="4"/>
  <c r="AE21" i="4"/>
  <c r="AC21" i="4"/>
  <c r="Y21" i="4"/>
  <c r="S21" i="4"/>
  <c r="M21" i="4"/>
  <c r="G21" i="4"/>
  <c r="AE20" i="4"/>
  <c r="AC20" i="4"/>
  <c r="Y20" i="4"/>
  <c r="R20" i="4"/>
  <c r="P20" i="4"/>
  <c r="M20" i="4"/>
  <c r="F20" i="4"/>
  <c r="H20" i="4" s="1"/>
  <c r="D20" i="4"/>
  <c r="AE19" i="4"/>
  <c r="AC19" i="4"/>
  <c r="Z19" i="4"/>
  <c r="Z25" i="4" s="1"/>
  <c r="X19" i="4"/>
  <c r="V19" i="4"/>
  <c r="S19" i="4"/>
  <c r="N19" i="4"/>
  <c r="N25" i="4" s="1"/>
  <c r="L19" i="4"/>
  <c r="J25" i="4" s="1"/>
  <c r="J19" i="4"/>
  <c r="G19" i="4"/>
  <c r="AE18" i="4"/>
  <c r="AC18" i="4"/>
  <c r="Y18" i="4"/>
  <c r="S18" i="4"/>
  <c r="M18" i="4"/>
  <c r="G18" i="4"/>
  <c r="AE17" i="4"/>
  <c r="AC17" i="4"/>
  <c r="Y17" i="4"/>
  <c r="S17" i="4"/>
  <c r="M17" i="4"/>
  <c r="G17" i="4"/>
  <c r="AE16" i="4"/>
  <c r="AC16" i="4"/>
  <c r="AE15" i="4"/>
  <c r="AC15" i="4"/>
  <c r="AE14" i="4"/>
  <c r="AC14" i="4"/>
  <c r="AE13" i="4"/>
  <c r="AC13" i="4"/>
  <c r="AE12" i="4"/>
  <c r="AC12" i="4"/>
  <c r="AE11" i="4"/>
  <c r="AC11" i="4"/>
  <c r="Y11" i="4"/>
  <c r="S11" i="4"/>
  <c r="M11" i="4"/>
  <c r="AE10" i="4"/>
  <c r="AC10" i="4"/>
  <c r="Y10" i="4"/>
  <c r="S10" i="4"/>
  <c r="M10" i="4"/>
  <c r="G10" i="4"/>
  <c r="AE9" i="4"/>
  <c r="AC9" i="4"/>
  <c r="Y9" i="4"/>
  <c r="T9" i="4"/>
  <c r="T13" i="4" s="1"/>
  <c r="R9" i="4"/>
  <c r="P13" i="4" s="1"/>
  <c r="P9" i="4"/>
  <c r="M9" i="4"/>
  <c r="F9" i="4"/>
  <c r="D13" i="4" s="1"/>
  <c r="D9" i="4"/>
  <c r="H9" i="4" s="1"/>
  <c r="H13" i="4" s="1"/>
  <c r="AE8" i="4"/>
  <c r="AC8" i="4"/>
  <c r="X8" i="4"/>
  <c r="V8" i="4"/>
  <c r="S8" i="4"/>
  <c r="L8" i="4"/>
  <c r="J8" i="4"/>
  <c r="G8" i="4"/>
  <c r="AE7" i="4"/>
  <c r="AC7" i="4"/>
  <c r="Y7" i="4"/>
  <c r="S7" i="4"/>
  <c r="M7" i="4"/>
  <c r="G7" i="4"/>
  <c r="AE6" i="4"/>
  <c r="Y6" i="4"/>
  <c r="S6" i="4"/>
  <c r="M6" i="4"/>
  <c r="G6" i="4"/>
  <c r="AB4" i="4"/>
  <c r="M94" i="3"/>
  <c r="G94" i="3"/>
  <c r="M93" i="3"/>
  <c r="G93" i="3"/>
  <c r="M92" i="3"/>
  <c r="H92" i="3"/>
  <c r="H96" i="3" s="1"/>
  <c r="F92" i="3"/>
  <c r="D92" i="3"/>
  <c r="M91" i="3"/>
  <c r="G91" i="3"/>
  <c r="M90" i="3"/>
  <c r="G90" i="3"/>
  <c r="L89" i="3"/>
  <c r="N89" i="3" s="1"/>
  <c r="N96" i="3" s="1"/>
  <c r="J89" i="3"/>
  <c r="G89" i="3"/>
  <c r="M88" i="3"/>
  <c r="G88" i="3"/>
  <c r="S87" i="3"/>
  <c r="Q87" i="3"/>
  <c r="M87" i="3"/>
  <c r="G87" i="3"/>
  <c r="S86" i="3"/>
  <c r="Q86" i="3"/>
  <c r="M86" i="3"/>
  <c r="G86" i="3"/>
  <c r="S85" i="3"/>
  <c r="Q85" i="3"/>
  <c r="S84" i="3"/>
  <c r="Q84" i="3"/>
  <c r="S83" i="3"/>
  <c r="Q83" i="3"/>
  <c r="S82" i="3"/>
  <c r="Q82" i="3"/>
  <c r="S81" i="3"/>
  <c r="Q81" i="3"/>
  <c r="S80" i="3"/>
  <c r="Q80" i="3"/>
  <c r="M80" i="3"/>
  <c r="G80" i="3"/>
  <c r="S79" i="3"/>
  <c r="Q79" i="3"/>
  <c r="M79" i="3"/>
  <c r="G79" i="3"/>
  <c r="S78" i="3"/>
  <c r="Q78" i="3"/>
  <c r="M78" i="3"/>
  <c r="G78" i="3"/>
  <c r="S77" i="3"/>
  <c r="Q77" i="3"/>
  <c r="L77" i="3"/>
  <c r="N77" i="3" s="1"/>
  <c r="N82" i="3" s="1"/>
  <c r="J77" i="3"/>
  <c r="G77" i="3"/>
  <c r="S76" i="3"/>
  <c r="Q76" i="3"/>
  <c r="M76" i="3"/>
  <c r="F76" i="3"/>
  <c r="H76" i="3" s="1"/>
  <c r="D76" i="3"/>
  <c r="S75" i="3"/>
  <c r="Q75" i="3"/>
  <c r="M75" i="3"/>
  <c r="G75" i="3"/>
  <c r="S74" i="3"/>
  <c r="Q74" i="3"/>
  <c r="M74" i="3"/>
  <c r="G74" i="3"/>
  <c r="S73" i="3"/>
  <c r="Q73" i="3"/>
  <c r="M73" i="3"/>
  <c r="G73" i="3"/>
  <c r="S72" i="3"/>
  <c r="M72" i="3"/>
  <c r="G72" i="3"/>
  <c r="P70" i="3"/>
  <c r="M61" i="3"/>
  <c r="G61" i="3"/>
  <c r="M60" i="3"/>
  <c r="G60" i="3"/>
  <c r="M59" i="3"/>
  <c r="F59" i="3"/>
  <c r="D59" i="3"/>
  <c r="H59" i="3" s="1"/>
  <c r="M58" i="3"/>
  <c r="G58" i="3"/>
  <c r="M57" i="3"/>
  <c r="G57" i="3"/>
  <c r="L56" i="3"/>
  <c r="N56" i="3" s="1"/>
  <c r="N63" i="3" s="1"/>
  <c r="J56" i="3"/>
  <c r="G56" i="3"/>
  <c r="M55" i="3"/>
  <c r="G55" i="3"/>
  <c r="S54" i="3"/>
  <c r="Q54" i="3"/>
  <c r="M54" i="3"/>
  <c r="G54" i="3"/>
  <c r="S53" i="3"/>
  <c r="Q53" i="3"/>
  <c r="M53" i="3"/>
  <c r="G53" i="3"/>
  <c r="S52" i="3"/>
  <c r="Q52" i="3"/>
  <c r="S51" i="3"/>
  <c r="Q51" i="3"/>
  <c r="S50" i="3"/>
  <c r="Q50" i="3"/>
  <c r="S49" i="3"/>
  <c r="Q49" i="3"/>
  <c r="S48" i="3"/>
  <c r="Q48" i="3"/>
  <c r="S47" i="3"/>
  <c r="Q47" i="3"/>
  <c r="M47" i="3"/>
  <c r="G47" i="3"/>
  <c r="S46" i="3"/>
  <c r="Q46" i="3"/>
  <c r="M46" i="3"/>
  <c r="G46" i="3"/>
  <c r="S45" i="3"/>
  <c r="Q45" i="3"/>
  <c r="M45" i="3"/>
  <c r="G45" i="3"/>
  <c r="S44" i="3"/>
  <c r="Q44" i="3"/>
  <c r="L44" i="3"/>
  <c r="J44" i="3"/>
  <c r="G44" i="3"/>
  <c r="S43" i="3"/>
  <c r="Q43" i="3"/>
  <c r="M43" i="3"/>
  <c r="H43" i="3"/>
  <c r="H49" i="3" s="1"/>
  <c r="F43" i="3"/>
  <c r="D49" i="3" s="1"/>
  <c r="D43" i="3"/>
  <c r="S42" i="3"/>
  <c r="Q42" i="3"/>
  <c r="M42" i="3"/>
  <c r="G42" i="3"/>
  <c r="S41" i="3"/>
  <c r="Q41" i="3"/>
  <c r="M41" i="3"/>
  <c r="G41" i="3"/>
  <c r="S40" i="3"/>
  <c r="Q40" i="3"/>
  <c r="M40" i="3"/>
  <c r="G40" i="3"/>
  <c r="S39" i="3"/>
  <c r="M39" i="3"/>
  <c r="G39" i="3"/>
  <c r="P37" i="3"/>
  <c r="M28" i="3"/>
  <c r="G28" i="3"/>
  <c r="M27" i="3"/>
  <c r="G27" i="3"/>
  <c r="M26" i="3"/>
  <c r="F26" i="3"/>
  <c r="H26" i="3" s="1"/>
  <c r="D26" i="3"/>
  <c r="M25" i="3"/>
  <c r="G25" i="3"/>
  <c r="M24" i="3"/>
  <c r="G24" i="3"/>
  <c r="L23" i="3"/>
  <c r="N23" i="3" s="1"/>
  <c r="N30" i="3" s="1"/>
  <c r="J23" i="3"/>
  <c r="G23" i="3"/>
  <c r="M22" i="3"/>
  <c r="G22" i="3"/>
  <c r="S21" i="3"/>
  <c r="Q21" i="3"/>
  <c r="M21" i="3"/>
  <c r="G21" i="3"/>
  <c r="S20" i="3"/>
  <c r="Q20" i="3"/>
  <c r="M20" i="3"/>
  <c r="G20" i="3"/>
  <c r="S19" i="3"/>
  <c r="Q19" i="3"/>
  <c r="S18" i="3"/>
  <c r="Q18" i="3"/>
  <c r="S17" i="3"/>
  <c r="Q17" i="3"/>
  <c r="S16" i="3"/>
  <c r="Q16" i="3"/>
  <c r="S15" i="3"/>
  <c r="Q15" i="3"/>
  <c r="S14" i="3"/>
  <c r="Q14" i="3"/>
  <c r="M14" i="3"/>
  <c r="G14" i="3"/>
  <c r="S13" i="3"/>
  <c r="Q13" i="3"/>
  <c r="M13" i="3"/>
  <c r="G13" i="3"/>
  <c r="S12" i="3"/>
  <c r="Q12" i="3"/>
  <c r="M12" i="3"/>
  <c r="G12" i="3"/>
  <c r="S11" i="3"/>
  <c r="Q11" i="3"/>
  <c r="L11" i="3"/>
  <c r="J11" i="3"/>
  <c r="G11" i="3"/>
  <c r="S10" i="3"/>
  <c r="Q10" i="3"/>
  <c r="M10" i="3"/>
  <c r="H10" i="3"/>
  <c r="H16" i="3" s="1"/>
  <c r="F10" i="3"/>
  <c r="D16" i="3" s="1"/>
  <c r="D10" i="3"/>
  <c r="S9" i="3"/>
  <c r="Q9" i="3"/>
  <c r="M9" i="3"/>
  <c r="G9" i="3"/>
  <c r="S8" i="3"/>
  <c r="Q8" i="3"/>
  <c r="M8" i="3"/>
  <c r="G8" i="3"/>
  <c r="S7" i="3"/>
  <c r="Q7" i="3"/>
  <c r="M7" i="3"/>
  <c r="G7" i="3"/>
  <c r="S6" i="3"/>
  <c r="M6" i="3"/>
  <c r="G6" i="3"/>
  <c r="P4" i="3"/>
  <c r="M88" i="2"/>
  <c r="G88" i="2"/>
  <c r="M87" i="2"/>
  <c r="G87" i="2"/>
  <c r="M86" i="2"/>
  <c r="F86" i="2"/>
  <c r="D86" i="2"/>
  <c r="H86" i="2" s="1"/>
  <c r="M85" i="2"/>
  <c r="G85" i="2"/>
  <c r="L84" i="2"/>
  <c r="N84" i="2" s="1"/>
  <c r="N90" i="2" s="1"/>
  <c r="J84" i="2"/>
  <c r="G84" i="2"/>
  <c r="M83" i="2"/>
  <c r="G83" i="2"/>
  <c r="M82" i="2"/>
  <c r="G82" i="2"/>
  <c r="Q81" i="2"/>
  <c r="M81" i="2"/>
  <c r="G81" i="2"/>
  <c r="S80" i="2"/>
  <c r="Q80" i="2"/>
  <c r="S79" i="2"/>
  <c r="Q79" i="2"/>
  <c r="S78" i="2"/>
  <c r="Q78" i="2"/>
  <c r="S77" i="2"/>
  <c r="Q77" i="2"/>
  <c r="S76" i="2"/>
  <c r="Q76" i="2"/>
  <c r="S75" i="2"/>
  <c r="Q75" i="2"/>
  <c r="M75" i="2"/>
  <c r="S74" i="2"/>
  <c r="Q74" i="2"/>
  <c r="M74" i="2"/>
  <c r="G74" i="2"/>
  <c r="S73" i="2"/>
  <c r="Q73" i="2"/>
  <c r="M73" i="2"/>
  <c r="G73" i="2"/>
  <c r="S72" i="2"/>
  <c r="Q72" i="2"/>
  <c r="M72" i="2"/>
  <c r="F72" i="2"/>
  <c r="D72" i="2"/>
  <c r="S71" i="2"/>
  <c r="Q71" i="2"/>
  <c r="L71" i="2"/>
  <c r="J71" i="2"/>
  <c r="G71" i="2"/>
  <c r="S70" i="2"/>
  <c r="Q70" i="2"/>
  <c r="M70" i="2"/>
  <c r="G70" i="2"/>
  <c r="S69" i="2"/>
  <c r="Q69" i="2"/>
  <c r="M69" i="2"/>
  <c r="G69" i="2"/>
  <c r="S68" i="2"/>
  <c r="M68" i="2"/>
  <c r="G68" i="2"/>
  <c r="P66" i="2"/>
  <c r="D59" i="2"/>
  <c r="M57" i="2"/>
  <c r="G57" i="2"/>
  <c r="M56" i="2"/>
  <c r="G56" i="2"/>
  <c r="M55" i="2"/>
  <c r="H55" i="2"/>
  <c r="H59" i="2" s="1"/>
  <c r="F55" i="2"/>
  <c r="D55" i="2"/>
  <c r="M54" i="2"/>
  <c r="G54" i="2"/>
  <c r="L53" i="2"/>
  <c r="N53" i="2" s="1"/>
  <c r="N59" i="2" s="1"/>
  <c r="J53" i="2"/>
  <c r="G53" i="2"/>
  <c r="M52" i="2"/>
  <c r="G52" i="2"/>
  <c r="M51" i="2"/>
  <c r="G51" i="2"/>
  <c r="Q50" i="2"/>
  <c r="M50" i="2"/>
  <c r="G50" i="2"/>
  <c r="S49" i="2"/>
  <c r="Q49" i="2"/>
  <c r="S48" i="2"/>
  <c r="Q48" i="2"/>
  <c r="S47" i="2"/>
  <c r="Q47" i="2"/>
  <c r="S46" i="2"/>
  <c r="Q46" i="2"/>
  <c r="H46" i="2"/>
  <c r="S45" i="2"/>
  <c r="Q45" i="2"/>
  <c r="S44" i="2"/>
  <c r="Q44" i="2"/>
  <c r="M44" i="2"/>
  <c r="S43" i="2"/>
  <c r="Q43" i="2"/>
  <c r="M43" i="2"/>
  <c r="G43" i="2"/>
  <c r="S42" i="2"/>
  <c r="Q42" i="2"/>
  <c r="M42" i="2"/>
  <c r="G42" i="2"/>
  <c r="S41" i="2"/>
  <c r="Q41" i="2"/>
  <c r="M41" i="2"/>
  <c r="H41" i="2"/>
  <c r="F41" i="2"/>
  <c r="D46" i="2" s="1"/>
  <c r="D41" i="2"/>
  <c r="S40" i="2"/>
  <c r="Q40" i="2"/>
  <c r="L40" i="2"/>
  <c r="J40" i="2"/>
  <c r="N40" i="2" s="1"/>
  <c r="G40" i="2"/>
  <c r="S39" i="2"/>
  <c r="Q39" i="2"/>
  <c r="M39" i="2"/>
  <c r="G39" i="2"/>
  <c r="S38" i="2"/>
  <c r="Q38" i="2"/>
  <c r="M38" i="2"/>
  <c r="G38" i="2"/>
  <c r="S37" i="2"/>
  <c r="M37" i="2"/>
  <c r="G37" i="2"/>
  <c r="P35" i="2"/>
  <c r="M26" i="2"/>
  <c r="G26" i="2"/>
  <c r="M25" i="2"/>
  <c r="G25" i="2"/>
  <c r="M24" i="2"/>
  <c r="H24" i="2"/>
  <c r="H28" i="2" s="1"/>
  <c r="F24" i="2"/>
  <c r="D24" i="2"/>
  <c r="M23" i="2"/>
  <c r="G23" i="2"/>
  <c r="L22" i="2"/>
  <c r="N22" i="2" s="1"/>
  <c r="N28" i="2" s="1"/>
  <c r="J22" i="2"/>
  <c r="G22" i="2"/>
  <c r="M21" i="2"/>
  <c r="G21" i="2"/>
  <c r="M20" i="2"/>
  <c r="G20" i="2"/>
  <c r="Q19" i="2"/>
  <c r="M19" i="2"/>
  <c r="G19" i="2"/>
  <c r="S18" i="2"/>
  <c r="Q18" i="2"/>
  <c r="S17" i="2"/>
  <c r="Q17" i="2"/>
  <c r="S16" i="2"/>
  <c r="Q16" i="2"/>
  <c r="S15" i="2"/>
  <c r="Q15" i="2"/>
  <c r="H15" i="2"/>
  <c r="S14" i="2"/>
  <c r="Q14" i="2"/>
  <c r="S13" i="2"/>
  <c r="Q13" i="2"/>
  <c r="M13" i="2"/>
  <c r="S12" i="2"/>
  <c r="Q12" i="2"/>
  <c r="M12" i="2"/>
  <c r="G12" i="2"/>
  <c r="S11" i="2"/>
  <c r="Q11" i="2"/>
  <c r="M11" i="2"/>
  <c r="G11" i="2"/>
  <c r="S10" i="2"/>
  <c r="Q10" i="2"/>
  <c r="M10" i="2"/>
  <c r="H10" i="2"/>
  <c r="F10" i="2"/>
  <c r="D15" i="2" s="1"/>
  <c r="D10" i="2"/>
  <c r="S9" i="2"/>
  <c r="Q9" i="2"/>
  <c r="L9" i="2"/>
  <c r="N9" i="2" s="1"/>
  <c r="N15" i="2" s="1"/>
  <c r="J9" i="2"/>
  <c r="G9" i="2"/>
  <c r="S8" i="2"/>
  <c r="Q8" i="2"/>
  <c r="M8" i="2"/>
  <c r="G8" i="2"/>
  <c r="S7" i="2"/>
  <c r="Q7" i="2"/>
  <c r="M7" i="2"/>
  <c r="G7" i="2"/>
  <c r="S6" i="2"/>
  <c r="M6" i="2"/>
  <c r="G6" i="2"/>
  <c r="P4" i="2"/>
  <c r="S64" i="1"/>
  <c r="M64" i="1"/>
  <c r="G64" i="1"/>
  <c r="S63" i="1"/>
  <c r="L63" i="1"/>
  <c r="J63" i="1"/>
  <c r="F63" i="1"/>
  <c r="H63" i="1" s="1"/>
  <c r="D63" i="1"/>
  <c r="R62" i="1"/>
  <c r="T62" i="1" s="1"/>
  <c r="T66" i="1" s="1"/>
  <c r="P62" i="1"/>
  <c r="M62" i="1"/>
  <c r="G62" i="1"/>
  <c r="S61" i="1"/>
  <c r="M61" i="1"/>
  <c r="G61" i="1"/>
  <c r="Y60" i="1"/>
  <c r="W60" i="1"/>
  <c r="Y59" i="1"/>
  <c r="W59" i="1"/>
  <c r="Y58" i="1"/>
  <c r="W58" i="1"/>
  <c r="Y57" i="1"/>
  <c r="W57" i="1"/>
  <c r="Y56" i="1"/>
  <c r="W56" i="1"/>
  <c r="Y55" i="1"/>
  <c r="W55" i="1"/>
  <c r="S55" i="1"/>
  <c r="M55" i="1"/>
  <c r="G55" i="1"/>
  <c r="Y54" i="1"/>
  <c r="W54" i="1"/>
  <c r="T54" i="1"/>
  <c r="T57" i="1" s="1"/>
  <c r="R54" i="1"/>
  <c r="P54" i="1"/>
  <c r="L54" i="1"/>
  <c r="N54" i="1" s="1"/>
  <c r="N57" i="1" s="1"/>
  <c r="J54" i="1"/>
  <c r="H54" i="1"/>
  <c r="H57" i="1" s="1"/>
  <c r="F54" i="1"/>
  <c r="D54" i="1"/>
  <c r="Y53" i="1"/>
  <c r="W53" i="1"/>
  <c r="S53" i="1"/>
  <c r="M53" i="1"/>
  <c r="G53" i="1"/>
  <c r="Y52" i="1"/>
  <c r="S52" i="1"/>
  <c r="M52" i="1"/>
  <c r="G52" i="1"/>
  <c r="V50" i="1"/>
  <c r="S41" i="1"/>
  <c r="M41" i="1"/>
  <c r="G41" i="1"/>
  <c r="S40" i="1"/>
  <c r="L40" i="1"/>
  <c r="N40" i="1" s="1"/>
  <c r="J40" i="1"/>
  <c r="H40" i="1"/>
  <c r="H43" i="1" s="1"/>
  <c r="F40" i="1"/>
  <c r="D40" i="1"/>
  <c r="R39" i="1"/>
  <c r="T39" i="1" s="1"/>
  <c r="T43" i="1" s="1"/>
  <c r="P39" i="1"/>
  <c r="M39" i="1"/>
  <c r="G39" i="1"/>
  <c r="S38" i="1"/>
  <c r="M38" i="1"/>
  <c r="G38" i="1"/>
  <c r="Y37" i="1"/>
  <c r="W37" i="1"/>
  <c r="Y36" i="1"/>
  <c r="W36" i="1"/>
  <c r="Y35" i="1"/>
  <c r="W35" i="1"/>
  <c r="Y34" i="1"/>
  <c r="W34" i="1"/>
  <c r="Y33" i="1"/>
  <c r="W33" i="1"/>
  <c r="Y32" i="1"/>
  <c r="W32" i="1"/>
  <c r="S32" i="1"/>
  <c r="M32" i="1"/>
  <c r="G32" i="1"/>
  <c r="Y31" i="1"/>
  <c r="W31" i="1"/>
  <c r="T31" i="1"/>
  <c r="T34" i="1" s="1"/>
  <c r="R31" i="1"/>
  <c r="P34" i="1" s="1"/>
  <c r="P31" i="1"/>
  <c r="L31" i="1"/>
  <c r="N31" i="1" s="1"/>
  <c r="N34" i="1" s="1"/>
  <c r="J31" i="1"/>
  <c r="F31" i="1"/>
  <c r="D34" i="1" s="1"/>
  <c r="D31" i="1"/>
  <c r="H31" i="1" s="1"/>
  <c r="H34" i="1" s="1"/>
  <c r="Y30" i="1"/>
  <c r="W30" i="1"/>
  <c r="S30" i="1"/>
  <c r="M30" i="1"/>
  <c r="G30" i="1"/>
  <c r="Y29" i="1"/>
  <c r="S29" i="1"/>
  <c r="M29" i="1"/>
  <c r="G29" i="1"/>
  <c r="V27" i="1"/>
  <c r="D20" i="1"/>
  <c r="S18" i="1"/>
  <c r="M18" i="1"/>
  <c r="G18" i="1"/>
  <c r="S17" i="1"/>
  <c r="L17" i="1"/>
  <c r="J17" i="1"/>
  <c r="H17" i="1"/>
  <c r="H20" i="1" s="1"/>
  <c r="F17" i="1"/>
  <c r="D17" i="1"/>
  <c r="R16" i="1"/>
  <c r="T16" i="1" s="1"/>
  <c r="T20" i="1" s="1"/>
  <c r="P16" i="1"/>
  <c r="M16" i="1"/>
  <c r="G16" i="1"/>
  <c r="S15" i="1"/>
  <c r="M15" i="1"/>
  <c r="G15" i="1"/>
  <c r="Y14" i="1"/>
  <c r="W14" i="1"/>
  <c r="Y13" i="1"/>
  <c r="W13" i="1"/>
  <c r="Y12" i="1"/>
  <c r="W12" i="1"/>
  <c r="Y11" i="1"/>
  <c r="W11" i="1"/>
  <c r="D11" i="1"/>
  <c r="Y10" i="1"/>
  <c r="W10" i="1"/>
  <c r="Y9" i="1"/>
  <c r="W9" i="1"/>
  <c r="S9" i="1"/>
  <c r="M9" i="1"/>
  <c r="G9" i="1"/>
  <c r="Y8" i="1"/>
  <c r="W8" i="1"/>
  <c r="R8" i="1"/>
  <c r="P8" i="1"/>
  <c r="T8" i="1" s="1"/>
  <c r="L8" i="1"/>
  <c r="N8" i="1" s="1"/>
  <c r="N11" i="1" s="1"/>
  <c r="J8" i="1"/>
  <c r="H8" i="1"/>
  <c r="H11" i="1" s="1"/>
  <c r="F8" i="1"/>
  <c r="D8" i="1"/>
  <c r="Y7" i="1"/>
  <c r="W7" i="1"/>
  <c r="S7" i="1"/>
  <c r="M7" i="1"/>
  <c r="G7" i="1"/>
  <c r="Y6" i="1"/>
  <c r="S6" i="1"/>
  <c r="M6" i="1"/>
  <c r="G6" i="1"/>
  <c r="V4" i="1"/>
  <c r="H18" i="21" l="1"/>
  <c r="H22" i="21" s="1"/>
  <c r="D12" i="21"/>
  <c r="T19" i="21"/>
  <c r="T22" i="21" s="1"/>
  <c r="J12" i="21"/>
  <c r="P12" i="21"/>
  <c r="J22" i="21"/>
  <c r="N19" i="20"/>
  <c r="N23" i="20" s="1"/>
  <c r="H8" i="20"/>
  <c r="H12" i="20" s="1"/>
  <c r="T19" i="20"/>
  <c r="T23" i="20" s="1"/>
  <c r="T8" i="20"/>
  <c r="T12" i="20" s="1"/>
  <c r="P13" i="19"/>
  <c r="N13" i="19"/>
  <c r="J13" i="19"/>
  <c r="N20" i="19"/>
  <c r="N23" i="19" s="1"/>
  <c r="H9" i="19"/>
  <c r="H13" i="19" s="1"/>
  <c r="T20" i="19"/>
  <c r="T23" i="19" s="1"/>
  <c r="D23" i="19"/>
  <c r="J22" i="18"/>
  <c r="N19" i="18"/>
  <c r="N22" i="18" s="1"/>
  <c r="T8" i="18"/>
  <c r="T12" i="18" s="1"/>
  <c r="D12" i="18"/>
  <c r="T19" i="18"/>
  <c r="T22" i="18" s="1"/>
  <c r="J12" i="18"/>
  <c r="D22" i="18"/>
  <c r="D25" i="17"/>
  <c r="H9" i="17"/>
  <c r="H14" i="17" s="1"/>
  <c r="N20" i="17"/>
  <c r="N25" i="17" s="1"/>
  <c r="N9" i="17"/>
  <c r="N14" i="17" s="1"/>
  <c r="H21" i="17"/>
  <c r="H25" i="17" s="1"/>
  <c r="P14" i="17"/>
  <c r="N11" i="16"/>
  <c r="J11" i="16"/>
  <c r="D21" i="16"/>
  <c r="J21" i="16"/>
  <c r="H17" i="16"/>
  <c r="H21" i="16" s="1"/>
  <c r="D11" i="16"/>
  <c r="N17" i="16"/>
  <c r="N21" i="16" s="1"/>
  <c r="J13" i="15"/>
  <c r="N8" i="15"/>
  <c r="N13" i="15" s="1"/>
  <c r="D13" i="15"/>
  <c r="H20" i="15"/>
  <c r="H23" i="15" s="1"/>
  <c r="N20" i="15"/>
  <c r="N23" i="15" s="1"/>
  <c r="H17" i="14"/>
  <c r="D17" i="14"/>
  <c r="H22" i="14"/>
  <c r="H32" i="14" s="1"/>
  <c r="H12" i="13"/>
  <c r="D12" i="13"/>
  <c r="N12" i="13"/>
  <c r="J12" i="13"/>
  <c r="D23" i="13"/>
  <c r="H19" i="13"/>
  <c r="H23" i="13" s="1"/>
  <c r="D29" i="11"/>
  <c r="H25" i="11"/>
  <c r="H29" i="11" s="1"/>
  <c r="H10" i="11"/>
  <c r="H16" i="11" s="1"/>
  <c r="N25" i="11"/>
  <c r="N29" i="11" s="1"/>
  <c r="N10" i="11"/>
  <c r="N16" i="11" s="1"/>
  <c r="N43" i="6"/>
  <c r="J43" i="6"/>
  <c r="H20" i="7"/>
  <c r="D20" i="7"/>
  <c r="N73" i="8"/>
  <c r="J73" i="8"/>
  <c r="T62" i="10"/>
  <c r="P62" i="10"/>
  <c r="H13" i="5"/>
  <c r="D13" i="5"/>
  <c r="AL20" i="6"/>
  <c r="AH20" i="6"/>
  <c r="H21" i="8"/>
  <c r="D21" i="8"/>
  <c r="T43" i="8"/>
  <c r="P43" i="8"/>
  <c r="Z37" i="9"/>
  <c r="V37" i="9"/>
  <c r="H63" i="3"/>
  <c r="D63" i="3"/>
  <c r="N81" i="4"/>
  <c r="J81" i="4"/>
  <c r="Z67" i="6"/>
  <c r="V67" i="6"/>
  <c r="H11" i="7"/>
  <c r="D11" i="7"/>
  <c r="N45" i="7"/>
  <c r="J45" i="7"/>
  <c r="H43" i="8"/>
  <c r="D43" i="8"/>
  <c r="N46" i="2"/>
  <c r="J46" i="2"/>
  <c r="Z11" i="6"/>
  <c r="V11" i="6"/>
  <c r="Z81" i="4"/>
  <c r="V81" i="4"/>
  <c r="T40" i="5"/>
  <c r="P40" i="5"/>
  <c r="T51" i="5"/>
  <c r="P51" i="5"/>
  <c r="T21" i="8"/>
  <c r="P21" i="8"/>
  <c r="T12" i="10"/>
  <c r="P12" i="10"/>
  <c r="H34" i="6"/>
  <c r="D34" i="6"/>
  <c r="H90" i="2"/>
  <c r="D90" i="2"/>
  <c r="Z53" i="4"/>
  <c r="V53" i="4"/>
  <c r="AL11" i="6"/>
  <c r="AH11" i="6"/>
  <c r="D12" i="9"/>
  <c r="H24" i="5"/>
  <c r="D24" i="5"/>
  <c r="H51" i="5"/>
  <c r="D51" i="5"/>
  <c r="H78" i="5"/>
  <c r="D78" i="5"/>
  <c r="H30" i="3"/>
  <c r="D30" i="3"/>
  <c r="H82" i="3"/>
  <c r="D82" i="3"/>
  <c r="T69" i="4"/>
  <c r="P69" i="4"/>
  <c r="N24" i="5"/>
  <c r="J24" i="5"/>
  <c r="N51" i="5"/>
  <c r="J51" i="5"/>
  <c r="H47" i="10"/>
  <c r="D47" i="10"/>
  <c r="H25" i="4"/>
  <c r="D25" i="4"/>
  <c r="N47" i="9"/>
  <c r="J47" i="9"/>
  <c r="T34" i="6"/>
  <c r="P34" i="6"/>
  <c r="AF58" i="6"/>
  <c r="AB58" i="6"/>
  <c r="D37" i="9"/>
  <c r="H62" i="9"/>
  <c r="D62" i="9"/>
  <c r="AF20" i="6"/>
  <c r="AB20" i="6"/>
  <c r="Z22" i="9"/>
  <c r="V22" i="9"/>
  <c r="V34" i="6"/>
  <c r="T11" i="1"/>
  <c r="P11" i="1"/>
  <c r="N43" i="1"/>
  <c r="J43" i="1"/>
  <c r="H66" i="1"/>
  <c r="D66" i="1"/>
  <c r="T37" i="9"/>
  <c r="P37" i="9"/>
  <c r="P62" i="9"/>
  <c r="Z72" i="9"/>
  <c r="V72" i="9"/>
  <c r="J30" i="3"/>
  <c r="J67" i="5"/>
  <c r="J58" i="6"/>
  <c r="J36" i="7"/>
  <c r="J37" i="9"/>
  <c r="N17" i="1"/>
  <c r="N20" i="1" s="1"/>
  <c r="Z36" i="4"/>
  <c r="Z41" i="4" s="1"/>
  <c r="N64" i="4"/>
  <c r="N69" i="4" s="1"/>
  <c r="T63" i="5"/>
  <c r="T67" i="5" s="1"/>
  <c r="N17" i="6"/>
  <c r="N20" i="6" s="1"/>
  <c r="AL30" i="6"/>
  <c r="AL34" i="6" s="1"/>
  <c r="N16" i="7"/>
  <c r="N20" i="7" s="1"/>
  <c r="N39" i="8"/>
  <c r="N43" i="8" s="1"/>
  <c r="T68" i="8"/>
  <c r="T73" i="8" s="1"/>
  <c r="Z58" i="9"/>
  <c r="Z62" i="9" s="1"/>
  <c r="N68" i="10"/>
  <c r="N72" i="10" s="1"/>
  <c r="J59" i="2"/>
  <c r="J82" i="3"/>
  <c r="P81" i="4"/>
  <c r="P58" i="6"/>
  <c r="D12" i="10"/>
  <c r="J47" i="10"/>
  <c r="N71" i="2"/>
  <c r="N77" i="2" s="1"/>
  <c r="T20" i="4"/>
  <c r="T25" i="4" s="1"/>
  <c r="H48" i="4"/>
  <c r="H53" i="4" s="1"/>
  <c r="N8" i="5"/>
  <c r="N13" i="5" s="1"/>
  <c r="Z40" i="6"/>
  <c r="Z43" i="6" s="1"/>
  <c r="AL63" i="6"/>
  <c r="AL67" i="6" s="1"/>
  <c r="N64" i="7"/>
  <c r="N68" i="7" s="1"/>
  <c r="T7" i="8"/>
  <c r="T12" i="8" s="1"/>
  <c r="D73" i="8"/>
  <c r="N78" i="8"/>
  <c r="N82" i="8" s="1"/>
  <c r="N8" i="10"/>
  <c r="N12" i="10" s="1"/>
  <c r="J63" i="3"/>
  <c r="J34" i="6"/>
  <c r="D43" i="6"/>
  <c r="V58" i="6"/>
  <c r="D47" i="9"/>
  <c r="H58" i="10"/>
  <c r="H62" i="10" s="1"/>
  <c r="T68" i="10"/>
  <c r="T72" i="10" s="1"/>
  <c r="N63" i="1"/>
  <c r="N66" i="1" s="1"/>
  <c r="Z64" i="4"/>
  <c r="Z69" i="4" s="1"/>
  <c r="N35" i="5"/>
  <c r="N40" i="5" s="1"/>
  <c r="D12" i="8"/>
  <c r="N17" i="8"/>
  <c r="N21" i="8" s="1"/>
  <c r="Z8" i="9"/>
  <c r="Z12" i="9" s="1"/>
  <c r="D28" i="2"/>
  <c r="D96" i="3"/>
  <c r="P24" i="5"/>
  <c r="D11" i="6"/>
  <c r="J62" i="9"/>
  <c r="J15" i="2"/>
  <c r="N11" i="3"/>
  <c r="N16" i="3" s="1"/>
  <c r="T48" i="4"/>
  <c r="T53" i="4" s="1"/>
  <c r="H76" i="4"/>
  <c r="H81" i="4" s="1"/>
  <c r="Z17" i="6"/>
  <c r="Z20" i="6" s="1"/>
  <c r="AL39" i="6"/>
  <c r="AL43" i="6" s="1"/>
  <c r="N7" i="7"/>
  <c r="N11" i="7" s="1"/>
  <c r="H41" i="7"/>
  <c r="H45" i="7" s="1"/>
  <c r="D59" i="7"/>
  <c r="D68" i="7"/>
  <c r="J12" i="8"/>
  <c r="P52" i="8"/>
  <c r="N58" i="10"/>
  <c r="N62" i="10" s="1"/>
  <c r="J11" i="1"/>
  <c r="D43" i="1"/>
  <c r="J28" i="2"/>
  <c r="H72" i="2"/>
  <c r="H77" i="2" s="1"/>
  <c r="J96" i="3"/>
  <c r="J78" i="5"/>
  <c r="D20" i="6"/>
  <c r="AH58" i="6"/>
  <c r="T68" i="9"/>
  <c r="T72" i="9" s="1"/>
  <c r="J22" i="10"/>
  <c r="N8" i="4"/>
  <c r="N13" i="4" s="1"/>
  <c r="J59" i="7"/>
  <c r="P20" i="1"/>
  <c r="J34" i="1"/>
  <c r="D57" i="1"/>
  <c r="T73" i="5"/>
  <c r="T78" i="5" s="1"/>
  <c r="AB34" i="6"/>
  <c r="D82" i="8"/>
  <c r="J12" i="9"/>
  <c r="P22" i="10"/>
  <c r="D72" i="10"/>
  <c r="N44" i="3"/>
  <c r="N49" i="3" s="1"/>
  <c r="H36" i="5"/>
  <c r="H40" i="5" s="1"/>
  <c r="P43" i="1"/>
  <c r="J57" i="1"/>
  <c r="J90" i="2"/>
  <c r="J53" i="4"/>
  <c r="P20" i="6"/>
  <c r="Z8" i="4"/>
  <c r="Z13" i="4" s="1"/>
  <c r="N36" i="4"/>
  <c r="N41" i="4" s="1"/>
  <c r="T9" i="5"/>
  <c r="T13" i="5" s="1"/>
  <c r="H63" i="5"/>
  <c r="H67" i="5" s="1"/>
  <c r="N33" i="10"/>
  <c r="N37" i="10" s="1"/>
  <c r="P57" i="1"/>
  <c r="P66" i="1"/>
  <c r="P22" i="21" l="1"/>
  <c r="D22" i="21"/>
  <c r="P23" i="20"/>
  <c r="J23" i="20"/>
  <c r="P12" i="20"/>
  <c r="D12" i="20"/>
  <c r="P23" i="19"/>
  <c r="J23" i="19"/>
  <c r="D13" i="19"/>
  <c r="P22" i="18"/>
  <c r="P12" i="18"/>
  <c r="J25" i="17"/>
  <c r="J14" i="17"/>
  <c r="D14" i="17"/>
  <c r="J23" i="15"/>
  <c r="D23" i="15"/>
  <c r="D32" i="14"/>
  <c r="J29" i="11"/>
  <c r="D16" i="11"/>
  <c r="J16" i="11"/>
  <c r="P72" i="9"/>
  <c r="J20" i="1"/>
  <c r="P13" i="5"/>
  <c r="D67" i="5"/>
  <c r="D81" i="4"/>
  <c r="D40" i="5"/>
  <c r="J20" i="6"/>
  <c r="J66" i="1"/>
  <c r="V12" i="9"/>
  <c r="P73" i="8"/>
  <c r="P53" i="4"/>
  <c r="AH43" i="6"/>
  <c r="J49" i="3"/>
  <c r="J16" i="3"/>
  <c r="V20" i="6"/>
  <c r="J77" i="2"/>
  <c r="V43" i="6"/>
  <c r="J20" i="7"/>
  <c r="P67" i="5"/>
  <c r="V69" i="4"/>
  <c r="V62" i="9"/>
  <c r="V41" i="4"/>
  <c r="D45" i="7"/>
  <c r="D77" i="2"/>
  <c r="AH67" i="6"/>
  <c r="V13" i="4"/>
  <c r="P12" i="8"/>
  <c r="P72" i="10"/>
  <c r="J40" i="5"/>
  <c r="J11" i="7"/>
  <c r="P78" i="5"/>
  <c r="D62" i="10"/>
  <c r="J37" i="10"/>
  <c r="J62" i="10"/>
  <c r="J82" i="8"/>
  <c r="J21" i="8"/>
  <c r="J68" i="7"/>
  <c r="J69" i="4"/>
  <c r="P25" i="4"/>
  <c r="J13" i="5"/>
  <c r="J72" i="10"/>
  <c r="J41" i="4"/>
  <c r="J12" i="10"/>
  <c r="D53" i="4"/>
  <c r="J43" i="8"/>
  <c r="AH34" i="6"/>
  <c r="J13" i="4"/>
</calcChain>
</file>

<file path=xl/sharedStrings.xml><?xml version="1.0" encoding="utf-8"?>
<sst xmlns="http://schemas.openxmlformats.org/spreadsheetml/2006/main" count="2887" uniqueCount="145">
  <si>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011 - ATÉ O CENTRO</t>
    </r>
  </si>
  <si>
    <t>FREQUÊNCIA DA LINHA 011</t>
  </si>
  <si>
    <t>1º TURNO</t>
  </si>
  <si>
    <t>SÁBADO (PASSO A PAÇO)</t>
  </si>
  <si>
    <t>TAB - 0101</t>
  </si>
  <si>
    <t>TAB - 0102</t>
  </si>
  <si>
    <t>TAB - 0103</t>
  </si>
  <si>
    <t>DESLOCAMENTO</t>
  </si>
  <si>
    <t>IDA</t>
  </si>
  <si>
    <t>VOLTA</t>
  </si>
  <si>
    <t>TÉRM.</t>
  </si>
  <si>
    <t>T. VIAG.</t>
  </si>
  <si>
    <t>LINHA</t>
  </si>
  <si>
    <t>VEIC.</t>
  </si>
  <si>
    <t>HORA</t>
  </si>
  <si>
    <t>FREQ.</t>
  </si>
  <si>
    <t>SÃO PEDRO - CONVENCIONAL AR P.E</t>
  </si>
  <si>
    <t>JORN.</t>
  </si>
  <si>
    <t>2º TURNO</t>
  </si>
  <si>
    <t>TAB - 0201</t>
  </si>
  <si>
    <t>TAB - 0202</t>
  </si>
  <si>
    <t>TAB - 0203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</si>
  <si>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011 - ATÉ O CENTRO</t>
    </r>
  </si>
  <si>
    <t>DOMINGO (PASSO A PAÇO)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</si>
  <si>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011 - ATÉ O CENTRO</t>
    </r>
  </si>
  <si>
    <t>SEGUNDA (PASSO A PAÇO)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</si>
  <si>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101</t>
    </r>
  </si>
  <si>
    <t>FREQUÊNCIA DA LINHA 101</t>
  </si>
  <si>
    <t>2</t>
  </si>
  <si>
    <t>MICRÃO AR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</si>
  <si>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101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</si>
  <si>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101</t>
    </r>
  </si>
  <si>
    <t>05/09/2026 -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</si>
  <si>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113</t>
    </r>
  </si>
  <si>
    <t>FREQUÊNCIA DA LINHA 113</t>
  </si>
  <si>
    <t>CONVENCIONAL</t>
  </si>
  <si>
    <t>06/09/2026 -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</si>
  <si>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113</t>
    </r>
  </si>
  <si>
    <t>07/09/2026 - SEM COBRADOR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</si>
  <si>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113</t>
    </r>
  </si>
  <si>
    <t>05/09/2026 - COM COBRADOR</t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</si>
  <si>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SÁBADO (PASSO A PAÇO)</t>
    </r>
    <r>
      <rPr>
        <b/>
        <sz val="18"/>
        <color theme="1"/>
        <rFont val="Calibri"/>
        <family val="2"/>
        <scheme val="minor"/>
      </rPr>
      <t>, LINHA 120</t>
    </r>
  </si>
  <si>
    <t>FREQUÊNCIA DA LINHA 120</t>
  </si>
  <si>
    <t>TAB - 0104</t>
  </si>
  <si>
    <t>VIA VERDE - CONVENCIONAL AR P.E</t>
  </si>
  <si>
    <t>TAB - 0204</t>
  </si>
  <si>
    <t>06/09/2026 - COM COBRADOR</t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</si>
  <si>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DOMINGO (PASSO A PAÇO)</t>
    </r>
    <r>
      <rPr>
        <b/>
        <sz val="18"/>
        <color theme="1"/>
        <rFont val="Calibri"/>
        <family val="2"/>
        <scheme val="minor"/>
      </rPr>
      <t>, LINHA 120</t>
    </r>
  </si>
  <si>
    <t>07/09/2026 - COM COBRADOR</t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</si>
  <si>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SEGUNDA-FEIRA (PASSO A PAÇO)</t>
    </r>
    <r>
      <rPr>
        <b/>
        <sz val="18"/>
        <color theme="1"/>
        <rFont val="Calibri"/>
        <family val="2"/>
        <scheme val="minor"/>
      </rPr>
      <t>, LINHA 120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</si>
  <si>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121</t>
    </r>
  </si>
  <si>
    <t>FREQUÊNCIA DA LINHA 121</t>
  </si>
  <si>
    <t>CONVENCIONAL AR -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</si>
  <si>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121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</si>
  <si>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121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</si>
  <si>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(PASSO A PAÇO)</t>
    </r>
    <r>
      <rPr>
        <b/>
        <sz val="18"/>
        <color theme="1"/>
        <rFont val="Calibri"/>
        <family val="2"/>
        <scheme val="minor"/>
      </rPr>
      <t>, LINHA 126</t>
    </r>
  </si>
  <si>
    <t>FREQUÊNCIA DA LINHA 126</t>
  </si>
  <si>
    <t>TAB - 0105</t>
  </si>
  <si>
    <t>TAB - 0106</t>
  </si>
  <si>
    <t>CONVENCIONAL AR</t>
  </si>
  <si>
    <t>TAB - 0205</t>
  </si>
  <si>
    <t>TAB - 0206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</si>
  <si>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(PASSO A PAÇO)</t>
    </r>
    <r>
      <rPr>
        <b/>
        <sz val="18"/>
        <color theme="1"/>
        <rFont val="Calibri"/>
        <family val="2"/>
        <scheme val="minor"/>
      </rPr>
      <t>, LINHA 126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</si>
  <si>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>(PASSO A PAÇO)</t>
    </r>
    <r>
      <rPr>
        <b/>
        <sz val="18"/>
        <color theme="1"/>
        <rFont val="Calibri"/>
        <family val="2"/>
        <scheme val="minor"/>
      </rPr>
      <t>, LINHA 126</t>
    </r>
  </si>
  <si>
    <t>SEGUNDA - FEIRA (PASSO A PAÇO)</t>
  </si>
  <si>
    <r>
      <t xml:space="preserve"> QUADRO OPERACIONAL, </t>
    </r>
    <r>
      <rPr>
        <b/>
        <sz val="18"/>
        <color rgb="FFFF0000"/>
        <rFont val="Calibri"/>
        <family val="2"/>
      </rPr>
      <t>SÁBADO (PASSO A PAÇO)</t>
    </r>
    <r>
      <rPr>
        <b/>
        <sz val="18"/>
        <color theme="1"/>
        <rFont val="Calibri"/>
        <family val="2"/>
      </rPr>
      <t>, LINHA 302 - ATE O CENTRO</t>
    </r>
  </si>
  <si>
    <t>FREQUÊNCIA DA LINHA 302</t>
  </si>
  <si>
    <t>302.1</t>
  </si>
  <si>
    <t>VIA VERDE - CONVENCIONAL P.E</t>
  </si>
  <si>
    <t>OBS: A LINHA SAIRÁ DA PRAÇA DA SAUDADE E ATENDERÁ O CENTRO!</t>
  </si>
  <si>
    <r>
      <t xml:space="preserve"> QUADRO OPERACIONAL, </t>
    </r>
    <r>
      <rPr>
        <b/>
        <sz val="18"/>
        <color rgb="FFFF0000"/>
        <rFont val="Calibri"/>
        <family val="2"/>
      </rPr>
      <t>DOMINGO (PASSO A PAÇO)</t>
    </r>
    <r>
      <rPr>
        <b/>
        <sz val="18"/>
        <color theme="1"/>
        <rFont val="Calibri"/>
        <family val="2"/>
      </rPr>
      <t>, LINHA 302</t>
    </r>
  </si>
  <si>
    <r>
      <t xml:space="preserve"> QUADRO OPERACIONAL, </t>
    </r>
    <r>
      <rPr>
        <b/>
        <sz val="18"/>
        <color rgb="FFFF0000"/>
        <rFont val="Calibri"/>
        <family val="2"/>
      </rPr>
      <t>SEGUNDA-FEIRA (PASSO A PAÇO)</t>
    </r>
    <r>
      <rPr>
        <b/>
        <sz val="18"/>
        <color theme="1"/>
        <rFont val="Calibri"/>
        <family val="2"/>
      </rPr>
      <t>, LINHA 302</t>
    </r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</si>
  <si>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SÁBADO (PASSO A PAÇO)</t>
    </r>
    <r>
      <rPr>
        <b/>
        <sz val="18"/>
        <rFont val="Calibri"/>
        <family val="2"/>
        <scheme val="minor"/>
      </rPr>
      <t>,</t>
    </r>
    <r>
      <rPr>
        <b/>
        <sz val="18"/>
        <color theme="1"/>
        <rFont val="Calibri"/>
        <family val="2"/>
        <scheme val="minor"/>
      </rPr>
      <t xml:space="preserve"> LINHA 305 - ATÉ O CENTRO</t>
    </r>
  </si>
  <si>
    <t>FREQUÊNCIA DA LINHA 305</t>
  </si>
  <si>
    <t>SÁBADO ( PASSO A PAÇO)</t>
  </si>
  <si>
    <t>305.1</t>
  </si>
  <si>
    <t>KM 41</t>
  </si>
  <si>
    <t>CENTRO</t>
  </si>
  <si>
    <t>INTERVALO NO KM 41</t>
  </si>
  <si>
    <t xml:space="preserve">LÍDER - CONVENCIONAL AR P.E </t>
  </si>
  <si>
    <t>305.2</t>
  </si>
  <si>
    <t>VIAGENS COMPLETAS</t>
  </si>
  <si>
    <t>INICIA NO POSTO DE GASOLINA AO LADO DO VEICULAR TRANSPORTES</t>
  </si>
  <si>
    <t>FINALIZA NA DAFRA</t>
  </si>
  <si>
    <t>OBS: A LINHA SAIRÁ DA PRAÇA DA SAUDADE E ATENDERÁ O CENTRO</t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</si>
  <si>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DOMINGO (PASSO A PAÇO)</t>
    </r>
    <r>
      <rPr>
        <b/>
        <sz val="18"/>
        <rFont val="Calibri"/>
        <family val="2"/>
        <scheme val="minor"/>
      </rPr>
      <t>,</t>
    </r>
    <r>
      <rPr>
        <b/>
        <sz val="18"/>
        <color theme="1"/>
        <rFont val="Calibri"/>
        <family val="2"/>
        <scheme val="minor"/>
      </rPr>
      <t xml:space="preserve"> LINHA 305 - ATÉ O CENTRO</t>
    </r>
  </si>
  <si>
    <t>OBS: A LINHA SAIRÁ DA PRAÇA DA SAUDADE E ATENDERÁ P CENTRO!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</si>
  <si>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rFont val="Calibri"/>
        <family val="2"/>
        <scheme val="minor"/>
      </rPr>
      <t>,</t>
    </r>
    <r>
      <rPr>
        <b/>
        <sz val="18"/>
        <color theme="1"/>
        <rFont val="Calibri"/>
        <family val="2"/>
        <scheme val="minor"/>
      </rPr>
      <t xml:space="preserve"> LINHA 305 -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</si>
  <si>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320 - ATÉ O CENTRO</t>
    </r>
  </si>
  <si>
    <t>FREQUÊNCIA DA LINHA 320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</si>
  <si>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320 -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</si>
  <si>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320 -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</si>
  <si>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321 - ATÉ O CENTRO</t>
    </r>
  </si>
  <si>
    <t>FREQUÊNCIA DA LINHA 321</t>
  </si>
  <si>
    <t>VEGA - CONVENCIONAL AR - P.E</t>
  </si>
  <si>
    <t>LÍDER - CONVENCIONAL AR - P.E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</si>
  <si>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321 - ATÉ O CENTRO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</si>
  <si>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321 - ATÉ O CENTRO</t>
    </r>
  </si>
  <si>
    <t>FREQUÊNCIA DA LINHA 111</t>
  </si>
  <si>
    <t>SÁBADO E DOMINGO</t>
  </si>
  <si>
    <t>CONVENCIONAL AR SEM COBRADOR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</si>
  <si>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110</t>
    </r>
  </si>
  <si>
    <t>FREQUÊNCIA DA LINHA 110</t>
  </si>
  <si>
    <t>DOMINGO</t>
  </si>
  <si>
    <r>
      <t xml:space="preserve">PROPOSTA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 112</t>
    </r>
  </si>
  <si>
    <t>FREQUÊNCIA DA LINHA 112</t>
  </si>
  <si>
    <t>VEI.</t>
  </si>
  <si>
    <t>FREQUÊNCIA DA LINHA 119</t>
  </si>
  <si>
    <t>15/08/2026 - SEM COBRADOR AOS DOMINGOS</t>
  </si>
  <si>
    <t>FREQUÊNCIA DA LINHA 123</t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</si>
  <si>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127</t>
    </r>
  </si>
  <si>
    <t>FREQUÊNCIA DA LINHA 127</t>
  </si>
  <si>
    <t>06/07/2025 - SEM COBRADOR AOS DOMINGOS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</si>
  <si>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 LINHA 129</t>
    </r>
  </si>
  <si>
    <t>FREQUÊNCIA DA LINHA 129</t>
  </si>
  <si>
    <t>1º Turno</t>
  </si>
  <si>
    <t>VEÍ.</t>
  </si>
  <si>
    <t>2º Turno</t>
  </si>
  <si>
    <t>24 Viagens</t>
  </si>
  <si>
    <t>25/04/2026 - SEM COBRADOR AOS DOMINGOS</t>
  </si>
  <si>
    <t>FREQUÊNCIA DA LINHA 211</t>
  </si>
  <si>
    <t>CONVENCIONAL - P.E</t>
  </si>
  <si>
    <t>12/04/2026 - SEM COBRADOR</t>
  </si>
  <si>
    <r>
      <rPr>
        <b/>
        <sz val="18"/>
        <color theme="1"/>
        <rFont val="Calibri"/>
        <family val="2"/>
      </rP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306</t>
    </r>
  </si>
  <si>
    <t>FREQUÊNCIA DA LINHA 306</t>
  </si>
  <si>
    <t>306</t>
  </si>
  <si>
    <t>21/06/2026 - SEM COBRADOR</t>
  </si>
  <si>
    <r>
      <rPr>
        <b/>
        <sz val="16"/>
        <color theme="1"/>
        <rFont val="Calibri"/>
        <family val="2"/>
      </rPr>
      <t xml:space="preserve"> QUADRO OPERACIONAL, </t>
    </r>
    <r>
      <rPr>
        <b/>
        <sz val="16"/>
        <color rgb="FFFF0000"/>
        <rFont val="Calibri"/>
        <family val="2"/>
      </rPr>
      <t>DOMINGO</t>
    </r>
    <r>
      <rPr>
        <b/>
        <sz val="16"/>
        <color theme="1"/>
        <rFont val="Calibri"/>
        <family val="2"/>
      </rPr>
      <t>, LINHA 324</t>
    </r>
  </si>
  <si>
    <t>FREQUÊNCIA DA LINHA 324</t>
  </si>
  <si>
    <t>CONVENCIONAL AR - P.E SEM COBRADOR</t>
  </si>
  <si>
    <t xml:space="preserve">09/06/2024 - SEM COBRADOR </t>
  </si>
  <si>
    <r>
      <rPr>
        <b/>
        <sz val="18"/>
        <color theme="1"/>
        <rFont val="Calibri"/>
        <family val="2"/>
      </rPr>
      <t xml:space="preserve">PROPOSTA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 221</t>
    </r>
  </si>
  <si>
    <t>FREQUÊNCIA DA LINHA 221</t>
  </si>
  <si>
    <t>FREQUÊNCIA DA LINHA 219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</si>
  <si>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SÁBADO (PASSO A PAÇO)</t>
    </r>
    <r>
      <rPr>
        <b/>
        <sz val="18"/>
        <color theme="1"/>
        <rFont val="Calibri"/>
        <family val="2"/>
        <scheme val="minor"/>
      </rPr>
      <t>, LINHA 219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</si>
  <si>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DOMINGO (PASSO A PAÇO)</t>
    </r>
    <r>
      <rPr>
        <b/>
        <sz val="18"/>
        <color theme="1"/>
        <rFont val="Calibri"/>
        <family val="2"/>
        <scheme val="minor"/>
      </rPr>
      <t>, LINHA 219</t>
    </r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</si>
  <si>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SEGUNDA-FEIRA (PASSO A PAÇO)</t>
    </r>
    <r>
      <rPr>
        <b/>
        <sz val="18"/>
        <color theme="1"/>
        <rFont val="Calibri"/>
        <family val="2"/>
        <scheme val="minor"/>
      </rPr>
      <t>, LINHA 219</t>
    </r>
  </si>
  <si>
    <r>
      <t xml:space="preserve"> QUADRO OPERACIONAL,</t>
    </r>
    <r>
      <rPr>
        <b/>
        <sz val="18"/>
        <color rgb="FFFF0000"/>
        <rFont val="Calibri"/>
        <family val="2"/>
      </rPr>
      <t xml:space="preserve"> DOMINGO</t>
    </r>
    <r>
      <rPr>
        <b/>
        <sz val="18"/>
        <color theme="1"/>
        <rFont val="Calibri"/>
        <family val="2"/>
      </rPr>
      <t>, LINHA 111</t>
    </r>
  </si>
  <si>
    <r>
      <t xml:space="preserve"> QUADRO OPERACIONAL, </t>
    </r>
    <r>
      <rPr>
        <b/>
        <sz val="18"/>
        <color rgb="FFFF0000"/>
        <rFont val="Calibri"/>
        <family val="2"/>
      </rPr>
      <t>DOMINGO</t>
    </r>
    <r>
      <rPr>
        <b/>
        <sz val="18"/>
        <color theme="1"/>
        <rFont val="Calibri"/>
        <family val="2"/>
      </rPr>
      <t>, LINHA  119</t>
    </r>
  </si>
  <si>
    <r>
      <t xml:space="preserve"> QUADRO OPERACIONAL,</t>
    </r>
    <r>
      <rPr>
        <b/>
        <sz val="18"/>
        <color rgb="FFFF0000"/>
        <rFont val="Calibri"/>
        <family val="2"/>
      </rPr>
      <t xml:space="preserve"> DOMINGO</t>
    </r>
    <r>
      <rPr>
        <b/>
        <sz val="18"/>
        <color theme="1"/>
        <rFont val="Calibri"/>
        <family val="2"/>
      </rPr>
      <t>, LINHA 123</t>
    </r>
  </si>
  <si>
    <r>
      <t>QUADRO OPERACIONAL,</t>
    </r>
    <r>
      <rPr>
        <b/>
        <sz val="18"/>
        <color rgb="FFFF0000"/>
        <rFont val="Calibri"/>
        <family val="2"/>
      </rPr>
      <t xml:space="preserve"> DOMINGO</t>
    </r>
    <r>
      <rPr>
        <b/>
        <sz val="18"/>
        <color theme="1"/>
        <rFont val="Calibri"/>
        <family val="2"/>
      </rPr>
      <t>,  LINHA 211</t>
    </r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</si>
  <si>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SEGUNDA-FEIRA (PASSO A PAÇO)</t>
    </r>
    <r>
      <rPr>
        <b/>
        <sz val="18"/>
        <color theme="1"/>
        <rFont val="Calibri"/>
        <family val="2"/>
        <scheme val="minor"/>
      </rPr>
      <t>, LINHA 216 - ATÉ O CENTRO</t>
    </r>
  </si>
  <si>
    <t>FREQUÊNCIA DA LINHA 216</t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</si>
  <si>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SÁBADO (PASSO A PAÇO)</t>
    </r>
    <r>
      <rPr>
        <b/>
        <sz val="18"/>
        <color theme="1"/>
        <rFont val="Calibri"/>
        <family val="2"/>
        <scheme val="minor"/>
      </rPr>
      <t>, LINHA 216 - ATÉ O CENTRO</t>
    </r>
  </si>
  <si>
    <r>
      <t xml:space="preserve"> QUADRO OPERACIONAL,</t>
    </r>
    <r>
      <rPr>
        <b/>
        <sz val="18"/>
        <color rgb="FFFF0000"/>
        <rFont val="Calibri"/>
        <family val="2"/>
        <scheme val="minor"/>
      </rPr>
      <t xml:space="preserve"> DOMINGO (PASSO A PAÇO)</t>
    </r>
    <r>
      <rPr>
        <b/>
        <sz val="18"/>
        <color theme="1"/>
        <rFont val="Calibri"/>
        <family val="2"/>
        <scheme val="minor"/>
      </rPr>
      <t>, LINHA 216 - ATÉ O CENTRO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</si>
</sst>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b/>
      <sz val="20"/>
      <color theme="0"/>
      <name val="Calibri"/>
      <family val="2"/>
    </font>
    <font>
      <sz val="20"/>
      <color theme="0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b/>
      <sz val="18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31869B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E5E5E5"/>
        <bgColor rgb="FFE5E5E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B8CCE4"/>
        <bgColor rgb="FFB8CCE4"/>
      </patternFill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53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CC"/>
        <bgColor rgb="FF00FFCC"/>
      </patternFill>
    </fill>
    <fill>
      <patternFill patternType="solid">
        <fgColor theme="7" tint="0.39997558519241921"/>
        <bgColor rgb="FF99FF66"/>
      </patternFill>
    </fill>
    <fill>
      <patternFill patternType="solid">
        <fgColor theme="8" tint="0.59999389629810485"/>
        <bgColor rgb="FFFF7C8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B6DDE8"/>
        <bgColor rgb="FFB6DDE8"/>
      </patternFill>
    </fill>
    <fill>
      <patternFill patternType="solid">
        <fgColor rgb="FFE5DFEC"/>
        <bgColor rgb="FFE5DFEC"/>
      </patternFill>
    </fill>
    <fill>
      <patternFill patternType="solid">
        <fgColor rgb="FF95B3D7"/>
        <bgColor rgb="FF95B3D7"/>
      </patternFill>
    </fill>
    <fill>
      <patternFill patternType="solid">
        <fgColor theme="8" tint="-0.249977111117893"/>
        <bgColor rgb="FF0070C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DE9D9"/>
        <bgColor rgb="FFFDE9D9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7" fillId="0" borderId="0"/>
  </cellStyleXfs>
  <cellXfs count="463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Continuous" vertical="center"/>
    </xf>
    <xf numFmtId="0" fontId="5" fillId="3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 vertical="center"/>
    </xf>
    <xf numFmtId="0" fontId="6" fillId="0" borderId="4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8" fillId="0" borderId="4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20" fontId="11" fillId="0" borderId="12" xfId="0" applyNumberFormat="1" applyFont="1" applyBorder="1" applyAlignment="1">
      <alignment horizontal="center" vertical="center"/>
    </xf>
    <xf numFmtId="20" fontId="12" fillId="0" borderId="12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9" fillId="0" borderId="15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20" fontId="9" fillId="0" borderId="16" xfId="0" applyNumberFormat="1" applyFont="1" applyBorder="1" applyAlignment="1">
      <alignment horizontal="center" vertical="center"/>
    </xf>
    <xf numFmtId="20" fontId="1" fillId="0" borderId="17" xfId="0" applyNumberFormat="1" applyFont="1" applyBorder="1" applyAlignment="1">
      <alignment horizontal="center" vertical="center"/>
    </xf>
    <xf numFmtId="20" fontId="9" fillId="0" borderId="18" xfId="0" applyNumberFormat="1" applyFont="1" applyBorder="1" applyAlignment="1">
      <alignment horizontal="center" vertical="center"/>
    </xf>
    <xf numFmtId="20" fontId="1" fillId="0" borderId="18" xfId="0" applyNumberFormat="1" applyFont="1" applyBorder="1" applyAlignment="1">
      <alignment horizontal="center" vertical="center"/>
    </xf>
    <xf numFmtId="20" fontId="9" fillId="0" borderId="19" xfId="0" applyNumberFormat="1" applyFont="1" applyBorder="1" applyAlignment="1">
      <alignment horizontal="center" vertical="center"/>
    </xf>
    <xf numFmtId="20" fontId="9" fillId="6" borderId="4" xfId="0" applyNumberFormat="1" applyFont="1" applyFill="1" applyBorder="1" applyAlignment="1">
      <alignment horizontal="centerContinuous" vertical="center"/>
    </xf>
    <xf numFmtId="20" fontId="9" fillId="6" borderId="3" xfId="0" applyNumberFormat="1" applyFont="1" applyFill="1" applyBorder="1" applyAlignment="1">
      <alignment horizontal="centerContinuous" vertical="center"/>
    </xf>
    <xf numFmtId="20" fontId="9" fillId="6" borderId="2" xfId="0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20" fontId="5" fillId="6" borderId="4" xfId="0" applyNumberFormat="1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horizontal="centerContinuous" vertical="center"/>
    </xf>
    <xf numFmtId="0" fontId="5" fillId="6" borderId="3" xfId="0" applyFont="1" applyFill="1" applyBorder="1" applyAlignment="1">
      <alignment horizontal="centerContinuous" vertical="center"/>
    </xf>
    <xf numFmtId="20" fontId="5" fillId="8" borderId="4" xfId="0" applyNumberFormat="1" applyFont="1" applyFill="1" applyBorder="1" applyAlignment="1">
      <alignment horizontal="centerContinuous" vertical="center"/>
    </xf>
    <xf numFmtId="20" fontId="5" fillId="8" borderId="3" xfId="0" applyNumberFormat="1" applyFont="1" applyFill="1" applyBorder="1" applyAlignment="1">
      <alignment horizontal="centerContinuous" vertical="center"/>
    </xf>
    <xf numFmtId="20" fontId="5" fillId="8" borderId="2" xfId="0" applyNumberFormat="1" applyFont="1" applyFill="1" applyBorder="1" applyAlignment="1">
      <alignment horizontal="centerContinuous" vertical="center"/>
    </xf>
    <xf numFmtId="20" fontId="1" fillId="0" borderId="24" xfId="0" applyNumberFormat="1" applyFont="1" applyBorder="1" applyAlignment="1">
      <alignment horizontal="center" vertical="center"/>
    </xf>
    <xf numFmtId="20" fontId="9" fillId="0" borderId="25" xfId="0" applyNumberFormat="1" applyFont="1" applyBorder="1" applyAlignment="1">
      <alignment horizontal="center" vertical="center"/>
    </xf>
    <xf numFmtId="20" fontId="1" fillId="0" borderId="25" xfId="0" applyNumberFormat="1" applyFont="1" applyBorder="1" applyAlignment="1">
      <alignment horizontal="center" vertical="center"/>
    </xf>
    <xf numFmtId="20" fontId="9" fillId="0" borderId="2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6" borderId="28" xfId="0" applyFont="1" applyFill="1" applyBorder="1" applyAlignment="1">
      <alignment horizontal="centerContinuous" vertical="center"/>
    </xf>
    <xf numFmtId="0" fontId="5" fillId="6" borderId="29" xfId="0" applyFont="1" applyFill="1" applyBorder="1" applyAlignment="1">
      <alignment horizontal="centerContinuous" vertical="center"/>
    </xf>
    <xf numFmtId="20" fontId="5" fillId="8" borderId="20" xfId="0" applyNumberFormat="1" applyFont="1" applyFill="1" applyBorder="1" applyAlignment="1">
      <alignment horizontal="centerContinuous" vertical="center"/>
    </xf>
    <xf numFmtId="20" fontId="5" fillId="8" borderId="29" xfId="0" applyNumberFormat="1" applyFont="1" applyFill="1" applyBorder="1" applyAlignment="1">
      <alignment horizontal="centerContinuous" vertical="center"/>
    </xf>
    <xf numFmtId="0" fontId="1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0" fontId="1" fillId="0" borderId="31" xfId="0" applyNumberFormat="1" applyFont="1" applyBorder="1" applyAlignment="1">
      <alignment horizontal="center" vertical="center"/>
    </xf>
    <xf numFmtId="20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6" xfId="0" applyNumberFormat="1" applyFont="1" applyBorder="1" applyAlignment="1">
      <alignment horizontal="center" vertical="center"/>
    </xf>
    <xf numFmtId="20" fontId="15" fillId="0" borderId="32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" fillId="0" borderId="0" xfId="1"/>
    <xf numFmtId="20" fontId="7" fillId="0" borderId="39" xfId="1" applyNumberFormat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0" fillId="0" borderId="42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20" fontId="11" fillId="12" borderId="11" xfId="1" applyNumberFormat="1" applyFont="1" applyFill="1" applyBorder="1" applyAlignment="1">
      <alignment horizontal="center" vertical="center"/>
    </xf>
    <xf numFmtId="20" fontId="11" fillId="12" borderId="12" xfId="1" applyNumberFormat="1" applyFont="1" applyFill="1" applyBorder="1" applyAlignment="1">
      <alignment horizontal="center" vertical="center"/>
    </xf>
    <xf numFmtId="20" fontId="12" fillId="12" borderId="12" xfId="1" applyNumberFormat="1" applyFont="1" applyFill="1" applyBorder="1" applyAlignment="1">
      <alignment horizontal="center" vertical="center"/>
    </xf>
    <xf numFmtId="0" fontId="11" fillId="13" borderId="43" xfId="1" applyFont="1" applyFill="1" applyBorder="1" applyAlignment="1">
      <alignment horizontal="center" vertical="center"/>
    </xf>
    <xf numFmtId="0" fontId="11" fillId="12" borderId="13" xfId="1" applyFont="1" applyFill="1" applyBorder="1" applyAlignment="1">
      <alignment horizontal="center" vertical="center"/>
    </xf>
    <xf numFmtId="20" fontId="11" fillId="0" borderId="11" xfId="1" applyNumberFormat="1" applyFont="1" applyBorder="1" applyAlignment="1">
      <alignment horizontal="center" vertical="center"/>
    </xf>
    <xf numFmtId="20" fontId="11" fillId="0" borderId="12" xfId="1" applyNumberFormat="1" applyFont="1" applyBorder="1" applyAlignment="1">
      <alignment horizontal="center" vertical="center"/>
    </xf>
    <xf numFmtId="20" fontId="12" fillId="0" borderId="12" xfId="1" applyNumberFormat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20" fontId="11" fillId="12" borderId="44" xfId="1" applyNumberFormat="1" applyFont="1" applyFill="1" applyBorder="1" applyAlignment="1">
      <alignment horizontal="center" vertical="center"/>
    </xf>
    <xf numFmtId="20" fontId="7" fillId="0" borderId="43" xfId="1" applyNumberFormat="1" applyFont="1" applyBorder="1" applyAlignment="1">
      <alignment horizontal="center" vertical="center"/>
    </xf>
    <xf numFmtId="20" fontId="11" fillId="0" borderId="43" xfId="1" applyNumberFormat="1" applyFont="1" applyBorder="1" applyAlignment="1">
      <alignment horizontal="center" vertical="center"/>
    </xf>
    <xf numFmtId="20" fontId="7" fillId="0" borderId="45" xfId="1" applyNumberFormat="1" applyFont="1" applyBorder="1" applyAlignment="1">
      <alignment horizontal="center" vertical="center"/>
    </xf>
    <xf numFmtId="20" fontId="7" fillId="0" borderId="12" xfId="1" applyNumberFormat="1" applyFont="1" applyBorder="1" applyAlignment="1">
      <alignment horizontal="center" vertical="center"/>
    </xf>
    <xf numFmtId="20" fontId="7" fillId="0" borderId="46" xfId="1" applyNumberFormat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14" borderId="23" xfId="1" applyFont="1" applyFill="1" applyBorder="1" applyAlignment="1">
      <alignment horizontal="center" vertical="center"/>
    </xf>
    <xf numFmtId="20" fontId="11" fillId="0" borderId="48" xfId="1" applyNumberFormat="1" applyFont="1" applyBorder="1" applyAlignment="1">
      <alignment horizontal="center" vertical="center"/>
    </xf>
    <xf numFmtId="20" fontId="7" fillId="0" borderId="49" xfId="1" applyNumberFormat="1" applyFont="1" applyBorder="1" applyAlignment="1">
      <alignment horizontal="center" vertical="center"/>
    </xf>
    <xf numFmtId="0" fontId="11" fillId="0" borderId="49" xfId="1" applyFont="1" applyBorder="1" applyAlignment="1">
      <alignment horizontal="center" vertical="center"/>
    </xf>
    <xf numFmtId="0" fontId="11" fillId="0" borderId="50" xfId="1" applyFont="1" applyBorder="1" applyAlignment="1">
      <alignment horizontal="center" vertical="center"/>
    </xf>
    <xf numFmtId="20" fontId="11" fillId="0" borderId="44" xfId="1" applyNumberFormat="1" applyFont="1" applyBorder="1" applyAlignment="1">
      <alignment horizontal="center" vertical="center"/>
    </xf>
    <xf numFmtId="20" fontId="12" fillId="0" borderId="43" xfId="1" applyNumberFormat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0" fontId="11" fillId="0" borderId="46" xfId="1" applyFont="1" applyBorder="1" applyAlignment="1">
      <alignment horizontal="center" vertical="center"/>
    </xf>
    <xf numFmtId="0" fontId="10" fillId="0" borderId="0" xfId="1" applyFont="1"/>
    <xf numFmtId="20" fontId="7" fillId="0" borderId="39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20" fontId="11" fillId="12" borderId="11" xfId="0" applyNumberFormat="1" applyFont="1" applyFill="1" applyBorder="1" applyAlignment="1">
      <alignment horizontal="center" vertical="center"/>
    </xf>
    <xf numFmtId="20" fontId="11" fillId="12" borderId="12" xfId="0" applyNumberFormat="1" applyFont="1" applyFill="1" applyBorder="1" applyAlignment="1">
      <alignment horizontal="center" vertical="center"/>
    </xf>
    <xf numFmtId="20" fontId="12" fillId="12" borderId="12" xfId="0" applyNumberFormat="1" applyFont="1" applyFill="1" applyBorder="1" applyAlignment="1">
      <alignment horizontal="center" vertical="center"/>
    </xf>
    <xf numFmtId="0" fontId="11" fillId="13" borderId="43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20" fontId="11" fillId="12" borderId="44" xfId="0" applyNumberFormat="1" applyFont="1" applyFill="1" applyBorder="1" applyAlignment="1">
      <alignment horizontal="center" vertical="center"/>
    </xf>
    <xf numFmtId="20" fontId="7" fillId="0" borderId="43" xfId="0" applyNumberFormat="1" applyFont="1" applyBorder="1" applyAlignment="1">
      <alignment horizontal="center" vertical="center"/>
    </xf>
    <xf numFmtId="20" fontId="11" fillId="0" borderId="43" xfId="0" applyNumberFormat="1" applyFont="1" applyBorder="1" applyAlignment="1">
      <alignment horizontal="center" vertical="center"/>
    </xf>
    <xf numFmtId="20" fontId="7" fillId="0" borderId="45" xfId="0" applyNumberFormat="1" applyFont="1" applyBorder="1" applyAlignment="1">
      <alignment horizontal="center" vertical="center"/>
    </xf>
    <xf numFmtId="20" fontId="7" fillId="0" borderId="12" xfId="0" applyNumberFormat="1" applyFont="1" applyBorder="1" applyAlignment="1">
      <alignment horizontal="center" vertical="center"/>
    </xf>
    <xf numFmtId="20" fontId="7" fillId="0" borderId="46" xfId="0" applyNumberFormat="1" applyFont="1" applyBorder="1" applyAlignment="1">
      <alignment horizontal="center" vertical="center"/>
    </xf>
    <xf numFmtId="0" fontId="20" fillId="14" borderId="23" xfId="0" applyFont="1" applyFill="1" applyBorder="1" applyAlignment="1">
      <alignment horizontal="center" vertical="center"/>
    </xf>
    <xf numFmtId="20" fontId="11" fillId="0" borderId="48" xfId="0" applyNumberFormat="1" applyFont="1" applyBorder="1" applyAlignment="1">
      <alignment horizontal="center" vertical="center"/>
    </xf>
    <xf numFmtId="20" fontId="7" fillId="0" borderId="49" xfId="0" applyNumberFormat="1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44" xfId="0" applyNumberFormat="1" applyFont="1" applyBorder="1" applyAlignment="1">
      <alignment horizontal="center" vertical="center"/>
    </xf>
    <xf numFmtId="20" fontId="12" fillId="0" borderId="43" xfId="0" applyNumberFormat="1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" fillId="0" borderId="0" xfId="0" applyFont="1"/>
    <xf numFmtId="20" fontId="7" fillId="5" borderId="41" xfId="0" applyNumberFormat="1" applyFont="1" applyFill="1" applyBorder="1" applyAlignment="1">
      <alignment horizontal="center" vertical="center"/>
    </xf>
    <xf numFmtId="20" fontId="7" fillId="5" borderId="7" xfId="0" applyNumberFormat="1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20" fontId="24" fillId="0" borderId="14" xfId="0" applyNumberFormat="1" applyFont="1" applyBorder="1" applyAlignment="1">
      <alignment horizontal="center" vertical="center" wrapText="1"/>
    </xf>
    <xf numFmtId="20" fontId="24" fillId="0" borderId="15" xfId="0" applyNumberFormat="1" applyFont="1" applyBorder="1" applyAlignment="1">
      <alignment horizontal="center" vertical="center" wrapText="1"/>
    </xf>
    <xf numFmtId="20" fontId="15" fillId="0" borderId="30" xfId="0" applyNumberFormat="1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20" fontId="24" fillId="16" borderId="14" xfId="0" applyNumberFormat="1" applyFont="1" applyFill="1" applyBorder="1" applyAlignment="1">
      <alignment horizontal="center" vertical="center" wrapText="1"/>
    </xf>
    <xf numFmtId="20" fontId="24" fillId="17" borderId="15" xfId="0" applyNumberFormat="1" applyFont="1" applyFill="1" applyBorder="1" applyAlignment="1">
      <alignment horizontal="center" vertical="center" wrapText="1"/>
    </xf>
    <xf numFmtId="20" fontId="24" fillId="16" borderId="15" xfId="0" applyNumberFormat="1" applyFont="1" applyFill="1" applyBorder="1" applyAlignment="1">
      <alignment horizontal="center" vertical="center" wrapText="1"/>
    </xf>
    <xf numFmtId="20" fontId="15" fillId="16" borderId="15" xfId="0" applyNumberFormat="1" applyFont="1" applyFill="1" applyBorder="1" applyAlignment="1">
      <alignment horizontal="center" vertical="center" wrapText="1"/>
    </xf>
    <xf numFmtId="0" fontId="24" fillId="16" borderId="15" xfId="0" applyFont="1" applyFill="1" applyBorder="1" applyAlignment="1">
      <alignment horizontal="center" vertical="center" wrapText="1"/>
    </xf>
    <xf numFmtId="0" fontId="24" fillId="16" borderId="16" xfId="0" applyFont="1" applyFill="1" applyBorder="1" applyAlignment="1">
      <alignment horizontal="center" vertical="center" wrapText="1"/>
    </xf>
    <xf numFmtId="20" fontId="24" fillId="0" borderId="56" xfId="0" applyNumberFormat="1" applyFont="1" applyBorder="1" applyAlignment="1">
      <alignment horizontal="center" vertical="center" wrapText="1"/>
    </xf>
    <xf numFmtId="20" fontId="15" fillId="0" borderId="15" xfId="0" applyNumberFormat="1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20" fontId="1" fillId="16" borderId="14" xfId="0" applyNumberFormat="1" applyFont="1" applyFill="1" applyBorder="1" applyAlignment="1">
      <alignment horizontal="center" vertical="center"/>
    </xf>
    <xf numFmtId="20" fontId="24" fillId="18" borderId="24" xfId="0" applyNumberFormat="1" applyFont="1" applyFill="1" applyBorder="1" applyAlignment="1">
      <alignment horizontal="center" vertical="center" wrapText="1"/>
    </xf>
    <xf numFmtId="20" fontId="24" fillId="18" borderId="25" xfId="0" applyNumberFormat="1" applyFont="1" applyFill="1" applyBorder="1" applyAlignment="1">
      <alignment horizontal="center" vertical="center" wrapText="1"/>
    </xf>
    <xf numFmtId="20" fontId="24" fillId="0" borderId="25" xfId="0" applyNumberFormat="1" applyFont="1" applyBorder="1" applyAlignment="1">
      <alignment horizontal="center" vertical="center" wrapText="1"/>
    </xf>
    <xf numFmtId="20" fontId="15" fillId="0" borderId="57" xfId="0" applyNumberFormat="1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20" fontId="24" fillId="18" borderId="59" xfId="0" applyNumberFormat="1" applyFont="1" applyFill="1" applyBorder="1" applyAlignment="1">
      <alignment horizontal="center" vertical="center" wrapText="1"/>
    </xf>
    <xf numFmtId="20" fontId="24" fillId="18" borderId="60" xfId="0" applyNumberFormat="1" applyFont="1" applyFill="1" applyBorder="1" applyAlignment="1">
      <alignment horizontal="center" vertical="center" wrapText="1"/>
    </xf>
    <xf numFmtId="0" fontId="1" fillId="0" borderId="28" xfId="0" applyFont="1" applyBorder="1"/>
    <xf numFmtId="20" fontId="15" fillId="0" borderId="60" xfId="0" applyNumberFormat="1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20" fontId="24" fillId="0" borderId="17" xfId="0" applyNumberFormat="1" applyFont="1" applyBorder="1" applyAlignment="1">
      <alignment horizontal="center" vertical="center" wrapText="1"/>
    </xf>
    <xf numFmtId="20" fontId="24" fillId="0" borderId="18" xfId="0" applyNumberFormat="1" applyFont="1" applyBorder="1" applyAlignment="1">
      <alignment horizontal="center" vertical="center" wrapText="1"/>
    </xf>
    <xf numFmtId="20" fontId="9" fillId="6" borderId="10" xfId="0" applyNumberFormat="1" applyFont="1" applyFill="1" applyBorder="1" applyAlignment="1">
      <alignment horizontal="centerContinuous" vertical="center"/>
    </xf>
    <xf numFmtId="20" fontId="9" fillId="6" borderId="62" xfId="0" applyNumberFormat="1" applyFont="1" applyFill="1" applyBorder="1" applyAlignment="1">
      <alignment horizontal="centerContinuous" vertical="center"/>
    </xf>
    <xf numFmtId="20" fontId="15" fillId="0" borderId="18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20" fontId="24" fillId="17" borderId="17" xfId="0" applyNumberFormat="1" applyFont="1" applyFill="1" applyBorder="1" applyAlignment="1">
      <alignment horizontal="center" vertical="center" wrapText="1"/>
    </xf>
    <xf numFmtId="0" fontId="1" fillId="0" borderId="14" xfId="0" applyFont="1" applyBorder="1"/>
    <xf numFmtId="0" fontId="24" fillId="0" borderId="63" xfId="0" applyFont="1" applyBorder="1" applyAlignment="1">
      <alignment horizontal="center" vertical="center" wrapText="1"/>
    </xf>
    <xf numFmtId="20" fontId="24" fillId="17" borderId="18" xfId="0" applyNumberFormat="1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0" borderId="35" xfId="0" applyFont="1" applyBorder="1"/>
    <xf numFmtId="20" fontId="11" fillId="0" borderId="66" xfId="0" applyNumberFormat="1" applyFont="1" applyBorder="1" applyAlignment="1">
      <alignment horizontal="center" vertical="center"/>
    </xf>
    <xf numFmtId="20" fontId="11" fillId="0" borderId="67" xfId="0" applyNumberFormat="1" applyFont="1" applyBorder="1" applyAlignment="1">
      <alignment horizontal="center" vertical="center"/>
    </xf>
    <xf numFmtId="20" fontId="20" fillId="0" borderId="67" xfId="0" applyNumberFormat="1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20" fontId="24" fillId="21" borderId="18" xfId="0" applyNumberFormat="1" applyFont="1" applyFill="1" applyBorder="1" applyAlignment="1">
      <alignment horizontal="center" vertical="center" wrapText="1"/>
    </xf>
    <xf numFmtId="20" fontId="7" fillId="5" borderId="21" xfId="0" applyNumberFormat="1" applyFont="1" applyFill="1" applyBorder="1" applyAlignment="1">
      <alignment horizontal="center" vertical="center"/>
    </xf>
    <xf numFmtId="20" fontId="24" fillId="0" borderId="24" xfId="0" applyNumberFormat="1" applyFont="1" applyBorder="1" applyAlignment="1">
      <alignment horizontal="center" vertical="center" wrapText="1"/>
    </xf>
    <xf numFmtId="0" fontId="1" fillId="0" borderId="25" xfId="0" applyFont="1" applyBorder="1"/>
    <xf numFmtId="0" fontId="1" fillId="0" borderId="26" xfId="0" applyFont="1" applyBorder="1"/>
    <xf numFmtId="0" fontId="24" fillId="0" borderId="16" xfId="0" applyFont="1" applyBorder="1" applyAlignment="1">
      <alignment horizontal="center" vertical="center" wrapText="1"/>
    </xf>
    <xf numFmtId="20" fontId="24" fillId="21" borderId="17" xfId="0" applyNumberFormat="1" applyFont="1" applyFill="1" applyBorder="1" applyAlignment="1">
      <alignment horizontal="center" vertical="center" wrapText="1"/>
    </xf>
    <xf numFmtId="20" fontId="5" fillId="0" borderId="3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20" fontId="15" fillId="0" borderId="1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Continuous" vertical="center"/>
    </xf>
    <xf numFmtId="20" fontId="11" fillId="0" borderId="69" xfId="0" applyNumberFormat="1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20" fontId="11" fillId="0" borderId="71" xfId="0" applyNumberFormat="1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8" fillId="0" borderId="0" xfId="2" applyFont="1"/>
    <xf numFmtId="0" fontId="27" fillId="0" borderId="0" xfId="2"/>
    <xf numFmtId="0" fontId="20" fillId="0" borderId="42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20" fillId="0" borderId="40" xfId="2" applyFont="1" applyBorder="1" applyAlignment="1">
      <alignment horizontal="center" vertical="center"/>
    </xf>
    <xf numFmtId="20" fontId="11" fillId="0" borderId="44" xfId="2" applyNumberFormat="1" applyFont="1" applyBorder="1" applyAlignment="1">
      <alignment horizontal="center" vertical="center" wrapText="1"/>
    </xf>
    <xf numFmtId="20" fontId="11" fillId="0" borderId="43" xfId="2" applyNumberFormat="1" applyFont="1" applyBorder="1" applyAlignment="1">
      <alignment horizontal="center" vertical="center" wrapText="1"/>
    </xf>
    <xf numFmtId="20" fontId="12" fillId="0" borderId="43" xfId="2" applyNumberFormat="1" applyFont="1" applyBorder="1" applyAlignment="1">
      <alignment horizontal="center" vertical="center" wrapText="1"/>
    </xf>
    <xf numFmtId="0" fontId="11" fillId="0" borderId="43" xfId="2" applyFont="1" applyBorder="1" applyAlignment="1">
      <alignment horizontal="center" vertical="center" wrapText="1"/>
    </xf>
    <xf numFmtId="0" fontId="11" fillId="0" borderId="45" xfId="2" applyFont="1" applyBorder="1" applyAlignment="1">
      <alignment horizontal="center" vertical="center" wrapText="1"/>
    </xf>
    <xf numFmtId="20" fontId="7" fillId="0" borderId="43" xfId="2" applyNumberFormat="1" applyFont="1" applyBorder="1" applyAlignment="1">
      <alignment horizontal="center" vertical="center"/>
    </xf>
    <xf numFmtId="20" fontId="7" fillId="0" borderId="45" xfId="2" applyNumberFormat="1" applyFont="1" applyBorder="1" applyAlignment="1">
      <alignment horizontal="center" vertical="center"/>
    </xf>
    <xf numFmtId="20" fontId="11" fillId="0" borderId="11" xfId="2" applyNumberFormat="1" applyFont="1" applyBorder="1" applyAlignment="1">
      <alignment horizontal="center" vertical="center" wrapText="1"/>
    </xf>
    <xf numFmtId="20" fontId="11" fillId="0" borderId="12" xfId="2" applyNumberFormat="1" applyFont="1" applyBorder="1" applyAlignment="1">
      <alignment horizontal="center" vertical="center" wrapText="1"/>
    </xf>
    <xf numFmtId="20" fontId="12" fillId="0" borderId="12" xfId="2" applyNumberFormat="1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46" xfId="2" applyFont="1" applyBorder="1" applyAlignment="1">
      <alignment horizontal="center" vertical="center" wrapText="1"/>
    </xf>
    <xf numFmtId="20" fontId="7" fillId="0" borderId="12" xfId="2" applyNumberFormat="1" applyFont="1" applyBorder="1" applyAlignment="1">
      <alignment horizontal="center" vertical="center"/>
    </xf>
    <xf numFmtId="20" fontId="7" fillId="0" borderId="46" xfId="2" applyNumberFormat="1" applyFont="1" applyBorder="1" applyAlignment="1">
      <alignment horizontal="center" vertical="center"/>
    </xf>
    <xf numFmtId="20" fontId="11" fillId="0" borderId="66" xfId="2" applyNumberFormat="1" applyFont="1" applyBorder="1" applyAlignment="1">
      <alignment horizontal="center" vertical="center" wrapText="1"/>
    </xf>
    <xf numFmtId="20" fontId="11" fillId="0" borderId="67" xfId="2" applyNumberFormat="1" applyFont="1" applyBorder="1" applyAlignment="1">
      <alignment horizontal="center" vertical="center" wrapText="1"/>
    </xf>
    <xf numFmtId="20" fontId="12" fillId="0" borderId="67" xfId="2" applyNumberFormat="1" applyFont="1" applyBorder="1" applyAlignment="1">
      <alignment horizontal="center" vertical="center" wrapText="1"/>
    </xf>
    <xf numFmtId="0" fontId="11" fillId="0" borderId="67" xfId="2" applyFont="1" applyBorder="1" applyAlignment="1">
      <alignment horizontal="center" vertical="center" wrapText="1"/>
    </xf>
    <xf numFmtId="0" fontId="11" fillId="0" borderId="73" xfId="2" applyFont="1" applyBorder="1" applyAlignment="1">
      <alignment horizontal="center" vertical="center" wrapText="1"/>
    </xf>
    <xf numFmtId="0" fontId="11" fillId="0" borderId="66" xfId="2" applyFont="1" applyBorder="1"/>
    <xf numFmtId="0" fontId="11" fillId="0" borderId="67" xfId="2" applyFont="1" applyBorder="1"/>
    <xf numFmtId="0" fontId="11" fillId="0" borderId="73" xfId="2" applyFont="1" applyBorder="1"/>
    <xf numFmtId="20" fontId="11" fillId="0" borderId="74" xfId="2" applyNumberFormat="1" applyFont="1" applyBorder="1" applyAlignment="1">
      <alignment horizontal="center" vertical="center" wrapText="1"/>
    </xf>
    <xf numFmtId="0" fontId="20" fillId="14" borderId="23" xfId="2" applyFont="1" applyFill="1" applyBorder="1" applyAlignment="1">
      <alignment horizontal="center" vertical="center"/>
    </xf>
    <xf numFmtId="20" fontId="11" fillId="0" borderId="48" xfId="2" applyNumberFormat="1" applyFont="1" applyBorder="1" applyAlignment="1">
      <alignment horizontal="center" vertical="center" wrapText="1"/>
    </xf>
    <xf numFmtId="20" fontId="7" fillId="0" borderId="49" xfId="2" applyNumberFormat="1" applyFont="1" applyBorder="1" applyAlignment="1">
      <alignment horizontal="center" vertical="center"/>
    </xf>
    <xf numFmtId="20" fontId="11" fillId="0" borderId="49" xfId="2" applyNumberFormat="1" applyFont="1" applyBorder="1" applyAlignment="1">
      <alignment horizontal="center" vertical="center" wrapText="1"/>
    </xf>
    <xf numFmtId="20" fontId="7" fillId="0" borderId="50" xfId="2" applyNumberFormat="1" applyFont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11" fillId="0" borderId="0" xfId="2" applyFont="1"/>
    <xf numFmtId="0" fontId="20" fillId="0" borderId="21" xfId="2" applyFont="1" applyBorder="1" applyAlignment="1">
      <alignment horizontal="center" vertical="center"/>
    </xf>
    <xf numFmtId="0" fontId="20" fillId="0" borderId="41" xfId="2" applyFont="1" applyBorder="1" applyAlignment="1">
      <alignment horizontal="center" vertical="center"/>
    </xf>
    <xf numFmtId="0" fontId="20" fillId="0" borderId="22" xfId="2" applyFont="1" applyBorder="1" applyAlignment="1">
      <alignment horizontal="center" vertical="center"/>
    </xf>
    <xf numFmtId="20" fontId="11" fillId="0" borderId="11" xfId="2" applyNumberFormat="1" applyFont="1" applyBorder="1" applyAlignment="1">
      <alignment horizontal="center" vertical="center"/>
    </xf>
    <xf numFmtId="20" fontId="11" fillId="0" borderId="12" xfId="2" applyNumberFormat="1" applyFont="1" applyBorder="1" applyAlignment="1">
      <alignment horizontal="center" vertical="center"/>
    </xf>
    <xf numFmtId="20" fontId="12" fillId="0" borderId="12" xfId="2" applyNumberFormat="1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20" fontId="11" fillId="0" borderId="44" xfId="2" applyNumberFormat="1" applyFont="1" applyBorder="1" applyAlignment="1">
      <alignment horizontal="center" vertical="center"/>
    </xf>
    <xf numFmtId="20" fontId="11" fillId="0" borderId="43" xfId="2" applyNumberFormat="1" applyFont="1" applyBorder="1" applyAlignment="1">
      <alignment horizontal="center" vertical="center"/>
    </xf>
    <xf numFmtId="0" fontId="20" fillId="0" borderId="0" xfId="2" applyFont="1" applyAlignment="1">
      <alignment vertical="center"/>
    </xf>
    <xf numFmtId="0" fontId="20" fillId="14" borderId="41" xfId="2" applyFont="1" applyFill="1" applyBorder="1" applyAlignment="1">
      <alignment horizontal="center" vertical="center"/>
    </xf>
    <xf numFmtId="20" fontId="11" fillId="0" borderId="48" xfId="2" applyNumberFormat="1" applyFont="1" applyBorder="1" applyAlignment="1">
      <alignment horizontal="center" vertical="center"/>
    </xf>
    <xf numFmtId="20" fontId="11" fillId="0" borderId="49" xfId="2" applyNumberFormat="1" applyFont="1" applyBorder="1" applyAlignment="1">
      <alignment horizontal="center" vertical="center"/>
    </xf>
    <xf numFmtId="0" fontId="11" fillId="0" borderId="43" xfId="2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/>
    </xf>
    <xf numFmtId="0" fontId="11" fillId="0" borderId="46" xfId="2" applyFont="1" applyBorder="1" applyAlignment="1">
      <alignment horizontal="center" vertical="center"/>
    </xf>
    <xf numFmtId="20" fontId="11" fillId="0" borderId="76" xfId="2" applyNumberFormat="1" applyFont="1" applyBorder="1" applyAlignment="1">
      <alignment horizontal="center" vertical="center"/>
    </xf>
    <xf numFmtId="20" fontId="12" fillId="0" borderId="76" xfId="2" applyNumberFormat="1" applyFont="1" applyBorder="1" applyAlignment="1">
      <alignment horizontal="center" vertical="center"/>
    </xf>
    <xf numFmtId="20" fontId="11" fillId="0" borderId="66" xfId="2" applyNumberFormat="1" applyFont="1" applyBorder="1" applyAlignment="1">
      <alignment horizontal="center" vertical="center"/>
    </xf>
    <xf numFmtId="20" fontId="11" fillId="0" borderId="67" xfId="2" applyNumberFormat="1" applyFont="1" applyBorder="1" applyAlignment="1">
      <alignment horizontal="center" vertical="center"/>
    </xf>
    <xf numFmtId="20" fontId="12" fillId="0" borderId="67" xfId="2" applyNumberFormat="1" applyFont="1" applyBorder="1" applyAlignment="1">
      <alignment horizontal="center" vertical="center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0" fontId="11" fillId="0" borderId="66" xfId="2" applyFont="1" applyBorder="1" applyAlignment="1">
      <alignment horizontal="center" vertical="center"/>
    </xf>
    <xf numFmtId="0" fontId="11" fillId="0" borderId="73" xfId="2" applyFont="1" applyBorder="1" applyAlignment="1">
      <alignment horizontal="center" vertical="center"/>
    </xf>
    <xf numFmtId="20" fontId="11" fillId="0" borderId="0" xfId="2" applyNumberFormat="1" applyFont="1"/>
    <xf numFmtId="46" fontId="11" fillId="0" borderId="0" xfId="2" applyNumberFormat="1" applyFont="1"/>
    <xf numFmtId="0" fontId="11" fillId="0" borderId="13" xfId="2" applyFont="1" applyBorder="1" applyAlignment="1">
      <alignment horizontal="center" vertical="center" wrapText="1"/>
    </xf>
    <xf numFmtId="20" fontId="12" fillId="0" borderId="43" xfId="2" applyNumberFormat="1" applyFont="1" applyBorder="1" applyAlignment="1">
      <alignment horizontal="center" vertical="center"/>
    </xf>
    <xf numFmtId="0" fontId="11" fillId="0" borderId="49" xfId="2" applyFont="1" applyBorder="1" applyAlignment="1">
      <alignment horizontal="center" vertical="center"/>
    </xf>
    <xf numFmtId="0" fontId="11" fillId="0" borderId="50" xfId="2" applyFont="1" applyBorder="1" applyAlignment="1">
      <alignment horizontal="center" vertical="center"/>
    </xf>
    <xf numFmtId="0" fontId="20" fillId="5" borderId="38" xfId="2" applyFont="1" applyFill="1" applyBorder="1" applyAlignment="1">
      <alignment horizontal="center" vertical="center"/>
    </xf>
    <xf numFmtId="0" fontId="20" fillId="0" borderId="38" xfId="2" applyFont="1" applyBorder="1" applyAlignment="1">
      <alignment horizontal="center" vertical="center"/>
    </xf>
    <xf numFmtId="20" fontId="20" fillId="0" borderId="41" xfId="2" applyNumberFormat="1" applyFont="1" applyBorder="1" applyAlignment="1">
      <alignment horizontal="center" vertical="center"/>
    </xf>
    <xf numFmtId="0" fontId="11" fillId="0" borderId="43" xfId="2" applyFont="1" applyBorder="1"/>
    <xf numFmtId="20" fontId="12" fillId="0" borderId="45" xfId="2" applyNumberFormat="1" applyFont="1" applyBorder="1" applyAlignment="1">
      <alignment horizontal="center" vertical="center"/>
    </xf>
    <xf numFmtId="20" fontId="12" fillId="0" borderId="46" xfId="2" applyNumberFormat="1" applyFont="1" applyBorder="1" applyAlignment="1">
      <alignment horizontal="center" vertical="center"/>
    </xf>
    <xf numFmtId="20" fontId="20" fillId="0" borderId="7" xfId="2" applyNumberFormat="1" applyFont="1" applyBorder="1" applyAlignment="1">
      <alignment horizontal="center" vertical="center"/>
    </xf>
    <xf numFmtId="20" fontId="12" fillId="0" borderId="49" xfId="2" applyNumberFormat="1" applyFont="1" applyBorder="1" applyAlignment="1">
      <alignment horizontal="center" vertical="center"/>
    </xf>
    <xf numFmtId="20" fontId="12" fillId="0" borderId="50" xfId="2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1" fillId="0" borderId="78" xfId="2" applyFont="1" applyBorder="1" applyAlignment="1">
      <alignment horizontal="center" vertical="center"/>
    </xf>
    <xf numFmtId="0" fontId="11" fillId="0" borderId="78" xfId="2" applyFont="1" applyBorder="1" applyAlignment="1">
      <alignment horizontal="center" vertical="center" wrapText="1"/>
    </xf>
    <xf numFmtId="20" fontId="11" fillId="0" borderId="79" xfId="2" applyNumberFormat="1" applyFont="1" applyBorder="1" applyAlignment="1">
      <alignment horizontal="center" vertical="center" wrapText="1"/>
    </xf>
    <xf numFmtId="20" fontId="20" fillId="15" borderId="53" xfId="2" applyNumberFormat="1" applyFont="1" applyFill="1" applyBorder="1" applyAlignment="1">
      <alignment horizontal="center" vertical="center"/>
    </xf>
    <xf numFmtId="0" fontId="14" fillId="0" borderId="51" xfId="2" applyFont="1" applyBorder="1"/>
    <xf numFmtId="20" fontId="7" fillId="14" borderId="21" xfId="2" applyNumberFormat="1" applyFont="1" applyFill="1" applyBorder="1" applyAlignment="1">
      <alignment horizontal="center" vertical="center"/>
    </xf>
    <xf numFmtId="0" fontId="14" fillId="0" borderId="23" xfId="2" applyFont="1" applyBorder="1"/>
    <xf numFmtId="20" fontId="7" fillId="14" borderId="22" xfId="2" applyNumberFormat="1" applyFont="1" applyFill="1" applyBorder="1" applyAlignment="1">
      <alignment horizontal="center" vertical="center"/>
    </xf>
    <xf numFmtId="0" fontId="13" fillId="30" borderId="21" xfId="2" applyFont="1" applyFill="1" applyBorder="1" applyAlignment="1">
      <alignment horizontal="center" vertical="center"/>
    </xf>
    <xf numFmtId="0" fontId="14" fillId="0" borderId="22" xfId="2" applyFont="1" applyBorder="1"/>
    <xf numFmtId="20" fontId="20" fillId="14" borderId="21" xfId="2" applyNumberFormat="1" applyFont="1" applyFill="1" applyBorder="1" applyAlignment="1">
      <alignment horizontal="center" vertical="center"/>
    </xf>
    <xf numFmtId="20" fontId="7" fillId="5" borderId="6" xfId="2" applyNumberFormat="1" applyFont="1" applyFill="1" applyBorder="1" applyAlignment="1">
      <alignment horizontal="center" vertical="center"/>
    </xf>
    <xf numFmtId="0" fontId="14" fillId="0" borderId="7" xfId="2" applyFont="1" applyBorder="1"/>
    <xf numFmtId="0" fontId="20" fillId="0" borderId="21" xfId="2" applyFont="1" applyBorder="1" applyAlignment="1">
      <alignment horizontal="center" vertical="center"/>
    </xf>
    <xf numFmtId="0" fontId="21" fillId="0" borderId="6" xfId="2" applyFont="1" applyBorder="1" applyAlignment="1">
      <alignment horizontal="center" vertical="center" textRotation="90"/>
    </xf>
    <xf numFmtId="0" fontId="14" fillId="0" borderId="38" xfId="2" applyFont="1" applyBorder="1"/>
    <xf numFmtId="20" fontId="20" fillId="15" borderId="21" xfId="2" applyNumberFormat="1" applyFont="1" applyFill="1" applyBorder="1" applyAlignment="1">
      <alignment horizontal="center" vertical="center"/>
    </xf>
    <xf numFmtId="14" fontId="2" fillId="27" borderId="6" xfId="2" applyNumberFormat="1" applyFont="1" applyFill="1" applyBorder="1" applyAlignment="1">
      <alignment horizontal="center" vertical="center" textRotation="90"/>
    </xf>
    <xf numFmtId="0" fontId="31" fillId="0" borderId="21" xfId="2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/>
    </xf>
    <xf numFmtId="0" fontId="21" fillId="0" borderId="21" xfId="2" applyFont="1" applyBorder="1" applyAlignment="1">
      <alignment horizontal="center" vertical="center"/>
    </xf>
    <xf numFmtId="0" fontId="21" fillId="0" borderId="42" xfId="2" applyFont="1" applyBorder="1" applyAlignment="1">
      <alignment horizontal="center" vertical="center" textRotation="90"/>
    </xf>
    <xf numFmtId="0" fontId="14" fillId="0" borderId="75" xfId="2" applyFont="1" applyBorder="1"/>
    <xf numFmtId="0" fontId="14" fillId="0" borderId="53" xfId="2" applyFont="1" applyBorder="1"/>
    <xf numFmtId="0" fontId="8" fillId="0" borderId="1" xfId="0" applyFont="1" applyBorder="1" applyAlignment="1">
      <alignment horizontal="center" vertical="center" textRotation="90"/>
    </xf>
    <xf numFmtId="0" fontId="0" fillId="0" borderId="5" xfId="0" applyBorder="1"/>
    <xf numFmtId="0" fontId="0" fillId="0" borderId="27" xfId="0" applyBorder="1"/>
    <xf numFmtId="0" fontId="13" fillId="7" borderId="21" xfId="0" applyFont="1" applyFill="1" applyBorder="1" applyAlignment="1">
      <alignment horizontal="center" vertical="center" wrapText="1"/>
    </xf>
    <xf numFmtId="0" fontId="10" fillId="0" borderId="22" xfId="0" applyFont="1" applyBorder="1"/>
    <xf numFmtId="0" fontId="10" fillId="0" borderId="23" xfId="0" applyFont="1" applyBorder="1"/>
    <xf numFmtId="20" fontId="7" fillId="5" borderId="6" xfId="0" applyNumberFormat="1" applyFont="1" applyFill="1" applyBorder="1" applyAlignment="1">
      <alignment horizontal="center" vertical="center"/>
    </xf>
    <xf numFmtId="0" fontId="10" fillId="0" borderId="7" xfId="0" applyFont="1" applyBorder="1"/>
    <xf numFmtId="14" fontId="2" fillId="2" borderId="1" xfId="0" applyNumberFormat="1" applyFont="1" applyFill="1" applyBorder="1" applyAlignment="1">
      <alignment horizontal="center" vertical="center" textRotation="90"/>
    </xf>
    <xf numFmtId="0" fontId="0" fillId="4" borderId="5" xfId="0" applyFill="1" applyBorder="1"/>
    <xf numFmtId="0" fontId="0" fillId="4" borderId="27" xfId="0" applyFill="1" applyBorder="1"/>
    <xf numFmtId="0" fontId="8" fillId="0" borderId="4" xfId="0" applyFont="1" applyBorder="1" applyAlignment="1">
      <alignment horizontal="center" vertical="center" textRotation="90"/>
    </xf>
    <xf numFmtId="0" fontId="0" fillId="0" borderId="10" xfId="0" applyBorder="1"/>
    <xf numFmtId="0" fontId="0" fillId="0" borderId="20" xfId="0" applyBorder="1"/>
    <xf numFmtId="0" fontId="0" fillId="2" borderId="5" xfId="0" applyFill="1" applyBorder="1"/>
    <xf numFmtId="0" fontId="0" fillId="2" borderId="27" xfId="0" applyFill="1" applyBorder="1"/>
    <xf numFmtId="0" fontId="13" fillId="7" borderId="21" xfId="0" applyFont="1" applyFill="1" applyBorder="1" applyAlignment="1">
      <alignment horizontal="center" vertical="center"/>
    </xf>
    <xf numFmtId="0" fontId="14" fillId="0" borderId="7" xfId="0" applyFont="1" applyBorder="1"/>
    <xf numFmtId="0" fontId="13" fillId="0" borderId="21" xfId="0" applyFont="1" applyBorder="1" applyAlignment="1">
      <alignment horizontal="center" vertical="center"/>
    </xf>
    <xf numFmtId="0" fontId="14" fillId="0" borderId="22" xfId="0" applyFont="1" applyBorder="1"/>
    <xf numFmtId="0" fontId="14" fillId="0" borderId="23" xfId="0" applyFont="1" applyBorder="1"/>
    <xf numFmtId="20" fontId="20" fillId="14" borderId="53" xfId="2" applyNumberFormat="1" applyFont="1" applyFill="1" applyBorder="1" applyAlignment="1">
      <alignment horizontal="center" vertical="center"/>
    </xf>
    <xf numFmtId="0" fontId="14" fillId="0" borderId="47" xfId="2" applyFont="1" applyBorder="1"/>
    <xf numFmtId="20" fontId="7" fillId="0" borderId="6" xfId="2" applyNumberFormat="1" applyFont="1" applyBorder="1" applyAlignment="1">
      <alignment horizontal="center" vertical="center"/>
    </xf>
    <xf numFmtId="20" fontId="7" fillId="14" borderId="42" xfId="2" applyNumberFormat="1" applyFont="1" applyFill="1" applyBorder="1" applyAlignment="1">
      <alignment horizontal="center" vertical="center"/>
    </xf>
    <xf numFmtId="0" fontId="14" fillId="0" borderId="39" xfId="2" applyFont="1" applyBorder="1"/>
    <xf numFmtId="20" fontId="7" fillId="14" borderId="40" xfId="2" applyNumberFormat="1" applyFont="1" applyFill="1" applyBorder="1" applyAlignment="1">
      <alignment horizontal="center" vertical="center"/>
    </xf>
    <xf numFmtId="20" fontId="13" fillId="28" borderId="21" xfId="2" applyNumberFormat="1" applyFont="1" applyFill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/>
    </xf>
    <xf numFmtId="0" fontId="21" fillId="0" borderId="39" xfId="2" applyFont="1" applyBorder="1" applyAlignment="1">
      <alignment horizontal="center" vertical="center" textRotation="90"/>
    </xf>
    <xf numFmtId="0" fontId="14" fillId="0" borderId="52" xfId="2" applyFont="1" applyBorder="1"/>
    <xf numFmtId="0" fontId="18" fillId="0" borderId="22" xfId="2" applyFont="1" applyBorder="1" applyAlignment="1">
      <alignment horizontal="center" vertical="center"/>
    </xf>
    <xf numFmtId="20" fontId="13" fillId="0" borderId="21" xfId="2" applyNumberFormat="1" applyFont="1" applyBorder="1" applyAlignment="1">
      <alignment horizontal="center" vertical="center"/>
    </xf>
    <xf numFmtId="0" fontId="25" fillId="0" borderId="22" xfId="2" applyFont="1" applyBorder="1"/>
    <xf numFmtId="0" fontId="25" fillId="0" borderId="23" xfId="2" applyFont="1" applyBorder="1"/>
    <xf numFmtId="0" fontId="30" fillId="0" borderId="38" xfId="2" applyFont="1" applyBorder="1"/>
    <xf numFmtId="0" fontId="29" fillId="0" borderId="22" xfId="2" applyFont="1" applyBorder="1"/>
    <xf numFmtId="0" fontId="29" fillId="0" borderId="23" xfId="2" applyFont="1" applyBorder="1"/>
    <xf numFmtId="0" fontId="21" fillId="0" borderId="21" xfId="0" applyFont="1" applyBorder="1" applyAlignment="1">
      <alignment horizontal="center" vertical="center"/>
    </xf>
    <xf numFmtId="20" fontId="13" fillId="0" borderId="21" xfId="0" applyNumberFormat="1" applyFont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 textRotation="90"/>
    </xf>
    <xf numFmtId="0" fontId="17" fillId="2" borderId="5" xfId="0" applyFont="1" applyFill="1" applyBorder="1"/>
    <xf numFmtId="0" fontId="17" fillId="2" borderId="27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/>
    </xf>
    <xf numFmtId="0" fontId="17" fillId="4" borderId="5" xfId="0" applyFont="1" applyFill="1" applyBorder="1"/>
    <xf numFmtId="0" fontId="17" fillId="4" borderId="27" xfId="0" applyFont="1" applyFill="1" applyBorder="1"/>
    <xf numFmtId="20" fontId="7" fillId="5" borderId="39" xfId="2" applyNumberFormat="1" applyFont="1" applyFill="1" applyBorder="1" applyAlignment="1">
      <alignment horizontal="center" vertical="center"/>
    </xf>
    <xf numFmtId="20" fontId="13" fillId="29" borderId="21" xfId="2" applyNumberFormat="1" applyFont="1" applyFill="1" applyBorder="1" applyAlignment="1">
      <alignment horizontal="center" vertical="center"/>
    </xf>
    <xf numFmtId="0" fontId="21" fillId="0" borderId="40" xfId="2" applyFont="1" applyBorder="1" applyAlignment="1">
      <alignment horizontal="center" vertical="center" textRotation="90"/>
    </xf>
    <xf numFmtId="0" fontId="27" fillId="0" borderId="0" xfId="2"/>
    <xf numFmtId="20" fontId="9" fillId="11" borderId="9" xfId="0" applyNumberFormat="1" applyFont="1" applyFill="1" applyBorder="1" applyAlignment="1">
      <alignment horizontal="center" vertical="distributed"/>
    </xf>
    <xf numFmtId="20" fontId="9" fillId="11" borderId="27" xfId="0" applyNumberFormat="1" applyFont="1" applyFill="1" applyBorder="1" applyAlignment="1">
      <alignment horizontal="center" vertical="distributed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0" fontId="7" fillId="5" borderId="7" xfId="2" applyNumberFormat="1" applyFont="1" applyFill="1" applyBorder="1" applyAlignment="1">
      <alignment horizontal="center" vertical="center"/>
    </xf>
    <xf numFmtId="0" fontId="20" fillId="0" borderId="42" xfId="2" applyFont="1" applyBorder="1" applyAlignment="1">
      <alignment horizontal="center" vertical="center"/>
    </xf>
    <xf numFmtId="0" fontId="14" fillId="0" borderId="40" xfId="2" applyFont="1" applyBorder="1"/>
    <xf numFmtId="0" fontId="14" fillId="0" borderId="77" xfId="2" applyFont="1" applyBorder="1"/>
    <xf numFmtId="20" fontId="20" fillId="0" borderId="21" xfId="2" applyNumberFormat="1" applyFont="1" applyBorder="1" applyAlignment="1">
      <alignment horizontal="center" vertical="center"/>
    </xf>
    <xf numFmtId="20" fontId="7" fillId="0" borderId="38" xfId="2" applyNumberFormat="1" applyFont="1" applyBorder="1" applyAlignment="1">
      <alignment horizontal="center" vertical="center"/>
    </xf>
    <xf numFmtId="20" fontId="7" fillId="0" borderId="7" xfId="0" applyNumberFormat="1" applyFont="1" applyBorder="1" applyAlignment="1">
      <alignment horizontal="center" vertical="center"/>
    </xf>
    <xf numFmtId="20" fontId="13" fillId="0" borderId="22" xfId="0" applyNumberFormat="1" applyFont="1" applyBorder="1" applyAlignment="1">
      <alignment horizontal="center" vertical="center"/>
    </xf>
    <xf numFmtId="20" fontId="13" fillId="0" borderId="23" xfId="0" applyNumberFormat="1" applyFont="1" applyBorder="1" applyAlignment="1">
      <alignment horizontal="center" vertical="center"/>
    </xf>
    <xf numFmtId="0" fontId="28" fillId="0" borderId="42" xfId="2" applyFont="1" applyBorder="1" applyAlignment="1">
      <alignment horizontal="center"/>
    </xf>
    <xf numFmtId="0" fontId="20" fillId="0" borderId="22" xfId="2" applyFont="1" applyBorder="1" applyAlignment="1">
      <alignment horizontal="center" vertical="center"/>
    </xf>
    <xf numFmtId="0" fontId="13" fillId="0" borderId="22" xfId="2" applyFont="1" applyBorder="1" applyAlignment="1">
      <alignment horizontal="center" vertical="center"/>
    </xf>
    <xf numFmtId="14" fontId="2" fillId="2" borderId="6" xfId="1" applyNumberFormat="1" applyFont="1" applyFill="1" applyBorder="1" applyAlignment="1">
      <alignment horizontal="center" vertical="center" textRotation="90"/>
    </xf>
    <xf numFmtId="0" fontId="10" fillId="4" borderId="38" xfId="1" applyFont="1" applyFill="1" applyBorder="1"/>
    <xf numFmtId="0" fontId="10" fillId="4" borderId="7" xfId="1" applyFont="1" applyFill="1" applyBorder="1"/>
    <xf numFmtId="0" fontId="18" fillId="3" borderId="22" xfId="1" applyFont="1" applyFill="1" applyBorder="1" applyAlignment="1">
      <alignment horizontal="center" vertical="center"/>
    </xf>
    <xf numFmtId="0" fontId="10" fillId="3" borderId="22" xfId="1" applyFont="1" applyFill="1" applyBorder="1"/>
    <xf numFmtId="0" fontId="10" fillId="3" borderId="23" xfId="1" applyFont="1" applyFill="1" applyBorder="1"/>
    <xf numFmtId="0" fontId="13" fillId="0" borderId="21" xfId="1" applyFont="1" applyBorder="1" applyAlignment="1">
      <alignment horizontal="center" vertical="center"/>
    </xf>
    <xf numFmtId="0" fontId="10" fillId="0" borderId="22" xfId="1" applyFont="1" applyBorder="1"/>
    <xf numFmtId="0" fontId="10" fillId="0" borderId="23" xfId="1" applyFont="1" applyBorder="1"/>
    <xf numFmtId="0" fontId="20" fillId="0" borderId="21" xfId="1" applyFont="1" applyBorder="1" applyAlignment="1">
      <alignment horizontal="center" vertical="center"/>
    </xf>
    <xf numFmtId="0" fontId="21" fillId="0" borderId="21" xfId="1" applyFont="1" applyBorder="1" applyAlignment="1">
      <alignment horizontal="center" vertical="center"/>
    </xf>
    <xf numFmtId="0" fontId="21" fillId="0" borderId="40" xfId="1" applyFont="1" applyBorder="1" applyAlignment="1">
      <alignment horizontal="center" vertical="center" textRotation="90"/>
    </xf>
    <xf numFmtId="0" fontId="1" fillId="0" borderId="0" xfId="1"/>
    <xf numFmtId="0" fontId="10" fillId="0" borderId="47" xfId="1" applyFont="1" applyBorder="1"/>
    <xf numFmtId="20" fontId="7" fillId="14" borderId="21" xfId="1" applyNumberFormat="1" applyFont="1" applyFill="1" applyBorder="1" applyAlignment="1">
      <alignment horizontal="center" vertical="center"/>
    </xf>
    <xf numFmtId="20" fontId="20" fillId="14" borderId="21" xfId="1" applyNumberFormat="1" applyFont="1" applyFill="1" applyBorder="1" applyAlignment="1">
      <alignment horizontal="center" vertical="center"/>
    </xf>
    <xf numFmtId="20" fontId="20" fillId="15" borderId="21" xfId="1" applyNumberFormat="1" applyFont="1" applyFill="1" applyBorder="1" applyAlignment="1">
      <alignment horizontal="center" vertical="center"/>
    </xf>
    <xf numFmtId="20" fontId="7" fillId="0" borderId="39" xfId="1" applyNumberFormat="1" applyFont="1" applyBorder="1" applyAlignment="1">
      <alignment horizontal="center" vertical="center"/>
    </xf>
    <xf numFmtId="0" fontId="10" fillId="0" borderId="51" xfId="1" applyFont="1" applyBorder="1"/>
    <xf numFmtId="20" fontId="7" fillId="14" borderId="22" xfId="1" applyNumberFormat="1" applyFont="1" applyFill="1" applyBorder="1" applyAlignment="1">
      <alignment horizontal="center" vertical="center"/>
    </xf>
    <xf numFmtId="20" fontId="13" fillId="9" borderId="21" xfId="1" applyNumberFormat="1" applyFont="1" applyFill="1" applyBorder="1" applyAlignment="1">
      <alignment horizontal="center" vertical="center"/>
    </xf>
    <xf numFmtId="20" fontId="20" fillId="15" borderId="53" xfId="1" applyNumberFormat="1" applyFont="1" applyFill="1" applyBorder="1" applyAlignment="1">
      <alignment horizontal="center" vertical="center"/>
    </xf>
    <xf numFmtId="0" fontId="21" fillId="0" borderId="39" xfId="1" applyFont="1" applyBorder="1" applyAlignment="1">
      <alignment horizontal="center" vertical="center" textRotation="90"/>
    </xf>
    <xf numFmtId="0" fontId="10" fillId="0" borderId="52" xfId="1" applyFont="1" applyBorder="1"/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 textRotation="90"/>
    </xf>
    <xf numFmtId="0" fontId="10" fillId="2" borderId="38" xfId="0" applyFont="1" applyFill="1" applyBorder="1"/>
    <xf numFmtId="0" fontId="10" fillId="2" borderId="7" xfId="0" applyFont="1" applyFill="1" applyBorder="1"/>
    <xf numFmtId="0" fontId="18" fillId="3" borderId="22" xfId="0" applyFont="1" applyFill="1" applyBorder="1" applyAlignment="1">
      <alignment horizontal="center" vertical="center"/>
    </xf>
    <xf numFmtId="0" fontId="10" fillId="3" borderId="22" xfId="0" applyFont="1" applyFill="1" applyBorder="1"/>
    <xf numFmtId="0" fontId="10" fillId="3" borderId="23" xfId="0" applyFont="1" applyFill="1" applyBorder="1"/>
    <xf numFmtId="0" fontId="20" fillId="0" borderId="21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 textRotation="90"/>
    </xf>
    <xf numFmtId="0" fontId="0" fillId="0" borderId="0" xfId="0"/>
    <xf numFmtId="0" fontId="10" fillId="0" borderId="47" xfId="0" applyFont="1" applyBorder="1"/>
    <xf numFmtId="20" fontId="13" fillId="9" borderId="21" xfId="0" applyNumberFormat="1" applyFont="1" applyFill="1" applyBorder="1" applyAlignment="1">
      <alignment horizontal="center" vertical="center"/>
    </xf>
    <xf numFmtId="20" fontId="20" fillId="14" borderId="21" xfId="0" applyNumberFormat="1" applyFont="1" applyFill="1" applyBorder="1" applyAlignment="1">
      <alignment horizontal="center" vertical="center"/>
    </xf>
    <xf numFmtId="20" fontId="20" fillId="15" borderId="21" xfId="0" applyNumberFormat="1" applyFont="1" applyFill="1" applyBorder="1" applyAlignment="1">
      <alignment horizontal="center" vertical="center"/>
    </xf>
    <xf numFmtId="20" fontId="7" fillId="14" borderId="21" xfId="0" applyNumberFormat="1" applyFont="1" applyFill="1" applyBorder="1" applyAlignment="1">
      <alignment horizontal="center" vertical="center"/>
    </xf>
    <xf numFmtId="20" fontId="7" fillId="14" borderId="22" xfId="0" applyNumberFormat="1" applyFont="1" applyFill="1" applyBorder="1" applyAlignment="1">
      <alignment horizontal="center" vertical="center"/>
    </xf>
    <xf numFmtId="20" fontId="20" fillId="15" borderId="53" xfId="0" applyNumberFormat="1" applyFont="1" applyFill="1" applyBorder="1" applyAlignment="1">
      <alignment horizontal="center" vertical="center"/>
    </xf>
    <xf numFmtId="0" fontId="10" fillId="0" borderId="51" xfId="0" applyFont="1" applyBorder="1"/>
    <xf numFmtId="20" fontId="7" fillId="0" borderId="39" xfId="0" applyNumberFormat="1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 textRotation="90"/>
    </xf>
    <xf numFmtId="0" fontId="10" fillId="0" borderId="52" xfId="0" applyFont="1" applyBorder="1"/>
    <xf numFmtId="0" fontId="20" fillId="22" borderId="18" xfId="0" applyFont="1" applyFill="1" applyBorder="1" applyAlignment="1">
      <alignment horizontal="center" vertical="center"/>
    </xf>
    <xf numFmtId="14" fontId="22" fillId="4" borderId="9" xfId="0" applyNumberFormat="1" applyFont="1" applyFill="1" applyBorder="1" applyAlignment="1">
      <alignment horizontal="center" vertical="center" textRotation="90"/>
    </xf>
    <xf numFmtId="14" fontId="22" fillId="4" borderId="5" xfId="0" applyNumberFormat="1" applyFont="1" applyFill="1" applyBorder="1" applyAlignment="1">
      <alignment horizontal="center" vertical="center" textRotation="90"/>
    </xf>
    <xf numFmtId="14" fontId="22" fillId="4" borderId="27" xfId="0" applyNumberFormat="1" applyFont="1" applyFill="1" applyBorder="1" applyAlignment="1">
      <alignment horizontal="center" vertical="center" textRotation="90"/>
    </xf>
    <xf numFmtId="0" fontId="9" fillId="0" borderId="8" xfId="0" applyFont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 textRotation="90"/>
    </xf>
    <xf numFmtId="0" fontId="9" fillId="0" borderId="20" xfId="0" applyFont="1" applyBorder="1" applyAlignment="1">
      <alignment horizontal="center" vertical="center" textRotation="90"/>
    </xf>
    <xf numFmtId="20" fontId="20" fillId="19" borderId="64" xfId="0" applyNumberFormat="1" applyFont="1" applyFill="1" applyBorder="1" applyAlignment="1">
      <alignment horizontal="center" vertical="center"/>
    </xf>
    <xf numFmtId="20" fontId="20" fillId="19" borderId="58" xfId="0" applyNumberFormat="1" applyFont="1" applyFill="1" applyBorder="1" applyAlignment="1">
      <alignment horizontal="center" vertical="center"/>
    </xf>
    <xf numFmtId="20" fontId="20" fillId="19" borderId="65" xfId="0" applyNumberFormat="1" applyFont="1" applyFill="1" applyBorder="1" applyAlignment="1">
      <alignment horizontal="center" vertical="center"/>
    </xf>
    <xf numFmtId="0" fontId="13" fillId="20" borderId="21" xfId="0" applyFont="1" applyFill="1" applyBorder="1" applyAlignment="1">
      <alignment horizontal="center" vertical="center"/>
    </xf>
    <xf numFmtId="0" fontId="25" fillId="0" borderId="22" xfId="0" applyFont="1" applyBorder="1"/>
    <xf numFmtId="0" fontId="25" fillId="0" borderId="23" xfId="0" applyFont="1" applyBorder="1"/>
    <xf numFmtId="0" fontId="9" fillId="0" borderId="9" xfId="0" applyFont="1" applyBorder="1" applyAlignment="1">
      <alignment horizontal="center" vertical="center" textRotation="90"/>
    </xf>
    <xf numFmtId="0" fontId="20" fillId="23" borderId="18" xfId="0" applyFont="1" applyFill="1" applyBorder="1" applyAlignment="1">
      <alignment horizontal="center" vertical="center"/>
    </xf>
    <xf numFmtId="0" fontId="20" fillId="24" borderId="1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20" fontId="6" fillId="25" borderId="4" xfId="0" applyNumberFormat="1" applyFont="1" applyFill="1" applyBorder="1" applyAlignment="1">
      <alignment horizontal="center" vertical="center"/>
    </xf>
    <xf numFmtId="20" fontId="6" fillId="25" borderId="2" xfId="0" applyNumberFormat="1" applyFont="1" applyFill="1" applyBorder="1" applyAlignment="1">
      <alignment horizontal="center" vertical="center"/>
    </xf>
    <xf numFmtId="20" fontId="6" fillId="25" borderId="3" xfId="0" applyNumberFormat="1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 vertical="center" wrapText="1"/>
    </xf>
    <xf numFmtId="0" fontId="26" fillId="26" borderId="2" xfId="0" applyFont="1" applyFill="1" applyBorder="1"/>
    <xf numFmtId="0" fontId="26" fillId="26" borderId="3" xfId="0" applyFont="1" applyFill="1" applyBorder="1"/>
    <xf numFmtId="14" fontId="2" fillId="31" borderId="1" xfId="0" applyNumberFormat="1" applyFont="1" applyFill="1" applyBorder="1" applyAlignment="1">
      <alignment horizontal="center" vertical="center" textRotation="90"/>
    </xf>
    <xf numFmtId="0" fontId="0" fillId="32" borderId="5" xfId="0" applyFill="1" applyBorder="1"/>
    <xf numFmtId="20" fontId="7" fillId="0" borderId="38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Continuous" vertical="center"/>
    </xf>
    <xf numFmtId="0" fontId="5" fillId="0" borderId="28" xfId="0" applyFont="1" applyBorder="1" applyAlignment="1">
      <alignment horizontal="centerContinuous" vertical="center"/>
    </xf>
    <xf numFmtId="0" fontId="5" fillId="0" borderId="29" xfId="0" applyFont="1" applyBorder="1" applyAlignment="1">
      <alignment horizontal="centerContinuous" vertical="center"/>
    </xf>
    <xf numFmtId="0" fontId="6" fillId="0" borderId="20" xfId="0" applyFont="1" applyBorder="1" applyAlignment="1">
      <alignment horizontal="centerContinuous" vertical="center"/>
    </xf>
    <xf numFmtId="0" fontId="1" fillId="0" borderId="54" xfId="0" applyFont="1" applyBorder="1" applyAlignment="1">
      <alignment horizontal="center" vertical="center"/>
    </xf>
    <xf numFmtId="20" fontId="13" fillId="33" borderId="21" xfId="0" applyNumberFormat="1" applyFont="1" applyFill="1" applyBorder="1" applyAlignment="1">
      <alignment horizontal="center" vertical="center"/>
    </xf>
    <xf numFmtId="0" fontId="0" fillId="32" borderId="27" xfId="0" applyFill="1" applyBorder="1"/>
    <xf numFmtId="0" fontId="0" fillId="31" borderId="27" xfId="0" applyFill="1" applyBorder="1"/>
    <xf numFmtId="0" fontId="0" fillId="31" borderId="5" xfId="0" applyFill="1" applyBorder="1"/>
  </cellXfs>
  <cellStyles count="3">
    <cellStyle name="Normal" xfId="0" builtinId="0"/>
    <cellStyle name="Normal 2" xfId="1" xr:uid="{37C48F87-EDB1-4B76-90E9-7F32B6137D5D}"/>
    <cellStyle name="Normal 2 2" xfId="2" xr:uid="{1CC576C1-1B28-451F-BA0C-66DD0FD50122}"/>
  </cellStyles>
  <dxfs count="278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480A-0B2F-4D44-BCC1-FB05BE09A26C}">
  <dimension ref="A1:Z66"/>
  <sheetViews>
    <sheetView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10">
        <v>46270</v>
      </c>
      <c r="C2" s="2" t="s">
        <v>0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1</v>
      </c>
      <c r="W2" s="7"/>
      <c r="X2" s="7"/>
      <c r="Y2" s="8"/>
    </row>
    <row r="3" spans="1:25" ht="24" customHeight="1" thickBot="1" x14ac:dyDescent="0.3">
      <c r="B3" s="311"/>
      <c r="C3" s="308">
        <v>1.0416666666666666E-2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3</v>
      </c>
      <c r="W3" s="11"/>
      <c r="X3" s="11"/>
      <c r="Y3" s="12"/>
    </row>
    <row r="4" spans="1:25" ht="24" customHeight="1" thickBot="1" x14ac:dyDescent="0.3">
      <c r="B4" s="311"/>
      <c r="C4" s="30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6" t="str">
        <f>CONCATENATE(COUNT(V6:V14,X6:X14)," VIAGENS")</f>
        <v>18 VIAGENS</v>
      </c>
      <c r="W4" s="7"/>
      <c r="X4" s="7"/>
      <c r="Y4" s="8"/>
    </row>
    <row r="5" spans="1:25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11"/>
      <c r="C6" s="314"/>
      <c r="D6" s="18">
        <v>0.19444444444444439</v>
      </c>
      <c r="E6" s="19">
        <v>0.2409722222222222</v>
      </c>
      <c r="F6" s="19">
        <v>0.30694444444444452</v>
      </c>
      <c r="G6" s="20">
        <f>F6-D6</f>
        <v>0.11250000000000013</v>
      </c>
      <c r="H6" s="21">
        <v>11</v>
      </c>
      <c r="I6" s="22">
        <v>1</v>
      </c>
      <c r="J6" s="18">
        <v>0.2326388888888889</v>
      </c>
      <c r="K6" s="19">
        <v>0.28749999999999998</v>
      </c>
      <c r="L6" s="19">
        <v>0.35</v>
      </c>
      <c r="M6" s="20">
        <f t="shared" ref="M6:M7" si="0">L6-J6</f>
        <v>0.11736111111111108</v>
      </c>
      <c r="N6" s="21">
        <v>11</v>
      </c>
      <c r="O6" s="22">
        <v>2</v>
      </c>
      <c r="P6" s="18">
        <v>0.27083333333333331</v>
      </c>
      <c r="Q6" s="19">
        <v>0.33402777777777781</v>
      </c>
      <c r="R6" s="19">
        <v>0.38750000000000001</v>
      </c>
      <c r="S6" s="20">
        <f t="shared" ref="S6:S7" si="1">R6-P6</f>
        <v>0.1166666666666667</v>
      </c>
      <c r="T6" s="21">
        <v>11</v>
      </c>
      <c r="U6" s="22">
        <v>3</v>
      </c>
      <c r="V6" s="23">
        <v>0.19444444444444439</v>
      </c>
      <c r="W6" s="24"/>
      <c r="X6" s="25">
        <v>0.625</v>
      </c>
      <c r="Y6" s="26">
        <f>X6-V14</f>
        <v>4.861111111111116E-2</v>
      </c>
    </row>
    <row r="7" spans="1:25" ht="24" customHeight="1" thickBot="1" x14ac:dyDescent="0.3">
      <c r="B7" s="311"/>
      <c r="C7" s="314"/>
      <c r="D7" s="18">
        <v>0.31597222222222221</v>
      </c>
      <c r="E7" s="19">
        <v>0.36805555555555558</v>
      </c>
      <c r="F7" s="19">
        <v>0.43125000000000002</v>
      </c>
      <c r="G7" s="20">
        <f>F7-D7</f>
        <v>0.11527777777777781</v>
      </c>
      <c r="H7" s="21">
        <v>11</v>
      </c>
      <c r="I7" s="22">
        <v>1</v>
      </c>
      <c r="J7" s="18">
        <v>0.36458333333333331</v>
      </c>
      <c r="K7" s="19">
        <v>0.41041666666666671</v>
      </c>
      <c r="L7" s="19">
        <v>0.46458333333333329</v>
      </c>
      <c r="M7" s="20">
        <f t="shared" si="0"/>
        <v>9.9999999999999978E-2</v>
      </c>
      <c r="N7" s="21">
        <v>11</v>
      </c>
      <c r="O7" s="22">
        <v>2</v>
      </c>
      <c r="P7" s="18">
        <v>0.40277777777777779</v>
      </c>
      <c r="Q7" s="19">
        <v>0.44930555555555562</v>
      </c>
      <c r="R7" s="19">
        <v>0.50624999999999998</v>
      </c>
      <c r="S7" s="20">
        <f t="shared" si="1"/>
        <v>0.10347222222222219</v>
      </c>
      <c r="T7" s="21">
        <v>11</v>
      </c>
      <c r="U7" s="22">
        <v>3</v>
      </c>
      <c r="V7" s="27">
        <v>0.2326388888888889</v>
      </c>
      <c r="W7" s="28">
        <f t="shared" ref="W7:W14" si="2">V7-V6</f>
        <v>3.8194444444444503E-2</v>
      </c>
      <c r="X7" s="29">
        <v>0.67361111111111116</v>
      </c>
      <c r="Y7" s="30">
        <f t="shared" ref="Y7:Y14" si="3">X7-X6</f>
        <v>4.861111111111116E-2</v>
      </c>
    </row>
    <row r="8" spans="1:25" ht="24" customHeight="1" thickBot="1" x14ac:dyDescent="0.3">
      <c r="B8" s="311"/>
      <c r="C8" s="314"/>
      <c r="D8" s="31">
        <f>IF(F7="",E7,F7)</f>
        <v>0.43125000000000002</v>
      </c>
      <c r="E8" s="32"/>
      <c r="F8" s="31">
        <f>IF(D9="",E9,D9)</f>
        <v>0.47986111111111113</v>
      </c>
      <c r="G8" s="32"/>
      <c r="H8" s="32">
        <f>F8-D8</f>
        <v>4.8611111111111105E-2</v>
      </c>
      <c r="I8" s="32"/>
      <c r="J8" s="31">
        <f>IF(L7="",K7,L7)</f>
        <v>0.46458333333333329</v>
      </c>
      <c r="K8" s="32"/>
      <c r="L8" s="31">
        <f>IF(J9="",K9,J9)</f>
        <v>0.52777777777777779</v>
      </c>
      <c r="M8" s="32"/>
      <c r="N8" s="32">
        <f>L8-J8</f>
        <v>6.3194444444444497E-2</v>
      </c>
      <c r="O8" s="32"/>
      <c r="P8" s="31">
        <f>IF(R7="",Q7,R7)</f>
        <v>0.50624999999999998</v>
      </c>
      <c r="Q8" s="32"/>
      <c r="R8" s="31">
        <f>IF(P9="",Q9,P9)</f>
        <v>0.57638888888888884</v>
      </c>
      <c r="S8" s="32"/>
      <c r="T8" s="32">
        <f>R8-P8</f>
        <v>7.0138888888888862E-2</v>
      </c>
      <c r="U8" s="33"/>
      <c r="V8" s="27">
        <v>0.27083333333333331</v>
      </c>
      <c r="W8" s="28">
        <f t="shared" si="2"/>
        <v>3.819444444444442E-2</v>
      </c>
      <c r="X8" s="29">
        <v>0.72222222222222221</v>
      </c>
      <c r="Y8" s="30">
        <f t="shared" si="3"/>
        <v>4.8611111111111049E-2</v>
      </c>
    </row>
    <row r="9" spans="1:25" ht="24" customHeight="1" thickBot="1" x14ac:dyDescent="0.3">
      <c r="B9" s="311"/>
      <c r="C9" s="314"/>
      <c r="D9" s="18">
        <v>0.47986111111111113</v>
      </c>
      <c r="E9" s="19">
        <v>0.53541666666666665</v>
      </c>
      <c r="F9" s="19">
        <v>0.59375</v>
      </c>
      <c r="G9" s="20">
        <f>F9-D9</f>
        <v>0.11388888888888887</v>
      </c>
      <c r="H9" s="21">
        <v>11</v>
      </c>
      <c r="I9" s="22">
        <v>1</v>
      </c>
      <c r="J9" s="18">
        <v>0.52777777777777779</v>
      </c>
      <c r="K9" s="19">
        <v>0.57708333333333328</v>
      </c>
      <c r="L9" s="19">
        <v>0.63680555555555551</v>
      </c>
      <c r="M9" s="20">
        <f>L9-J9</f>
        <v>0.10902777777777772</v>
      </c>
      <c r="N9" s="21">
        <v>11</v>
      </c>
      <c r="O9" s="22">
        <v>2</v>
      </c>
      <c r="P9" s="18">
        <v>0.57638888888888884</v>
      </c>
      <c r="Q9" s="19">
        <v>0.62569444444444444</v>
      </c>
      <c r="R9" s="19">
        <v>0.69652777777777775</v>
      </c>
      <c r="S9" s="20">
        <f>R9-P9</f>
        <v>0.12013888888888891</v>
      </c>
      <c r="T9" s="21">
        <v>11</v>
      </c>
      <c r="U9" s="22">
        <v>3</v>
      </c>
      <c r="V9" s="27">
        <v>0.31597222222222221</v>
      </c>
      <c r="W9" s="28">
        <f t="shared" si="2"/>
        <v>4.5138888888888895E-2</v>
      </c>
      <c r="X9" s="29">
        <v>0.77083333333333337</v>
      </c>
      <c r="Y9" s="30">
        <f t="shared" si="3"/>
        <v>4.861111111111116E-2</v>
      </c>
    </row>
    <row r="10" spans="1:25" s="35" customFormat="1" ht="24" customHeight="1" thickBot="1" x14ac:dyDescent="0.3">
      <c r="A10" s="34"/>
      <c r="B10" s="311"/>
      <c r="C10" s="315"/>
      <c r="D10" s="305" t="s">
        <v>16</v>
      </c>
      <c r="E10" s="306"/>
      <c r="F10" s="306"/>
      <c r="G10" s="306"/>
      <c r="H10" s="306"/>
      <c r="I10" s="307"/>
      <c r="J10" s="305" t="s">
        <v>16</v>
      </c>
      <c r="K10" s="306"/>
      <c r="L10" s="306"/>
      <c r="M10" s="306"/>
      <c r="N10" s="306"/>
      <c r="O10" s="307"/>
      <c r="P10" s="305" t="s">
        <v>16</v>
      </c>
      <c r="Q10" s="306"/>
      <c r="R10" s="306"/>
      <c r="S10" s="306"/>
      <c r="T10" s="306"/>
      <c r="U10" s="307"/>
      <c r="V10" s="27">
        <v>0.36458333333333331</v>
      </c>
      <c r="W10" s="28">
        <f t="shared" si="2"/>
        <v>4.8611111111111105E-2</v>
      </c>
      <c r="X10" s="29">
        <v>0.82291666666666663</v>
      </c>
      <c r="Y10" s="30">
        <f t="shared" si="3"/>
        <v>5.2083333333333259E-2</v>
      </c>
    </row>
    <row r="11" spans="1:25" ht="24" customHeight="1" thickBot="1" x14ac:dyDescent="0.3">
      <c r="B11" s="311"/>
      <c r="C11" s="36" t="s">
        <v>17</v>
      </c>
      <c r="D11" s="37">
        <f>MAX(E6:F9)-IF(D6="",E6,D6)-MIN(H6:H9)+$C3</f>
        <v>0.36111111111111116</v>
      </c>
      <c r="E11" s="38"/>
      <c r="F11" s="38"/>
      <c r="G11" s="39"/>
      <c r="H11" s="40">
        <f ca="1">OFFSET(H5,MATCH(MIN(H6:H9),H6:H9,0),-4)-IF(D6="",E6,D6)+$C3</f>
        <v>0.24722222222222229</v>
      </c>
      <c r="I11" s="41"/>
      <c r="J11" s="37">
        <f>MAX(K6:L9)-IF(J6="",K6,J6)-MIN(N6:N9)+$C3</f>
        <v>0.35138888888888881</v>
      </c>
      <c r="K11" s="38"/>
      <c r="L11" s="38"/>
      <c r="M11" s="39"/>
      <c r="N11" s="40">
        <f ca="1">OFFSET(N5,MATCH(MIN(N6:N9),N6:N9,0),-4)-IF(J6="",K6,J6)+$C3</f>
        <v>0.24236111111111105</v>
      </c>
      <c r="O11" s="41"/>
      <c r="P11" s="37">
        <f>MAX(Q6:R9)-IF(P6="",Q6,P6)-MIN(T6:T9)+$C3</f>
        <v>0.36597222222222225</v>
      </c>
      <c r="Q11" s="38"/>
      <c r="R11" s="38"/>
      <c r="S11" s="39"/>
      <c r="T11" s="40">
        <f ca="1">OFFSET(T5,MATCH(MIN(T6:T9),T6:T9,0),-4)-IF(P6="",Q6,P6)+$C3</f>
        <v>0.24583333333333332</v>
      </c>
      <c r="U11" s="42"/>
      <c r="V11" s="27">
        <v>0.40277777777777779</v>
      </c>
      <c r="W11" s="28">
        <f t="shared" si="2"/>
        <v>3.8194444444444475E-2</v>
      </c>
      <c r="X11" s="29">
        <v>0.89930555555555558</v>
      </c>
      <c r="Y11" s="30">
        <f t="shared" si="3"/>
        <v>7.6388888888888951E-2</v>
      </c>
    </row>
    <row r="12" spans="1:25" ht="24" customHeight="1" thickBot="1" x14ac:dyDescent="0.3">
      <c r="B12" s="311"/>
      <c r="C12" s="308">
        <v>1.0416666666666666E-2</v>
      </c>
      <c r="D12" s="9" t="s">
        <v>18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7"/>
      <c r="V12" s="27">
        <v>0.47986111111111113</v>
      </c>
      <c r="W12" s="28">
        <f t="shared" si="2"/>
        <v>7.7083333333333337E-2</v>
      </c>
      <c r="X12" s="29">
        <v>0.94097222222222221</v>
      </c>
      <c r="Y12" s="30">
        <f t="shared" si="3"/>
        <v>4.166666666666663E-2</v>
      </c>
    </row>
    <row r="13" spans="1:25" ht="24" customHeight="1" thickBot="1" x14ac:dyDescent="0.3">
      <c r="B13" s="311"/>
      <c r="C13" s="309"/>
      <c r="D13" s="9" t="s">
        <v>19</v>
      </c>
      <c r="E13" s="7"/>
      <c r="F13" s="7"/>
      <c r="G13" s="7"/>
      <c r="H13" s="7"/>
      <c r="I13" s="8"/>
      <c r="J13" s="9" t="s">
        <v>20</v>
      </c>
      <c r="K13" s="7"/>
      <c r="L13" s="7"/>
      <c r="M13" s="7"/>
      <c r="N13" s="7"/>
      <c r="O13" s="8"/>
      <c r="P13" s="9" t="s">
        <v>21</v>
      </c>
      <c r="Q13" s="7"/>
      <c r="R13" s="7"/>
      <c r="S13" s="7"/>
      <c r="T13" s="7"/>
      <c r="U13" s="7"/>
      <c r="V13" s="27">
        <v>0.52777777777777779</v>
      </c>
      <c r="W13" s="28">
        <f t="shared" si="2"/>
        <v>4.7916666666666663E-2</v>
      </c>
      <c r="X13" s="29">
        <v>0.98263888888888884</v>
      </c>
      <c r="Y13" s="30">
        <f t="shared" si="3"/>
        <v>4.166666666666663E-2</v>
      </c>
    </row>
    <row r="14" spans="1:25" ht="24" customHeight="1" thickBot="1" x14ac:dyDescent="0.3">
      <c r="B14" s="311"/>
      <c r="C14" s="302" t="s">
        <v>7</v>
      </c>
      <c r="D14" s="13" t="s">
        <v>8</v>
      </c>
      <c r="E14" s="14" t="s">
        <v>9</v>
      </c>
      <c r="F14" s="15" t="s">
        <v>10</v>
      </c>
      <c r="G14" s="14" t="s">
        <v>11</v>
      </c>
      <c r="H14" s="15" t="s">
        <v>12</v>
      </c>
      <c r="I14" s="14" t="s">
        <v>13</v>
      </c>
      <c r="J14" s="15" t="s">
        <v>8</v>
      </c>
      <c r="K14" s="14" t="s">
        <v>9</v>
      </c>
      <c r="L14" s="15" t="s">
        <v>10</v>
      </c>
      <c r="M14" s="14" t="s">
        <v>11</v>
      </c>
      <c r="N14" s="15" t="s">
        <v>12</v>
      </c>
      <c r="O14" s="14" t="s">
        <v>13</v>
      </c>
      <c r="P14" s="13" t="s">
        <v>8</v>
      </c>
      <c r="Q14" s="14" t="s">
        <v>9</v>
      </c>
      <c r="R14" s="15" t="s">
        <v>10</v>
      </c>
      <c r="S14" s="14" t="s">
        <v>11</v>
      </c>
      <c r="T14" s="15" t="s">
        <v>12</v>
      </c>
      <c r="U14" s="13" t="s">
        <v>13</v>
      </c>
      <c r="V14" s="43">
        <v>0.57638888888888884</v>
      </c>
      <c r="W14" s="44">
        <f t="shared" si="2"/>
        <v>4.8611111111111049E-2</v>
      </c>
      <c r="X14" s="45">
        <v>1.0173611111111112</v>
      </c>
      <c r="Y14" s="46">
        <f t="shared" si="3"/>
        <v>3.4722222222222321E-2</v>
      </c>
    </row>
    <row r="15" spans="1:25" ht="24" customHeight="1" thickBot="1" x14ac:dyDescent="0.3">
      <c r="B15" s="311"/>
      <c r="C15" s="303"/>
      <c r="D15" s="23">
        <v>0.625</v>
      </c>
      <c r="E15" s="25">
        <v>0.67708333333333337</v>
      </c>
      <c r="F15" s="25">
        <v>0.76180555555555551</v>
      </c>
      <c r="G15" s="20">
        <f t="shared" ref="G15:G16" si="4">F15-D15</f>
        <v>0.13680555555555551</v>
      </c>
      <c r="H15" s="47">
        <v>11</v>
      </c>
      <c r="I15" s="48">
        <v>1</v>
      </c>
      <c r="J15" s="23">
        <v>0.67361111111111116</v>
      </c>
      <c r="K15" s="25">
        <v>0.72361111111111109</v>
      </c>
      <c r="L15" s="25">
        <v>0.80694444444444446</v>
      </c>
      <c r="M15" s="20">
        <f t="shared" ref="M15:M16" si="5">L15-J15</f>
        <v>0.1333333333333333</v>
      </c>
      <c r="N15" s="47">
        <v>11</v>
      </c>
      <c r="O15" s="48">
        <v>2</v>
      </c>
      <c r="P15" s="23">
        <v>0.72222222222222221</v>
      </c>
      <c r="Q15" s="25">
        <v>0.77847222222222223</v>
      </c>
      <c r="R15" s="25">
        <v>0.84444444444444444</v>
      </c>
      <c r="S15" s="20">
        <f>R15-P15</f>
        <v>0.12222222222222223</v>
      </c>
      <c r="T15" s="47">
        <v>11</v>
      </c>
      <c r="U15" s="48">
        <v>3</v>
      </c>
    </row>
    <row r="16" spans="1:25" ht="24" customHeight="1" thickBot="1" x14ac:dyDescent="0.3">
      <c r="B16" s="311"/>
      <c r="C16" s="303"/>
      <c r="D16" s="27">
        <v>0.77083333333333337</v>
      </c>
      <c r="E16" s="29">
        <v>0.82013888888888886</v>
      </c>
      <c r="F16" s="29">
        <v>0.87361111111111112</v>
      </c>
      <c r="G16" s="20">
        <f t="shared" si="4"/>
        <v>0.10277777777777775</v>
      </c>
      <c r="H16" s="49">
        <v>11</v>
      </c>
      <c r="I16" s="50">
        <v>1</v>
      </c>
      <c r="J16" s="27">
        <v>0.82291666666666663</v>
      </c>
      <c r="K16" s="29">
        <v>0.86875000000000002</v>
      </c>
      <c r="L16" s="29">
        <v>0.91805555555555551</v>
      </c>
      <c r="M16" s="20">
        <f t="shared" si="5"/>
        <v>9.5138888888888884E-2</v>
      </c>
      <c r="N16" s="49">
        <v>11</v>
      </c>
      <c r="O16" s="50">
        <v>2</v>
      </c>
      <c r="P16" s="31">
        <f>IF(R15="",Q15,R15)</f>
        <v>0.84444444444444444</v>
      </c>
      <c r="Q16" s="32"/>
      <c r="R16" s="31">
        <f>IF(P17="",Q17,P17)</f>
        <v>0.89930555555555558</v>
      </c>
      <c r="S16" s="32"/>
      <c r="T16" s="32">
        <f>R16-P16</f>
        <v>5.4861111111111138E-2</v>
      </c>
      <c r="U16" s="32"/>
    </row>
    <row r="17" spans="1:26" ht="24" customHeight="1" thickBot="1" x14ac:dyDescent="0.3">
      <c r="B17" s="311"/>
      <c r="C17" s="303"/>
      <c r="D17" s="31">
        <f>IF(F16="",E16,F16)</f>
        <v>0.87361111111111112</v>
      </c>
      <c r="E17" s="32"/>
      <c r="F17" s="31">
        <f>IF(D18="",E18,D18)</f>
        <v>0.94097222222222221</v>
      </c>
      <c r="G17" s="32"/>
      <c r="H17" s="32">
        <f>F17-D17</f>
        <v>6.7361111111111094E-2</v>
      </c>
      <c r="I17" s="32"/>
      <c r="J17" s="31">
        <f>IF(L16="",K16,L16)</f>
        <v>0.91805555555555551</v>
      </c>
      <c r="K17" s="32"/>
      <c r="L17" s="31">
        <f>IF(J18="",K18,J18)</f>
        <v>0.98263888888888884</v>
      </c>
      <c r="M17" s="32"/>
      <c r="N17" s="32">
        <f>L17-J17</f>
        <v>6.4583333333333326E-2</v>
      </c>
      <c r="O17" s="32"/>
      <c r="P17" s="27">
        <v>0.89930555555555558</v>
      </c>
      <c r="Q17" s="29">
        <v>0.94236111111111109</v>
      </c>
      <c r="R17" s="29">
        <v>0.9916666666666667</v>
      </c>
      <c r="S17" s="20">
        <f t="shared" ref="S17:S18" si="6">R17-P17</f>
        <v>9.2361111111111116E-2</v>
      </c>
      <c r="T17" s="49">
        <v>11</v>
      </c>
      <c r="U17" s="50">
        <v>3</v>
      </c>
    </row>
    <row r="18" spans="1:26" ht="24" customHeight="1" thickBot="1" x14ac:dyDescent="0.3">
      <c r="B18" s="311"/>
      <c r="C18" s="303"/>
      <c r="D18" s="27">
        <v>0.94097222222222221</v>
      </c>
      <c r="E18" s="29">
        <v>0.98402777777777772</v>
      </c>
      <c r="F18" s="29">
        <v>1.0395833333333333</v>
      </c>
      <c r="G18" s="20">
        <f>F18-D18</f>
        <v>9.8611111111111094E-2</v>
      </c>
      <c r="H18" s="49">
        <v>11</v>
      </c>
      <c r="I18" s="50">
        <v>1</v>
      </c>
      <c r="J18" s="27">
        <v>0.98263888888888884</v>
      </c>
      <c r="K18" s="29">
        <v>1.0256944444444445</v>
      </c>
      <c r="L18" s="29">
        <v>1.08125</v>
      </c>
      <c r="M18" s="20">
        <f>L18-J18</f>
        <v>9.8611111111111205E-2</v>
      </c>
      <c r="N18" s="49">
        <v>11</v>
      </c>
      <c r="O18" s="50">
        <v>2</v>
      </c>
      <c r="P18" s="27">
        <v>1.0173611111111112</v>
      </c>
      <c r="Q18" s="29">
        <v>1.0604166666666666</v>
      </c>
      <c r="R18" s="29">
        <v>1.1159722222222221</v>
      </c>
      <c r="S18" s="20">
        <f t="shared" si="6"/>
        <v>9.8611111111110983E-2</v>
      </c>
      <c r="T18" s="49">
        <v>11</v>
      </c>
      <c r="U18" s="50">
        <v>3</v>
      </c>
    </row>
    <row r="19" spans="1:26" s="35" customFormat="1" ht="24" customHeight="1" thickBot="1" x14ac:dyDescent="0.3">
      <c r="A19" s="34"/>
      <c r="B19" s="311"/>
      <c r="C19" s="304"/>
      <c r="D19" s="305" t="s">
        <v>16</v>
      </c>
      <c r="E19" s="306"/>
      <c r="F19" s="306"/>
      <c r="G19" s="306"/>
      <c r="H19" s="306"/>
      <c r="I19" s="307"/>
      <c r="J19" s="305" t="s">
        <v>16</v>
      </c>
      <c r="K19" s="306"/>
      <c r="L19" s="306"/>
      <c r="M19" s="306"/>
      <c r="N19" s="306"/>
      <c r="O19" s="307"/>
      <c r="P19" s="305" t="s">
        <v>16</v>
      </c>
      <c r="Q19" s="306"/>
      <c r="R19" s="306"/>
      <c r="S19" s="306"/>
      <c r="T19" s="306"/>
      <c r="U19" s="307"/>
      <c r="V19" s="1"/>
      <c r="W19" s="1"/>
      <c r="X19" s="1"/>
      <c r="Y19" s="1"/>
      <c r="Z19" s="1"/>
    </row>
    <row r="20" spans="1:26" ht="24" customHeight="1" thickBot="1" x14ac:dyDescent="0.3">
      <c r="B20" s="312"/>
      <c r="C20" s="36" t="s">
        <v>17</v>
      </c>
      <c r="D20" s="37">
        <f>MAX(E15:F18)-IF(D15="",E15,D15)-MIN(H15:H18)+$C12</f>
        <v>0.3576388888888889</v>
      </c>
      <c r="E20" s="51"/>
      <c r="F20" s="51"/>
      <c r="G20" s="52"/>
      <c r="H20" s="53">
        <f ca="1">OFFSET(H14,MATCH(MIN(H15:H18),H15:H18,0),-4)-IF(D15="",E15,D15)</f>
        <v>0.24861111111111112</v>
      </c>
      <c r="I20" s="54"/>
      <c r="J20" s="37">
        <f>MAX(K15:L18)-IF(J15="",K15,J15)-MIN(N15:N18)+$C12</f>
        <v>0.35347222222222224</v>
      </c>
      <c r="K20" s="38"/>
      <c r="L20" s="38"/>
      <c r="M20" s="39"/>
      <c r="N20" s="53">
        <f ca="1">OFFSET(N14,MATCH(MIN(N15:N18),N15:N18,0),-4)-IF(J15="",K15,J15)</f>
        <v>0.24444444444444435</v>
      </c>
      <c r="O20" s="41"/>
      <c r="P20" s="37">
        <f>MAX(Q15:R18)-IF(P15="",Q15,P15)-MIN(T15:T18)+$C12</f>
        <v>0.34930555555555548</v>
      </c>
      <c r="Q20" s="38"/>
      <c r="R20" s="38"/>
      <c r="S20" s="39"/>
      <c r="T20" s="53">
        <f ca="1">OFFSET(T14,MATCH(MIN(T15:T18),T15:T18,0),-4)-IF(P15="",Q15,P15)</f>
        <v>0.12222222222222223</v>
      </c>
      <c r="U20" s="41"/>
    </row>
    <row r="23" spans="1:26" ht="24" customHeight="1" x14ac:dyDescent="0.25">
      <c r="D23"/>
      <c r="E23"/>
      <c r="F23"/>
      <c r="G23"/>
      <c r="H23"/>
      <c r="I23"/>
      <c r="J23"/>
    </row>
    <row r="24" spans="1:26" ht="24" customHeight="1" thickBot="1" x14ac:dyDescent="0.3"/>
    <row r="25" spans="1:26" ht="24" customHeight="1" thickBot="1" x14ac:dyDescent="0.3">
      <c r="B25" s="310">
        <v>46271</v>
      </c>
      <c r="C25" s="2" t="s">
        <v>22</v>
      </c>
      <c r="D25" s="3"/>
      <c r="E25" s="3"/>
      <c r="F25" s="3"/>
      <c r="G25" s="3"/>
      <c r="H25" s="4"/>
      <c r="I25" s="5"/>
      <c r="J25" s="3"/>
      <c r="K25" s="3"/>
      <c r="L25" s="3"/>
      <c r="M25" s="3"/>
      <c r="N25" s="4"/>
      <c r="O25" s="5"/>
      <c r="P25" s="3"/>
      <c r="Q25" s="3"/>
      <c r="R25" s="3"/>
      <c r="S25" s="3"/>
      <c r="T25" s="4"/>
      <c r="U25" s="5"/>
      <c r="V25" s="6" t="s">
        <v>1</v>
      </c>
      <c r="W25" s="7"/>
      <c r="X25" s="7"/>
      <c r="Y25" s="8"/>
    </row>
    <row r="26" spans="1:26" ht="24" customHeight="1" thickBot="1" x14ac:dyDescent="0.3">
      <c r="B26" s="316"/>
      <c r="C26" s="308">
        <v>1.0416666666666666E-2</v>
      </c>
      <c r="D26" s="9" t="s">
        <v>2</v>
      </c>
      <c r="E26" s="7"/>
      <c r="F26" s="7"/>
      <c r="G26" s="7"/>
      <c r="H26" s="7"/>
      <c r="I26" s="8"/>
      <c r="J26" s="9"/>
      <c r="K26" s="7"/>
      <c r="L26" s="7"/>
      <c r="M26" s="7"/>
      <c r="N26" s="7"/>
      <c r="O26" s="8"/>
      <c r="P26" s="9"/>
      <c r="Q26" s="7"/>
      <c r="R26" s="7"/>
      <c r="S26" s="7"/>
      <c r="T26" s="7"/>
      <c r="U26" s="8"/>
      <c r="V26" s="10" t="s">
        <v>23</v>
      </c>
      <c r="W26" s="11"/>
      <c r="X26" s="11"/>
      <c r="Y26" s="12"/>
    </row>
    <row r="27" spans="1:26" ht="24" customHeight="1" thickBot="1" x14ac:dyDescent="0.3">
      <c r="B27" s="316"/>
      <c r="C27" s="309"/>
      <c r="D27" s="9" t="s">
        <v>4</v>
      </c>
      <c r="E27" s="7"/>
      <c r="F27" s="7"/>
      <c r="G27" s="7"/>
      <c r="H27" s="7"/>
      <c r="I27" s="8"/>
      <c r="J27" s="9" t="s">
        <v>5</v>
      </c>
      <c r="K27" s="7"/>
      <c r="L27" s="7"/>
      <c r="M27" s="7"/>
      <c r="N27" s="7"/>
      <c r="O27" s="8"/>
      <c r="P27" s="9" t="s">
        <v>6</v>
      </c>
      <c r="Q27" s="7"/>
      <c r="R27" s="7"/>
      <c r="S27" s="7"/>
      <c r="T27" s="7"/>
      <c r="U27" s="8"/>
      <c r="V27" s="6" t="str">
        <f>CONCATENATE(COUNT(V29:V37,X29:X37)," VIAGENS")</f>
        <v>18 VIAGENS</v>
      </c>
      <c r="W27" s="7"/>
      <c r="X27" s="7"/>
      <c r="Y27" s="8"/>
    </row>
    <row r="28" spans="1:26" ht="24" customHeight="1" thickBot="1" x14ac:dyDescent="0.3">
      <c r="B28" s="316"/>
      <c r="C28" s="313" t="s">
        <v>7</v>
      </c>
      <c r="D28" s="13" t="s">
        <v>8</v>
      </c>
      <c r="E28" s="14" t="s">
        <v>9</v>
      </c>
      <c r="F28" s="15" t="s">
        <v>10</v>
      </c>
      <c r="G28" s="14" t="s">
        <v>11</v>
      </c>
      <c r="H28" s="15" t="s">
        <v>12</v>
      </c>
      <c r="I28" s="14" t="s">
        <v>13</v>
      </c>
      <c r="J28" s="13" t="s">
        <v>8</v>
      </c>
      <c r="K28" s="14" t="s">
        <v>9</v>
      </c>
      <c r="L28" s="15" t="s">
        <v>10</v>
      </c>
      <c r="M28" s="14" t="s">
        <v>11</v>
      </c>
      <c r="N28" s="15" t="s">
        <v>12</v>
      </c>
      <c r="O28" s="14" t="s">
        <v>13</v>
      </c>
      <c r="P28" s="13" t="s">
        <v>8</v>
      </c>
      <c r="Q28" s="14" t="s">
        <v>9</v>
      </c>
      <c r="R28" s="15" t="s">
        <v>10</v>
      </c>
      <c r="S28" s="14" t="s">
        <v>11</v>
      </c>
      <c r="T28" s="15" t="s">
        <v>12</v>
      </c>
      <c r="U28" s="14" t="s">
        <v>13</v>
      </c>
      <c r="V28" s="16" t="s">
        <v>14</v>
      </c>
      <c r="W28" s="17" t="s">
        <v>15</v>
      </c>
      <c r="X28" s="16" t="s">
        <v>14</v>
      </c>
      <c r="Y28" s="17" t="s">
        <v>15</v>
      </c>
    </row>
    <row r="29" spans="1:26" ht="24" customHeight="1" x14ac:dyDescent="0.25">
      <c r="B29" s="316"/>
      <c r="C29" s="314"/>
      <c r="D29" s="18">
        <v>0.19444444444444439</v>
      </c>
      <c r="E29" s="19">
        <v>0.2409722222222222</v>
      </c>
      <c r="F29" s="19">
        <v>0.30694444444444452</v>
      </c>
      <c r="G29" s="20">
        <f>F29-D29</f>
        <v>0.11250000000000013</v>
      </c>
      <c r="H29" s="21">
        <v>11</v>
      </c>
      <c r="I29" s="22">
        <v>1</v>
      </c>
      <c r="J29" s="18">
        <v>0.2326388888888889</v>
      </c>
      <c r="K29" s="19">
        <v>0.28749999999999998</v>
      </c>
      <c r="L29" s="19">
        <v>0.35</v>
      </c>
      <c r="M29" s="20">
        <f t="shared" ref="M29:M30" si="7">L29-J29</f>
        <v>0.11736111111111108</v>
      </c>
      <c r="N29" s="21">
        <v>11</v>
      </c>
      <c r="O29" s="22">
        <v>2</v>
      </c>
      <c r="P29" s="18">
        <v>0.27083333333333331</v>
      </c>
      <c r="Q29" s="19">
        <v>0.33402777777777781</v>
      </c>
      <c r="R29" s="19">
        <v>0.38750000000000001</v>
      </c>
      <c r="S29" s="20">
        <f t="shared" ref="S29:S30" si="8">R29-P29</f>
        <v>0.1166666666666667</v>
      </c>
      <c r="T29" s="21">
        <v>11</v>
      </c>
      <c r="U29" s="22">
        <v>3</v>
      </c>
      <c r="V29" s="23">
        <v>0.19444444444444439</v>
      </c>
      <c r="W29" s="24"/>
      <c r="X29" s="25">
        <v>0.625</v>
      </c>
      <c r="Y29" s="26">
        <f>X29-V37</f>
        <v>4.861111111111116E-2</v>
      </c>
    </row>
    <row r="30" spans="1:26" ht="24" customHeight="1" thickBot="1" x14ac:dyDescent="0.3">
      <c r="B30" s="316"/>
      <c r="C30" s="314"/>
      <c r="D30" s="18">
        <v>0.31597222222222221</v>
      </c>
      <c r="E30" s="19">
        <v>0.36805555555555558</v>
      </c>
      <c r="F30" s="19">
        <v>0.43125000000000002</v>
      </c>
      <c r="G30" s="20">
        <f>F30-D30</f>
        <v>0.11527777777777781</v>
      </c>
      <c r="H30" s="21">
        <v>11</v>
      </c>
      <c r="I30" s="22">
        <v>1</v>
      </c>
      <c r="J30" s="18">
        <v>0.36458333333333331</v>
      </c>
      <c r="K30" s="19">
        <v>0.41041666666666671</v>
      </c>
      <c r="L30" s="19">
        <v>0.46458333333333329</v>
      </c>
      <c r="M30" s="20">
        <f t="shared" si="7"/>
        <v>9.9999999999999978E-2</v>
      </c>
      <c r="N30" s="21">
        <v>11</v>
      </c>
      <c r="O30" s="22">
        <v>2</v>
      </c>
      <c r="P30" s="18">
        <v>0.40277777777777779</v>
      </c>
      <c r="Q30" s="19">
        <v>0.44930555555555562</v>
      </c>
      <c r="R30" s="19">
        <v>0.50624999999999998</v>
      </c>
      <c r="S30" s="20">
        <f t="shared" si="8"/>
        <v>0.10347222222222219</v>
      </c>
      <c r="T30" s="21">
        <v>11</v>
      </c>
      <c r="U30" s="22">
        <v>3</v>
      </c>
      <c r="V30" s="27">
        <v>0.2326388888888889</v>
      </c>
      <c r="W30" s="28">
        <f t="shared" ref="W30:W37" si="9">V30-V29</f>
        <v>3.8194444444444503E-2</v>
      </c>
      <c r="X30" s="29">
        <v>0.67361111111111116</v>
      </c>
      <c r="Y30" s="30">
        <f t="shared" ref="Y30:Y37" si="10">X30-X29</f>
        <v>4.861111111111116E-2</v>
      </c>
    </row>
    <row r="31" spans="1:26" ht="24" customHeight="1" thickBot="1" x14ac:dyDescent="0.3">
      <c r="B31" s="316"/>
      <c r="C31" s="314"/>
      <c r="D31" s="31">
        <f>IF(F30="",E30,F30)</f>
        <v>0.43125000000000002</v>
      </c>
      <c r="E31" s="32"/>
      <c r="F31" s="31">
        <f>IF(D32="",E32,D32)</f>
        <v>0.47986111111111113</v>
      </c>
      <c r="G31" s="32"/>
      <c r="H31" s="32">
        <f>F31-D31</f>
        <v>4.8611111111111105E-2</v>
      </c>
      <c r="I31" s="32"/>
      <c r="J31" s="31">
        <f>IF(L30="",K30,L30)</f>
        <v>0.46458333333333329</v>
      </c>
      <c r="K31" s="32"/>
      <c r="L31" s="31">
        <f>IF(J32="",K32,J32)</f>
        <v>0.52777777777777779</v>
      </c>
      <c r="M31" s="32"/>
      <c r="N31" s="32">
        <f>L31-J31</f>
        <v>6.3194444444444497E-2</v>
      </c>
      <c r="O31" s="32"/>
      <c r="P31" s="31">
        <f>IF(R30="",Q30,R30)</f>
        <v>0.50624999999999998</v>
      </c>
      <c r="Q31" s="32"/>
      <c r="R31" s="31">
        <f>IF(P32="",Q32,P32)</f>
        <v>0.57638888888888884</v>
      </c>
      <c r="S31" s="32"/>
      <c r="T31" s="32">
        <f>R31-P31</f>
        <v>7.0138888888888862E-2</v>
      </c>
      <c r="U31" s="33"/>
      <c r="V31" s="27">
        <v>0.27083333333333331</v>
      </c>
      <c r="W31" s="28">
        <f t="shared" si="9"/>
        <v>3.819444444444442E-2</v>
      </c>
      <c r="X31" s="29">
        <v>0.72222222222222221</v>
      </c>
      <c r="Y31" s="30">
        <f t="shared" si="10"/>
        <v>4.8611111111111049E-2</v>
      </c>
    </row>
    <row r="32" spans="1:26" ht="24" customHeight="1" thickBot="1" x14ac:dyDescent="0.3">
      <c r="B32" s="316"/>
      <c r="C32" s="314"/>
      <c r="D32" s="18">
        <v>0.47986111111111113</v>
      </c>
      <c r="E32" s="19">
        <v>0.53541666666666665</v>
      </c>
      <c r="F32" s="19">
        <v>0.59375</v>
      </c>
      <c r="G32" s="20">
        <f>F32-D32</f>
        <v>0.11388888888888887</v>
      </c>
      <c r="H32" s="21">
        <v>11</v>
      </c>
      <c r="I32" s="22">
        <v>1</v>
      </c>
      <c r="J32" s="18">
        <v>0.52777777777777779</v>
      </c>
      <c r="K32" s="19">
        <v>0.57708333333333328</v>
      </c>
      <c r="L32" s="19">
        <v>0.63680555555555551</v>
      </c>
      <c r="M32" s="20">
        <f>L32-J32</f>
        <v>0.10902777777777772</v>
      </c>
      <c r="N32" s="21">
        <v>11</v>
      </c>
      <c r="O32" s="22">
        <v>2</v>
      </c>
      <c r="P32" s="18">
        <v>0.57638888888888884</v>
      </c>
      <c r="Q32" s="19">
        <v>0.62569444444444444</v>
      </c>
      <c r="R32" s="19">
        <v>0.69652777777777775</v>
      </c>
      <c r="S32" s="20">
        <f>R32-P32</f>
        <v>0.12013888888888891</v>
      </c>
      <c r="T32" s="21">
        <v>11</v>
      </c>
      <c r="U32" s="22">
        <v>3</v>
      </c>
      <c r="V32" s="27">
        <v>0.31597222222222221</v>
      </c>
      <c r="W32" s="28">
        <f t="shared" si="9"/>
        <v>4.5138888888888895E-2</v>
      </c>
      <c r="X32" s="29">
        <v>0.77083333333333337</v>
      </c>
      <c r="Y32" s="30">
        <f t="shared" si="10"/>
        <v>4.861111111111116E-2</v>
      </c>
    </row>
    <row r="33" spans="2:25" ht="24" customHeight="1" thickBot="1" x14ac:dyDescent="0.3">
      <c r="B33" s="316"/>
      <c r="C33" s="315"/>
      <c r="D33" s="305" t="s">
        <v>16</v>
      </c>
      <c r="E33" s="306"/>
      <c r="F33" s="306"/>
      <c r="G33" s="306"/>
      <c r="H33" s="306"/>
      <c r="I33" s="307"/>
      <c r="J33" s="305" t="s">
        <v>16</v>
      </c>
      <c r="K33" s="306"/>
      <c r="L33" s="306"/>
      <c r="M33" s="306"/>
      <c r="N33" s="306"/>
      <c r="O33" s="307"/>
      <c r="P33" s="305" t="s">
        <v>16</v>
      </c>
      <c r="Q33" s="306"/>
      <c r="R33" s="306"/>
      <c r="S33" s="306"/>
      <c r="T33" s="306"/>
      <c r="U33" s="307"/>
      <c r="V33" s="27">
        <v>0.36458333333333331</v>
      </c>
      <c r="W33" s="28">
        <f t="shared" si="9"/>
        <v>4.8611111111111105E-2</v>
      </c>
      <c r="X33" s="29">
        <v>0.82291666666666663</v>
      </c>
      <c r="Y33" s="30">
        <f t="shared" si="10"/>
        <v>5.2083333333333259E-2</v>
      </c>
    </row>
    <row r="34" spans="2:25" ht="24" customHeight="1" thickBot="1" x14ac:dyDescent="0.3">
      <c r="B34" s="316"/>
      <c r="C34" s="36" t="s">
        <v>17</v>
      </c>
      <c r="D34" s="37">
        <f>MAX(E29:F32)-IF(D29="",E29,D29)-MIN(H29:H32)+$C26</f>
        <v>0.36111111111111116</v>
      </c>
      <c r="E34" s="38"/>
      <c r="F34" s="38"/>
      <c r="G34" s="39"/>
      <c r="H34" s="40">
        <f ca="1">OFFSET(H28,MATCH(MIN(H29:H32),H29:H32,0),-4)-IF(D29="",E29,D29)+$C26</f>
        <v>0.24722222222222229</v>
      </c>
      <c r="I34" s="41"/>
      <c r="J34" s="37">
        <f>MAX(K29:L32)-IF(J29="",K29,J29)-MIN(N29:N32)+$C26</f>
        <v>0.35138888888888881</v>
      </c>
      <c r="K34" s="38"/>
      <c r="L34" s="38"/>
      <c r="M34" s="39"/>
      <c r="N34" s="40">
        <f ca="1">OFFSET(N28,MATCH(MIN(N29:N32),N29:N32,0),-4)-IF(J29="",K29,J29)+$C26</f>
        <v>0.24236111111111105</v>
      </c>
      <c r="O34" s="41"/>
      <c r="P34" s="37">
        <f>MAX(Q29:R32)-IF(P29="",Q29,P29)-MIN(T29:T32)+$C26</f>
        <v>0.36597222222222225</v>
      </c>
      <c r="Q34" s="38"/>
      <c r="R34" s="38"/>
      <c r="S34" s="39"/>
      <c r="T34" s="40">
        <f ca="1">OFFSET(T28,MATCH(MIN(T29:T32),T29:T32,0),-4)-IF(P29="",Q29,P29)+$C26</f>
        <v>0.24583333333333332</v>
      </c>
      <c r="U34" s="42"/>
      <c r="V34" s="27">
        <v>0.40277777777777779</v>
      </c>
      <c r="W34" s="28">
        <f t="shared" si="9"/>
        <v>3.8194444444444475E-2</v>
      </c>
      <c r="X34" s="29">
        <v>0.89930555555555558</v>
      </c>
      <c r="Y34" s="30">
        <f t="shared" si="10"/>
        <v>7.6388888888888951E-2</v>
      </c>
    </row>
    <row r="35" spans="2:25" ht="24" customHeight="1" thickBot="1" x14ac:dyDescent="0.3">
      <c r="B35" s="316"/>
      <c r="C35" s="308">
        <v>1.0416666666666666E-2</v>
      </c>
      <c r="D35" s="9" t="s">
        <v>18</v>
      </c>
      <c r="E35" s="7"/>
      <c r="F35" s="7"/>
      <c r="G35" s="7"/>
      <c r="H35" s="7"/>
      <c r="I35" s="8"/>
      <c r="J35" s="9"/>
      <c r="K35" s="7"/>
      <c r="L35" s="7"/>
      <c r="M35" s="7"/>
      <c r="N35" s="7"/>
      <c r="O35" s="8"/>
      <c r="P35" s="9"/>
      <c r="Q35" s="7"/>
      <c r="R35" s="7"/>
      <c r="S35" s="7"/>
      <c r="T35" s="7"/>
      <c r="U35" s="7"/>
      <c r="V35" s="27">
        <v>0.47986111111111113</v>
      </c>
      <c r="W35" s="28">
        <f t="shared" si="9"/>
        <v>7.7083333333333337E-2</v>
      </c>
      <c r="X35" s="29">
        <v>0.94097222222222221</v>
      </c>
      <c r="Y35" s="30">
        <f t="shared" si="10"/>
        <v>4.166666666666663E-2</v>
      </c>
    </row>
    <row r="36" spans="2:25" ht="24" customHeight="1" thickBot="1" x14ac:dyDescent="0.3">
      <c r="B36" s="316"/>
      <c r="C36" s="309"/>
      <c r="D36" s="9" t="s">
        <v>19</v>
      </c>
      <c r="E36" s="7"/>
      <c r="F36" s="7"/>
      <c r="G36" s="7"/>
      <c r="H36" s="7"/>
      <c r="I36" s="8"/>
      <c r="J36" s="9" t="s">
        <v>20</v>
      </c>
      <c r="K36" s="7"/>
      <c r="L36" s="7"/>
      <c r="M36" s="7"/>
      <c r="N36" s="7"/>
      <c r="O36" s="8"/>
      <c r="P36" s="9" t="s">
        <v>21</v>
      </c>
      <c r="Q36" s="7"/>
      <c r="R36" s="7"/>
      <c r="S36" s="7"/>
      <c r="T36" s="7"/>
      <c r="U36" s="7"/>
      <c r="V36" s="27">
        <v>0.52777777777777779</v>
      </c>
      <c r="W36" s="28">
        <f t="shared" si="9"/>
        <v>4.7916666666666663E-2</v>
      </c>
      <c r="X36" s="29">
        <v>0.98263888888888884</v>
      </c>
      <c r="Y36" s="30">
        <f t="shared" si="10"/>
        <v>4.166666666666663E-2</v>
      </c>
    </row>
    <row r="37" spans="2:25" ht="24" customHeight="1" thickBot="1" x14ac:dyDescent="0.3">
      <c r="B37" s="316"/>
      <c r="C37" s="302" t="s">
        <v>7</v>
      </c>
      <c r="D37" s="13" t="s">
        <v>8</v>
      </c>
      <c r="E37" s="14" t="s">
        <v>9</v>
      </c>
      <c r="F37" s="15" t="s">
        <v>10</v>
      </c>
      <c r="G37" s="14" t="s">
        <v>11</v>
      </c>
      <c r="H37" s="15" t="s">
        <v>12</v>
      </c>
      <c r="I37" s="14" t="s">
        <v>13</v>
      </c>
      <c r="J37" s="15" t="s">
        <v>8</v>
      </c>
      <c r="K37" s="14" t="s">
        <v>9</v>
      </c>
      <c r="L37" s="15" t="s">
        <v>10</v>
      </c>
      <c r="M37" s="14" t="s">
        <v>11</v>
      </c>
      <c r="N37" s="15" t="s">
        <v>12</v>
      </c>
      <c r="O37" s="14" t="s">
        <v>13</v>
      </c>
      <c r="P37" s="13" t="s">
        <v>8</v>
      </c>
      <c r="Q37" s="14" t="s">
        <v>9</v>
      </c>
      <c r="R37" s="15" t="s">
        <v>10</v>
      </c>
      <c r="S37" s="14" t="s">
        <v>11</v>
      </c>
      <c r="T37" s="15" t="s">
        <v>12</v>
      </c>
      <c r="U37" s="13" t="s">
        <v>13</v>
      </c>
      <c r="V37" s="43">
        <v>0.57638888888888884</v>
      </c>
      <c r="W37" s="44">
        <f t="shared" si="9"/>
        <v>4.8611111111111049E-2</v>
      </c>
      <c r="X37" s="45">
        <v>1.0173611111111112</v>
      </c>
      <c r="Y37" s="46">
        <f t="shared" si="10"/>
        <v>3.4722222222222321E-2</v>
      </c>
    </row>
    <row r="38" spans="2:25" ht="24" customHeight="1" thickBot="1" x14ac:dyDescent="0.3">
      <c r="B38" s="316"/>
      <c r="C38" s="303"/>
      <c r="D38" s="23">
        <v>0.625</v>
      </c>
      <c r="E38" s="25">
        <v>0.67708333333333337</v>
      </c>
      <c r="F38" s="25">
        <v>0.76180555555555551</v>
      </c>
      <c r="G38" s="20">
        <f t="shared" ref="G38:G39" si="11">F38-D38</f>
        <v>0.13680555555555551</v>
      </c>
      <c r="H38" s="47">
        <v>11</v>
      </c>
      <c r="I38" s="48">
        <v>1</v>
      </c>
      <c r="J38" s="23">
        <v>0.67361111111111116</v>
      </c>
      <c r="K38" s="25">
        <v>0.72361111111111109</v>
      </c>
      <c r="L38" s="25">
        <v>0.80694444444444446</v>
      </c>
      <c r="M38" s="20">
        <f t="shared" ref="M38:M39" si="12">L38-J38</f>
        <v>0.1333333333333333</v>
      </c>
      <c r="N38" s="47">
        <v>11</v>
      </c>
      <c r="O38" s="48">
        <v>2</v>
      </c>
      <c r="P38" s="23">
        <v>0.72222222222222221</v>
      </c>
      <c r="Q38" s="25">
        <v>0.77847222222222223</v>
      </c>
      <c r="R38" s="25">
        <v>0.84444444444444444</v>
      </c>
      <c r="S38" s="20">
        <f>R38-P38</f>
        <v>0.12222222222222223</v>
      </c>
      <c r="T38" s="47">
        <v>11</v>
      </c>
      <c r="U38" s="48">
        <v>3</v>
      </c>
    </row>
    <row r="39" spans="2:25" ht="24" customHeight="1" thickBot="1" x14ac:dyDescent="0.3">
      <c r="B39" s="316"/>
      <c r="C39" s="303"/>
      <c r="D39" s="27">
        <v>0.77083333333333337</v>
      </c>
      <c r="E39" s="29">
        <v>0.82013888888888886</v>
      </c>
      <c r="F39" s="29">
        <v>0.87361111111111112</v>
      </c>
      <c r="G39" s="20">
        <f t="shared" si="11"/>
        <v>0.10277777777777775</v>
      </c>
      <c r="H39" s="49">
        <v>11</v>
      </c>
      <c r="I39" s="50">
        <v>1</v>
      </c>
      <c r="J39" s="27">
        <v>0.82291666666666663</v>
      </c>
      <c r="K39" s="29">
        <v>0.86875000000000002</v>
      </c>
      <c r="L39" s="29">
        <v>0.91805555555555551</v>
      </c>
      <c r="M39" s="20">
        <f t="shared" si="12"/>
        <v>9.5138888888888884E-2</v>
      </c>
      <c r="N39" s="49">
        <v>11</v>
      </c>
      <c r="O39" s="50">
        <v>2</v>
      </c>
      <c r="P39" s="31">
        <f>IF(R38="",Q38,R38)</f>
        <v>0.84444444444444444</v>
      </c>
      <c r="Q39" s="32"/>
      <c r="R39" s="31">
        <f>IF(P40="",Q40,P40)</f>
        <v>0.89930555555555558</v>
      </c>
      <c r="S39" s="32"/>
      <c r="T39" s="32">
        <f>R39-P39</f>
        <v>5.4861111111111138E-2</v>
      </c>
      <c r="U39" s="32"/>
    </row>
    <row r="40" spans="2:25" ht="24" customHeight="1" thickBot="1" x14ac:dyDescent="0.3">
      <c r="B40" s="316"/>
      <c r="C40" s="303"/>
      <c r="D40" s="31">
        <f>IF(F39="",E39,F39)</f>
        <v>0.87361111111111112</v>
      </c>
      <c r="E40" s="32"/>
      <c r="F40" s="31">
        <f>IF(D41="",E41,D41)</f>
        <v>0.94097222222222221</v>
      </c>
      <c r="G40" s="32"/>
      <c r="H40" s="32">
        <f>F40-D40</f>
        <v>6.7361111111111094E-2</v>
      </c>
      <c r="I40" s="32"/>
      <c r="J40" s="31">
        <f>IF(L39="",K39,L39)</f>
        <v>0.91805555555555551</v>
      </c>
      <c r="K40" s="32"/>
      <c r="L40" s="31">
        <f>IF(J41="",K41,J41)</f>
        <v>0.98263888888888884</v>
      </c>
      <c r="M40" s="32"/>
      <c r="N40" s="32">
        <f>L40-J40</f>
        <v>6.4583333333333326E-2</v>
      </c>
      <c r="O40" s="32"/>
      <c r="P40" s="27">
        <v>0.89930555555555558</v>
      </c>
      <c r="Q40" s="29">
        <v>0.94236111111111109</v>
      </c>
      <c r="R40" s="29">
        <v>0.9916666666666667</v>
      </c>
      <c r="S40" s="20">
        <f t="shared" ref="S40:S41" si="13">R40-P40</f>
        <v>9.2361111111111116E-2</v>
      </c>
      <c r="T40" s="49">
        <v>11</v>
      </c>
      <c r="U40" s="50">
        <v>3</v>
      </c>
    </row>
    <row r="41" spans="2:25" ht="24" customHeight="1" thickBot="1" x14ac:dyDescent="0.3">
      <c r="B41" s="316"/>
      <c r="C41" s="303"/>
      <c r="D41" s="27">
        <v>0.94097222222222221</v>
      </c>
      <c r="E41" s="29">
        <v>0.98402777777777772</v>
      </c>
      <c r="F41" s="29">
        <v>1.0395833333333333</v>
      </c>
      <c r="G41" s="20">
        <f>F41-D41</f>
        <v>9.8611111111111094E-2</v>
      </c>
      <c r="H41" s="49">
        <v>11</v>
      </c>
      <c r="I41" s="50">
        <v>1</v>
      </c>
      <c r="J41" s="27">
        <v>0.98263888888888884</v>
      </c>
      <c r="K41" s="29">
        <v>1.0256944444444445</v>
      </c>
      <c r="L41" s="29">
        <v>1.08125</v>
      </c>
      <c r="M41" s="20">
        <f>L41-J41</f>
        <v>9.8611111111111205E-2</v>
      </c>
      <c r="N41" s="49">
        <v>11</v>
      </c>
      <c r="O41" s="50">
        <v>2</v>
      </c>
      <c r="P41" s="27">
        <v>1.0173611111111112</v>
      </c>
      <c r="Q41" s="29">
        <v>1.0604166666666666</v>
      </c>
      <c r="R41" s="29">
        <v>1.1159722222222221</v>
      </c>
      <c r="S41" s="20">
        <f t="shared" si="13"/>
        <v>9.8611111111110983E-2</v>
      </c>
      <c r="T41" s="49">
        <v>11</v>
      </c>
      <c r="U41" s="50">
        <v>3</v>
      </c>
    </row>
    <row r="42" spans="2:25" ht="24" customHeight="1" thickBot="1" x14ac:dyDescent="0.3">
      <c r="B42" s="316"/>
      <c r="C42" s="304"/>
      <c r="D42" s="305" t="s">
        <v>16</v>
      </c>
      <c r="E42" s="306"/>
      <c r="F42" s="306"/>
      <c r="G42" s="306"/>
      <c r="H42" s="306"/>
      <c r="I42" s="307"/>
      <c r="J42" s="305" t="s">
        <v>16</v>
      </c>
      <c r="K42" s="306"/>
      <c r="L42" s="306"/>
      <c r="M42" s="306"/>
      <c r="N42" s="306"/>
      <c r="O42" s="307"/>
      <c r="P42" s="305" t="s">
        <v>16</v>
      </c>
      <c r="Q42" s="306"/>
      <c r="R42" s="306"/>
      <c r="S42" s="306"/>
      <c r="T42" s="306"/>
      <c r="U42" s="307"/>
    </row>
    <row r="43" spans="2:25" ht="24" customHeight="1" thickBot="1" x14ac:dyDescent="0.3">
      <c r="B43" s="317"/>
      <c r="C43" s="36" t="s">
        <v>17</v>
      </c>
      <c r="D43" s="37">
        <f>MAX(E38:F41)-IF(D38="",E38,D38)-MIN(H38:H41)+$C35</f>
        <v>0.3576388888888889</v>
      </c>
      <c r="E43" s="51"/>
      <c r="F43" s="51"/>
      <c r="G43" s="52"/>
      <c r="H43" s="53">
        <f ca="1">OFFSET(H37,MATCH(MIN(H38:H41),H38:H41,0),-4)-IF(D38="",E38,D38)</f>
        <v>0.24861111111111112</v>
      </c>
      <c r="I43" s="54"/>
      <c r="J43" s="37">
        <f>MAX(K38:L41)-IF(J38="",K38,J38)-MIN(N38:N41)+$C35</f>
        <v>0.35347222222222224</v>
      </c>
      <c r="K43" s="38"/>
      <c r="L43" s="38"/>
      <c r="M43" s="39"/>
      <c r="N43" s="53">
        <f ca="1">OFFSET(N37,MATCH(MIN(N38:N41),N38:N41,0),-4)-IF(J38="",K38,J38)</f>
        <v>0.24444444444444435</v>
      </c>
      <c r="O43" s="41"/>
      <c r="P43" s="37">
        <f>MAX(Q38:R41)-IF(P38="",Q38,P38)-MIN(T38:T41)+$C35</f>
        <v>0.34930555555555548</v>
      </c>
      <c r="Q43" s="38"/>
      <c r="R43" s="38"/>
      <c r="S43" s="39"/>
      <c r="T43" s="53">
        <f ca="1">OFFSET(T37,MATCH(MIN(T38:T41),T38:T41,0),-4)-IF(P38="",Q38,P38)</f>
        <v>0.12222222222222223</v>
      </c>
      <c r="U43" s="41"/>
    </row>
    <row r="47" spans="2:25" ht="24" customHeight="1" thickBot="1" x14ac:dyDescent="0.3"/>
    <row r="48" spans="2:25" ht="24" customHeight="1" thickBot="1" x14ac:dyDescent="0.3">
      <c r="B48" s="310">
        <v>46272</v>
      </c>
      <c r="C48" s="2" t="s">
        <v>24</v>
      </c>
      <c r="D48" s="3"/>
      <c r="E48" s="3"/>
      <c r="F48" s="3"/>
      <c r="G48" s="3"/>
      <c r="H48" s="4"/>
      <c r="I48" s="5"/>
      <c r="J48" s="3"/>
      <c r="K48" s="3"/>
      <c r="L48" s="3"/>
      <c r="M48" s="3"/>
      <c r="N48" s="4"/>
      <c r="O48" s="5"/>
      <c r="P48" s="3"/>
      <c r="Q48" s="3"/>
      <c r="R48" s="3"/>
      <c r="S48" s="3"/>
      <c r="T48" s="4"/>
      <c r="U48" s="5"/>
      <c r="V48" s="6" t="s">
        <v>1</v>
      </c>
      <c r="W48" s="7"/>
      <c r="X48" s="7"/>
      <c r="Y48" s="8"/>
    </row>
    <row r="49" spans="2:25" ht="24" customHeight="1" thickBot="1" x14ac:dyDescent="0.3">
      <c r="B49" s="316"/>
      <c r="C49" s="308">
        <v>1.0416666666666666E-2</v>
      </c>
      <c r="D49" s="9" t="s">
        <v>2</v>
      </c>
      <c r="E49" s="7"/>
      <c r="F49" s="7"/>
      <c r="G49" s="7"/>
      <c r="H49" s="7"/>
      <c r="I49" s="8"/>
      <c r="J49" s="9"/>
      <c r="K49" s="7"/>
      <c r="L49" s="7"/>
      <c r="M49" s="7"/>
      <c r="N49" s="7"/>
      <c r="O49" s="8"/>
      <c r="P49" s="9"/>
      <c r="Q49" s="7"/>
      <c r="R49" s="7"/>
      <c r="S49" s="7"/>
      <c r="T49" s="7"/>
      <c r="U49" s="8"/>
      <c r="V49" s="10" t="s">
        <v>25</v>
      </c>
      <c r="W49" s="11"/>
      <c r="X49" s="11"/>
      <c r="Y49" s="12"/>
    </row>
    <row r="50" spans="2:25" ht="24" customHeight="1" thickBot="1" x14ac:dyDescent="0.3">
      <c r="B50" s="316"/>
      <c r="C50" s="309"/>
      <c r="D50" s="9" t="s">
        <v>4</v>
      </c>
      <c r="E50" s="7"/>
      <c r="F50" s="7"/>
      <c r="G50" s="7"/>
      <c r="H50" s="7"/>
      <c r="I50" s="8"/>
      <c r="J50" s="9" t="s">
        <v>5</v>
      </c>
      <c r="K50" s="7"/>
      <c r="L50" s="7"/>
      <c r="M50" s="7"/>
      <c r="N50" s="7"/>
      <c r="O50" s="8"/>
      <c r="P50" s="9" t="s">
        <v>6</v>
      </c>
      <c r="Q50" s="7"/>
      <c r="R50" s="7"/>
      <c r="S50" s="7"/>
      <c r="T50" s="7"/>
      <c r="U50" s="8"/>
      <c r="V50" s="6" t="str">
        <f>CONCATENATE(COUNT(V52:V60,X52:X60)," VIAGENS")</f>
        <v>18 VIAGENS</v>
      </c>
      <c r="W50" s="7"/>
      <c r="X50" s="7"/>
      <c r="Y50" s="8"/>
    </row>
    <row r="51" spans="2:25" ht="24" customHeight="1" thickBot="1" x14ac:dyDescent="0.3">
      <c r="B51" s="316"/>
      <c r="C51" s="313" t="s">
        <v>7</v>
      </c>
      <c r="D51" s="13" t="s">
        <v>8</v>
      </c>
      <c r="E51" s="14" t="s">
        <v>9</v>
      </c>
      <c r="F51" s="15" t="s">
        <v>10</v>
      </c>
      <c r="G51" s="14" t="s">
        <v>11</v>
      </c>
      <c r="H51" s="15" t="s">
        <v>12</v>
      </c>
      <c r="I51" s="14" t="s">
        <v>13</v>
      </c>
      <c r="J51" s="13" t="s">
        <v>8</v>
      </c>
      <c r="K51" s="14" t="s">
        <v>9</v>
      </c>
      <c r="L51" s="15" t="s">
        <v>10</v>
      </c>
      <c r="M51" s="14" t="s">
        <v>11</v>
      </c>
      <c r="N51" s="15" t="s">
        <v>12</v>
      </c>
      <c r="O51" s="14" t="s">
        <v>13</v>
      </c>
      <c r="P51" s="13" t="s">
        <v>8</v>
      </c>
      <c r="Q51" s="14" t="s">
        <v>9</v>
      </c>
      <c r="R51" s="15" t="s">
        <v>10</v>
      </c>
      <c r="S51" s="14" t="s">
        <v>11</v>
      </c>
      <c r="T51" s="15" t="s">
        <v>12</v>
      </c>
      <c r="U51" s="14" t="s">
        <v>13</v>
      </c>
      <c r="V51" s="16" t="s">
        <v>14</v>
      </c>
      <c r="W51" s="17" t="s">
        <v>15</v>
      </c>
      <c r="X51" s="16" t="s">
        <v>14</v>
      </c>
      <c r="Y51" s="17" t="s">
        <v>15</v>
      </c>
    </row>
    <row r="52" spans="2:25" ht="24" customHeight="1" x14ac:dyDescent="0.25">
      <c r="B52" s="316"/>
      <c r="C52" s="314"/>
      <c r="D52" s="18">
        <v>0.19444444444444439</v>
      </c>
      <c r="E52" s="19">
        <v>0.2409722222222222</v>
      </c>
      <c r="F52" s="19">
        <v>0.30694444444444452</v>
      </c>
      <c r="G52" s="20">
        <f>F52-D52</f>
        <v>0.11250000000000013</v>
      </c>
      <c r="H52" s="21">
        <v>11</v>
      </c>
      <c r="I52" s="22">
        <v>1</v>
      </c>
      <c r="J52" s="18">
        <v>0.2326388888888889</v>
      </c>
      <c r="K52" s="19">
        <v>0.28749999999999998</v>
      </c>
      <c r="L52" s="19">
        <v>0.35</v>
      </c>
      <c r="M52" s="20">
        <f t="shared" ref="M52:M53" si="14">L52-J52</f>
        <v>0.11736111111111108</v>
      </c>
      <c r="N52" s="21">
        <v>11</v>
      </c>
      <c r="O52" s="22">
        <v>2</v>
      </c>
      <c r="P52" s="18">
        <v>0.27083333333333331</v>
      </c>
      <c r="Q52" s="19">
        <v>0.33402777777777781</v>
      </c>
      <c r="R52" s="19">
        <v>0.38750000000000001</v>
      </c>
      <c r="S52" s="20">
        <f t="shared" ref="S52:S53" si="15">R52-P52</f>
        <v>0.1166666666666667</v>
      </c>
      <c r="T52" s="21">
        <v>11</v>
      </c>
      <c r="U52" s="22">
        <v>3</v>
      </c>
      <c r="V52" s="23">
        <v>0.19444444444444439</v>
      </c>
      <c r="W52" s="24"/>
      <c r="X52" s="25">
        <v>0.625</v>
      </c>
      <c r="Y52" s="26">
        <f>X52-V60</f>
        <v>4.861111111111116E-2</v>
      </c>
    </row>
    <row r="53" spans="2:25" ht="24" customHeight="1" thickBot="1" x14ac:dyDescent="0.3">
      <c r="B53" s="316"/>
      <c r="C53" s="314"/>
      <c r="D53" s="18">
        <v>0.31597222222222221</v>
      </c>
      <c r="E53" s="19">
        <v>0.36805555555555558</v>
      </c>
      <c r="F53" s="19">
        <v>0.43125000000000002</v>
      </c>
      <c r="G53" s="20">
        <f>F53-D53</f>
        <v>0.11527777777777781</v>
      </c>
      <c r="H53" s="21">
        <v>11</v>
      </c>
      <c r="I53" s="22">
        <v>1</v>
      </c>
      <c r="J53" s="18">
        <v>0.36458333333333331</v>
      </c>
      <c r="K53" s="19">
        <v>0.41041666666666671</v>
      </c>
      <c r="L53" s="19">
        <v>0.46458333333333329</v>
      </c>
      <c r="M53" s="20">
        <f t="shared" si="14"/>
        <v>9.9999999999999978E-2</v>
      </c>
      <c r="N53" s="21">
        <v>11</v>
      </c>
      <c r="O53" s="22">
        <v>2</v>
      </c>
      <c r="P53" s="18">
        <v>0.40277777777777779</v>
      </c>
      <c r="Q53" s="19">
        <v>0.44930555555555562</v>
      </c>
      <c r="R53" s="19">
        <v>0.50624999999999998</v>
      </c>
      <c r="S53" s="20">
        <f t="shared" si="15"/>
        <v>0.10347222222222219</v>
      </c>
      <c r="T53" s="21">
        <v>11</v>
      </c>
      <c r="U53" s="22">
        <v>3</v>
      </c>
      <c r="V53" s="27">
        <v>0.2326388888888889</v>
      </c>
      <c r="W53" s="28">
        <f t="shared" ref="W53:W60" si="16">V53-V52</f>
        <v>3.8194444444444503E-2</v>
      </c>
      <c r="X53" s="29">
        <v>0.67361111111111116</v>
      </c>
      <c r="Y53" s="30">
        <f t="shared" ref="Y53:Y60" si="17">X53-X52</f>
        <v>4.861111111111116E-2</v>
      </c>
    </row>
    <row r="54" spans="2:25" ht="24" customHeight="1" thickBot="1" x14ac:dyDescent="0.3">
      <c r="B54" s="316"/>
      <c r="C54" s="314"/>
      <c r="D54" s="31">
        <f>IF(F53="",E53,F53)</f>
        <v>0.43125000000000002</v>
      </c>
      <c r="E54" s="32"/>
      <c r="F54" s="31">
        <f>IF(D55="",E55,D55)</f>
        <v>0.47986111111111113</v>
      </c>
      <c r="G54" s="32"/>
      <c r="H54" s="32">
        <f>F54-D54</f>
        <v>4.8611111111111105E-2</v>
      </c>
      <c r="I54" s="32"/>
      <c r="J54" s="31">
        <f>IF(L53="",K53,L53)</f>
        <v>0.46458333333333329</v>
      </c>
      <c r="K54" s="32"/>
      <c r="L54" s="31">
        <f>IF(J55="",K55,J55)</f>
        <v>0.52777777777777779</v>
      </c>
      <c r="M54" s="32"/>
      <c r="N54" s="32">
        <f>L54-J54</f>
        <v>6.3194444444444497E-2</v>
      </c>
      <c r="O54" s="32"/>
      <c r="P54" s="31">
        <f>IF(R53="",Q53,R53)</f>
        <v>0.50624999999999998</v>
      </c>
      <c r="Q54" s="32"/>
      <c r="R54" s="31">
        <f>IF(P55="",Q55,P55)</f>
        <v>0.57638888888888884</v>
      </c>
      <c r="S54" s="32"/>
      <c r="T54" s="32">
        <f>R54-P54</f>
        <v>7.0138888888888862E-2</v>
      </c>
      <c r="U54" s="33"/>
      <c r="V54" s="27">
        <v>0.27083333333333331</v>
      </c>
      <c r="W54" s="28">
        <f t="shared" si="16"/>
        <v>3.819444444444442E-2</v>
      </c>
      <c r="X54" s="29">
        <v>0.72222222222222221</v>
      </c>
      <c r="Y54" s="30">
        <f t="shared" si="17"/>
        <v>4.8611111111111049E-2</v>
      </c>
    </row>
    <row r="55" spans="2:25" ht="24" customHeight="1" thickBot="1" x14ac:dyDescent="0.3">
      <c r="B55" s="316"/>
      <c r="C55" s="314"/>
      <c r="D55" s="18">
        <v>0.47986111111111113</v>
      </c>
      <c r="E55" s="19">
        <v>0.53541666666666665</v>
      </c>
      <c r="F55" s="19">
        <v>0.59375</v>
      </c>
      <c r="G55" s="20">
        <f>F55-D55</f>
        <v>0.11388888888888887</v>
      </c>
      <c r="H55" s="21">
        <v>11</v>
      </c>
      <c r="I55" s="22">
        <v>1</v>
      </c>
      <c r="J55" s="18">
        <v>0.52777777777777779</v>
      </c>
      <c r="K55" s="19">
        <v>0.57708333333333328</v>
      </c>
      <c r="L55" s="19">
        <v>0.63680555555555551</v>
      </c>
      <c r="M55" s="20">
        <f>L55-J55</f>
        <v>0.10902777777777772</v>
      </c>
      <c r="N55" s="21">
        <v>11</v>
      </c>
      <c r="O55" s="22">
        <v>2</v>
      </c>
      <c r="P55" s="18">
        <v>0.57638888888888884</v>
      </c>
      <c r="Q55" s="19">
        <v>0.62569444444444444</v>
      </c>
      <c r="R55" s="19">
        <v>0.69652777777777775</v>
      </c>
      <c r="S55" s="20">
        <f>R55-P55</f>
        <v>0.12013888888888891</v>
      </c>
      <c r="T55" s="21">
        <v>11</v>
      </c>
      <c r="U55" s="22">
        <v>3</v>
      </c>
      <c r="V55" s="27">
        <v>0.31597222222222221</v>
      </c>
      <c r="W55" s="28">
        <f t="shared" si="16"/>
        <v>4.5138888888888895E-2</v>
      </c>
      <c r="X55" s="29">
        <v>0.77083333333333337</v>
      </c>
      <c r="Y55" s="30">
        <f t="shared" si="17"/>
        <v>4.861111111111116E-2</v>
      </c>
    </row>
    <row r="56" spans="2:25" ht="24" customHeight="1" thickBot="1" x14ac:dyDescent="0.3">
      <c r="B56" s="316"/>
      <c r="C56" s="315"/>
      <c r="D56" s="318" t="s">
        <v>16</v>
      </c>
      <c r="E56" s="306"/>
      <c r="F56" s="306"/>
      <c r="G56" s="306"/>
      <c r="H56" s="306"/>
      <c r="I56" s="307"/>
      <c r="J56" s="318" t="s">
        <v>16</v>
      </c>
      <c r="K56" s="306"/>
      <c r="L56" s="306"/>
      <c r="M56" s="306"/>
      <c r="N56" s="306"/>
      <c r="O56" s="307"/>
      <c r="P56" s="318" t="s">
        <v>16</v>
      </c>
      <c r="Q56" s="306"/>
      <c r="R56" s="306"/>
      <c r="S56" s="306"/>
      <c r="T56" s="306"/>
      <c r="U56" s="307"/>
      <c r="V56" s="27">
        <v>0.36458333333333331</v>
      </c>
      <c r="W56" s="28">
        <f t="shared" si="16"/>
        <v>4.8611111111111105E-2</v>
      </c>
      <c r="X56" s="29">
        <v>0.82291666666666663</v>
      </c>
      <c r="Y56" s="30">
        <f t="shared" si="17"/>
        <v>5.2083333333333259E-2</v>
      </c>
    </row>
    <row r="57" spans="2:25" ht="24" customHeight="1" thickBot="1" x14ac:dyDescent="0.3">
      <c r="B57" s="316"/>
      <c r="C57" s="36" t="s">
        <v>17</v>
      </c>
      <c r="D57" s="37">
        <f>MAX(E52:F55)-IF(D52="",E52,D52)-MIN(H52:H55)+$C49</f>
        <v>0.36111111111111116</v>
      </c>
      <c r="E57" s="38"/>
      <c r="F57" s="38"/>
      <c r="G57" s="39"/>
      <c r="H57" s="40">
        <f ca="1">OFFSET(H51,MATCH(MIN(H52:H55),H52:H55,0),-4)-IF(D52="",E52,D52)+$C49</f>
        <v>0.24722222222222229</v>
      </c>
      <c r="I57" s="41"/>
      <c r="J57" s="37">
        <f>MAX(K52:L55)-IF(J52="",K52,J52)-MIN(N52:N55)+$C49</f>
        <v>0.35138888888888881</v>
      </c>
      <c r="K57" s="38"/>
      <c r="L57" s="38"/>
      <c r="M57" s="39"/>
      <c r="N57" s="40">
        <f ca="1">OFFSET(N51,MATCH(MIN(N52:N55),N52:N55,0),-4)-IF(J52="",K52,J52)+$C49</f>
        <v>0.24236111111111105</v>
      </c>
      <c r="O57" s="41"/>
      <c r="P57" s="37">
        <f>MAX(Q52:R55)-IF(P52="",Q52,P52)-MIN(T52:T55)+$C49</f>
        <v>0.36597222222222225</v>
      </c>
      <c r="Q57" s="38"/>
      <c r="R57" s="38"/>
      <c r="S57" s="39"/>
      <c r="T57" s="40">
        <f ca="1">OFFSET(T51,MATCH(MIN(T52:T55),T52:T55,0),-4)-IF(P52="",Q52,P52)+$C49</f>
        <v>0.24583333333333332</v>
      </c>
      <c r="U57" s="42"/>
      <c r="V57" s="27">
        <v>0.40277777777777779</v>
      </c>
      <c r="W57" s="28">
        <f t="shared" si="16"/>
        <v>3.8194444444444475E-2</v>
      </c>
      <c r="X57" s="29">
        <v>0.89930555555555558</v>
      </c>
      <c r="Y57" s="30">
        <f t="shared" si="17"/>
        <v>7.6388888888888951E-2</v>
      </c>
    </row>
    <row r="58" spans="2:25" ht="24" customHeight="1" thickBot="1" x14ac:dyDescent="0.3">
      <c r="B58" s="316"/>
      <c r="C58" s="308">
        <v>1.0416666666666666E-2</v>
      </c>
      <c r="D58" s="9" t="s">
        <v>18</v>
      </c>
      <c r="E58" s="7"/>
      <c r="F58" s="7"/>
      <c r="G58" s="7"/>
      <c r="H58" s="7"/>
      <c r="I58" s="8"/>
      <c r="J58" s="9"/>
      <c r="K58" s="7"/>
      <c r="L58" s="7"/>
      <c r="M58" s="7"/>
      <c r="N58" s="7"/>
      <c r="O58" s="8"/>
      <c r="P58" s="9"/>
      <c r="Q58" s="7"/>
      <c r="R58" s="7"/>
      <c r="S58" s="7"/>
      <c r="T58" s="7"/>
      <c r="U58" s="7"/>
      <c r="V58" s="27">
        <v>0.47986111111111113</v>
      </c>
      <c r="W58" s="28">
        <f t="shared" si="16"/>
        <v>7.7083333333333337E-2</v>
      </c>
      <c r="X58" s="29">
        <v>0.94097222222222221</v>
      </c>
      <c r="Y58" s="30">
        <f t="shared" si="17"/>
        <v>4.166666666666663E-2</v>
      </c>
    </row>
    <row r="59" spans="2:25" ht="24" customHeight="1" thickBot="1" x14ac:dyDescent="0.3">
      <c r="B59" s="316"/>
      <c r="C59" s="309"/>
      <c r="D59" s="9" t="s">
        <v>19</v>
      </c>
      <c r="E59" s="7"/>
      <c r="F59" s="7"/>
      <c r="G59" s="7"/>
      <c r="H59" s="7"/>
      <c r="I59" s="8"/>
      <c r="J59" s="9" t="s">
        <v>20</v>
      </c>
      <c r="K59" s="7"/>
      <c r="L59" s="7"/>
      <c r="M59" s="7"/>
      <c r="N59" s="7"/>
      <c r="O59" s="8"/>
      <c r="P59" s="9" t="s">
        <v>21</v>
      </c>
      <c r="Q59" s="7"/>
      <c r="R59" s="7"/>
      <c r="S59" s="7"/>
      <c r="T59" s="7"/>
      <c r="U59" s="7"/>
      <c r="V59" s="27">
        <v>0.52777777777777779</v>
      </c>
      <c r="W59" s="28">
        <f t="shared" si="16"/>
        <v>4.7916666666666663E-2</v>
      </c>
      <c r="X59" s="29">
        <v>0.98263888888888884</v>
      </c>
      <c r="Y59" s="30">
        <f t="shared" si="17"/>
        <v>4.166666666666663E-2</v>
      </c>
    </row>
    <row r="60" spans="2:25" ht="24" customHeight="1" thickBot="1" x14ac:dyDescent="0.3">
      <c r="B60" s="316"/>
      <c r="C60" s="302" t="s">
        <v>7</v>
      </c>
      <c r="D60" s="13" t="s">
        <v>8</v>
      </c>
      <c r="E60" s="14" t="s">
        <v>9</v>
      </c>
      <c r="F60" s="15" t="s">
        <v>10</v>
      </c>
      <c r="G60" s="14" t="s">
        <v>11</v>
      </c>
      <c r="H60" s="15" t="s">
        <v>12</v>
      </c>
      <c r="I60" s="14" t="s">
        <v>13</v>
      </c>
      <c r="J60" s="15" t="s">
        <v>8</v>
      </c>
      <c r="K60" s="14" t="s">
        <v>9</v>
      </c>
      <c r="L60" s="15" t="s">
        <v>10</v>
      </c>
      <c r="M60" s="14" t="s">
        <v>11</v>
      </c>
      <c r="N60" s="15" t="s">
        <v>12</v>
      </c>
      <c r="O60" s="14" t="s">
        <v>13</v>
      </c>
      <c r="P60" s="13" t="s">
        <v>8</v>
      </c>
      <c r="Q60" s="14" t="s">
        <v>9</v>
      </c>
      <c r="R60" s="15" t="s">
        <v>10</v>
      </c>
      <c r="S60" s="14" t="s">
        <v>11</v>
      </c>
      <c r="T60" s="15" t="s">
        <v>12</v>
      </c>
      <c r="U60" s="13" t="s">
        <v>13</v>
      </c>
      <c r="V60" s="43">
        <v>0.57638888888888884</v>
      </c>
      <c r="W60" s="44">
        <f t="shared" si="16"/>
        <v>4.8611111111111049E-2</v>
      </c>
      <c r="X60" s="45">
        <v>1.0173611111111112</v>
      </c>
      <c r="Y60" s="46">
        <f t="shared" si="17"/>
        <v>3.4722222222222321E-2</v>
      </c>
    </row>
    <row r="61" spans="2:25" ht="24" customHeight="1" thickBot="1" x14ac:dyDescent="0.3">
      <c r="B61" s="316"/>
      <c r="C61" s="303"/>
      <c r="D61" s="23">
        <v>0.625</v>
      </c>
      <c r="E61" s="25">
        <v>0.67708333333333337</v>
      </c>
      <c r="F61" s="25">
        <v>0.76180555555555551</v>
      </c>
      <c r="G61" s="20">
        <f t="shared" ref="G61:G62" si="18">F61-D61</f>
        <v>0.13680555555555551</v>
      </c>
      <c r="H61" s="47">
        <v>11</v>
      </c>
      <c r="I61" s="48">
        <v>1</v>
      </c>
      <c r="J61" s="23">
        <v>0.67361111111111116</v>
      </c>
      <c r="K61" s="25">
        <v>0.72361111111111109</v>
      </c>
      <c r="L61" s="25">
        <v>0.80694444444444446</v>
      </c>
      <c r="M61" s="20">
        <f t="shared" ref="M61:M62" si="19">L61-J61</f>
        <v>0.1333333333333333</v>
      </c>
      <c r="N61" s="47">
        <v>11</v>
      </c>
      <c r="O61" s="48">
        <v>2</v>
      </c>
      <c r="P61" s="23">
        <v>0.72222222222222221</v>
      </c>
      <c r="Q61" s="25">
        <v>0.77847222222222223</v>
      </c>
      <c r="R61" s="25">
        <v>0.84444444444444444</v>
      </c>
      <c r="S61" s="20">
        <f>R61-P61</f>
        <v>0.12222222222222223</v>
      </c>
      <c r="T61" s="47">
        <v>11</v>
      </c>
      <c r="U61" s="48">
        <v>3</v>
      </c>
    </row>
    <row r="62" spans="2:25" ht="24" customHeight="1" thickBot="1" x14ac:dyDescent="0.3">
      <c r="B62" s="316"/>
      <c r="C62" s="303"/>
      <c r="D62" s="27">
        <v>0.77083333333333337</v>
      </c>
      <c r="E62" s="29">
        <v>0.82013888888888886</v>
      </c>
      <c r="F62" s="29">
        <v>0.87361111111111112</v>
      </c>
      <c r="G62" s="20">
        <f t="shared" si="18"/>
        <v>0.10277777777777775</v>
      </c>
      <c r="H62" s="49">
        <v>11</v>
      </c>
      <c r="I62" s="50">
        <v>1</v>
      </c>
      <c r="J62" s="27">
        <v>0.82291666666666663</v>
      </c>
      <c r="K62" s="29">
        <v>0.86875000000000002</v>
      </c>
      <c r="L62" s="29">
        <v>0.91805555555555551</v>
      </c>
      <c r="M62" s="20">
        <f t="shared" si="19"/>
        <v>9.5138888888888884E-2</v>
      </c>
      <c r="N62" s="49">
        <v>11</v>
      </c>
      <c r="O62" s="50">
        <v>2</v>
      </c>
      <c r="P62" s="31">
        <f>IF(R61="",Q61,R61)</f>
        <v>0.84444444444444444</v>
      </c>
      <c r="Q62" s="32"/>
      <c r="R62" s="31">
        <f>IF(P63="",Q63,P63)</f>
        <v>0.89930555555555558</v>
      </c>
      <c r="S62" s="32"/>
      <c r="T62" s="32">
        <f>R62-P62</f>
        <v>5.4861111111111138E-2</v>
      </c>
      <c r="U62" s="32"/>
    </row>
    <row r="63" spans="2:25" ht="24" customHeight="1" thickBot="1" x14ac:dyDescent="0.3">
      <c r="B63" s="316"/>
      <c r="C63" s="303"/>
      <c r="D63" s="31">
        <f>IF(F62="",E62,F62)</f>
        <v>0.87361111111111112</v>
      </c>
      <c r="E63" s="32"/>
      <c r="F63" s="31">
        <f>IF(D64="",E64,D64)</f>
        <v>0.94097222222222221</v>
      </c>
      <c r="G63" s="32"/>
      <c r="H63" s="32">
        <f>F63-D63</f>
        <v>6.7361111111111094E-2</v>
      </c>
      <c r="I63" s="32"/>
      <c r="J63" s="31">
        <f>IF(L62="",K62,L62)</f>
        <v>0.91805555555555551</v>
      </c>
      <c r="K63" s="32"/>
      <c r="L63" s="31">
        <f>IF(J64="",K64,J64)</f>
        <v>0.98263888888888884</v>
      </c>
      <c r="M63" s="32"/>
      <c r="N63" s="32">
        <f>L63-J63</f>
        <v>6.4583333333333326E-2</v>
      </c>
      <c r="O63" s="32"/>
      <c r="P63" s="27">
        <v>0.89930555555555558</v>
      </c>
      <c r="Q63" s="29">
        <v>0.94236111111111109</v>
      </c>
      <c r="R63" s="29">
        <v>0.9916666666666667</v>
      </c>
      <c r="S63" s="20">
        <f t="shared" ref="S63:S64" si="20">R63-P63</f>
        <v>9.2361111111111116E-2</v>
      </c>
      <c r="T63" s="49">
        <v>11</v>
      </c>
      <c r="U63" s="50">
        <v>3</v>
      </c>
    </row>
    <row r="64" spans="2:25" ht="24" customHeight="1" thickBot="1" x14ac:dyDescent="0.3">
      <c r="B64" s="316"/>
      <c r="C64" s="303"/>
      <c r="D64" s="27">
        <v>0.94097222222222221</v>
      </c>
      <c r="E64" s="29">
        <v>0.98402777777777772</v>
      </c>
      <c r="F64" s="29">
        <v>1.0395833333333333</v>
      </c>
      <c r="G64" s="20">
        <f>F64-D64</f>
        <v>9.8611111111111094E-2</v>
      </c>
      <c r="H64" s="49">
        <v>11</v>
      </c>
      <c r="I64" s="50">
        <v>1</v>
      </c>
      <c r="J64" s="27">
        <v>0.98263888888888884</v>
      </c>
      <c r="K64" s="29">
        <v>1.0256944444444445</v>
      </c>
      <c r="L64" s="29">
        <v>1.08125</v>
      </c>
      <c r="M64" s="20">
        <f>L64-J64</f>
        <v>9.8611111111111205E-2</v>
      </c>
      <c r="N64" s="49">
        <v>11</v>
      </c>
      <c r="O64" s="50">
        <v>2</v>
      </c>
      <c r="P64" s="27">
        <v>1.0173611111111112</v>
      </c>
      <c r="Q64" s="29">
        <v>1.0604166666666666</v>
      </c>
      <c r="R64" s="29">
        <v>1.1159722222222221</v>
      </c>
      <c r="S64" s="20">
        <f t="shared" si="20"/>
        <v>9.8611111111110983E-2</v>
      </c>
      <c r="T64" s="49">
        <v>11</v>
      </c>
      <c r="U64" s="50">
        <v>3</v>
      </c>
    </row>
    <row r="65" spans="2:21" ht="24" customHeight="1" thickBot="1" x14ac:dyDescent="0.3">
      <c r="B65" s="316"/>
      <c r="C65" s="304"/>
      <c r="D65" s="318" t="s">
        <v>16</v>
      </c>
      <c r="E65" s="306"/>
      <c r="F65" s="306"/>
      <c r="G65" s="306"/>
      <c r="H65" s="306"/>
      <c r="I65" s="307"/>
      <c r="J65" s="318" t="s">
        <v>16</v>
      </c>
      <c r="K65" s="306"/>
      <c r="L65" s="306"/>
      <c r="M65" s="306"/>
      <c r="N65" s="306"/>
      <c r="O65" s="307"/>
      <c r="P65" s="318" t="s">
        <v>16</v>
      </c>
      <c r="Q65" s="306"/>
      <c r="R65" s="306"/>
      <c r="S65" s="306"/>
      <c r="T65" s="306"/>
      <c r="U65" s="307"/>
    </row>
    <row r="66" spans="2:21" ht="24" customHeight="1" thickBot="1" x14ac:dyDescent="0.3">
      <c r="B66" s="317"/>
      <c r="C66" s="36" t="s">
        <v>17</v>
      </c>
      <c r="D66" s="37">
        <f>MAX(E61:F64)-IF(D61="",E61,D61)-MIN(H61:H64)+$C58</f>
        <v>0.3576388888888889</v>
      </c>
      <c r="E66" s="51"/>
      <c r="F66" s="51"/>
      <c r="G66" s="52"/>
      <c r="H66" s="53">
        <f ca="1">OFFSET(H60,MATCH(MIN(H61:H64),H61:H64,0),-4)-IF(D61="",E61,D61)</f>
        <v>0.24861111111111112</v>
      </c>
      <c r="I66" s="54"/>
      <c r="J66" s="37">
        <f>MAX(K61:L64)-IF(J61="",K61,J61)-MIN(N61:N64)+$C58</f>
        <v>0.35347222222222224</v>
      </c>
      <c r="K66" s="38"/>
      <c r="L66" s="38"/>
      <c r="M66" s="39"/>
      <c r="N66" s="53">
        <f ca="1">OFFSET(N60,MATCH(MIN(N61:N64),N61:N64,0),-4)-IF(J61="",K61,J61)</f>
        <v>0.24444444444444435</v>
      </c>
      <c r="O66" s="41"/>
      <c r="P66" s="37">
        <f>MAX(Q61:R64)-IF(P61="",Q61,P61)-MIN(T61:T64)+$C58</f>
        <v>0.34930555555555548</v>
      </c>
      <c r="Q66" s="38"/>
      <c r="R66" s="38"/>
      <c r="S66" s="39"/>
      <c r="T66" s="53">
        <f ca="1">OFFSET(T60,MATCH(MIN(T61:T64),T61:T64,0),-4)-IF(P61="",Q61,P61)</f>
        <v>0.12222222222222223</v>
      </c>
      <c r="U66" s="41"/>
    </row>
  </sheetData>
  <mergeCells count="33">
    <mergeCell ref="P65:U65"/>
    <mergeCell ref="J42:O42"/>
    <mergeCell ref="P42:U42"/>
    <mergeCell ref="P56:U56"/>
    <mergeCell ref="B48:B66"/>
    <mergeCell ref="C49:C50"/>
    <mergeCell ref="C51:C56"/>
    <mergeCell ref="D56:I56"/>
    <mergeCell ref="J56:O56"/>
    <mergeCell ref="C58:C59"/>
    <mergeCell ref="C60:C65"/>
    <mergeCell ref="D65:I65"/>
    <mergeCell ref="J65:O65"/>
    <mergeCell ref="J10:O10"/>
    <mergeCell ref="P10:U10"/>
    <mergeCell ref="B25:B43"/>
    <mergeCell ref="C26:C27"/>
    <mergeCell ref="C28:C33"/>
    <mergeCell ref="D33:I33"/>
    <mergeCell ref="J33:O33"/>
    <mergeCell ref="C12:C13"/>
    <mergeCell ref="C35:C36"/>
    <mergeCell ref="C37:C42"/>
    <mergeCell ref="D42:I42"/>
    <mergeCell ref="B2:B20"/>
    <mergeCell ref="C3:C4"/>
    <mergeCell ref="C5:C10"/>
    <mergeCell ref="D10:I10"/>
    <mergeCell ref="C14:C19"/>
    <mergeCell ref="D19:I19"/>
    <mergeCell ref="J19:O19"/>
    <mergeCell ref="P19:U19"/>
    <mergeCell ref="P33:U33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27">
    <cfRule type="colorScale" priority="10">
      <colorScale>
        <cfvo type="min"/>
        <cfvo type="max"/>
        <color rgb="FFFF7128"/>
        <color rgb="FFFFEF9C"/>
      </colorScale>
    </cfRule>
  </conditionalFormatting>
  <conditionalFormatting sqref="D50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277" priority="13" stopIfTrue="1">
      <formula>LEN($D4)=14</formula>
    </cfRule>
  </conditionalFormatting>
  <conditionalFormatting sqref="D27:I27">
    <cfRule type="expression" dxfId="276" priority="8" stopIfTrue="1">
      <formula>LEN($D27)=14</formula>
    </cfRule>
  </conditionalFormatting>
  <conditionalFormatting sqref="D50:I50">
    <cfRule type="expression" dxfId="275" priority="3" stopIfTrue="1">
      <formula>LEN($D50)=14</formula>
    </cfRule>
  </conditionalFormatting>
  <conditionalFormatting sqref="E4:I4">
    <cfRule type="notContainsBlanks" dxfId="274" priority="14">
      <formula>LEN(TRIM(E4))&gt;0</formula>
    </cfRule>
  </conditionalFormatting>
  <conditionalFormatting sqref="E27:I27">
    <cfRule type="notContainsBlanks" dxfId="273" priority="9">
      <formula>LEN(TRIM(E27))&gt;0</formula>
    </cfRule>
  </conditionalFormatting>
  <conditionalFormatting sqref="E50:I50">
    <cfRule type="notContainsBlanks" dxfId="272" priority="4">
      <formula>LEN(TRIM(E50))&gt;0</formula>
    </cfRule>
  </conditionalFormatting>
  <conditionalFormatting sqref="J4:O4">
    <cfRule type="expression" dxfId="271" priority="12">
      <formula>LEN($J4)=14</formula>
    </cfRule>
  </conditionalFormatting>
  <conditionalFormatting sqref="J27:O27">
    <cfRule type="expression" dxfId="270" priority="7">
      <formula>LEN($J27)=14</formula>
    </cfRule>
  </conditionalFormatting>
  <conditionalFormatting sqref="J50:O50">
    <cfRule type="expression" dxfId="269" priority="2">
      <formula>LEN($J50)=14</formula>
    </cfRule>
  </conditionalFormatting>
  <conditionalFormatting sqref="P4:U4">
    <cfRule type="expression" dxfId="268" priority="11">
      <formula>LEN($P4)=14</formula>
    </cfRule>
  </conditionalFormatting>
  <conditionalFormatting sqref="P27:U27">
    <cfRule type="expression" dxfId="267" priority="6">
      <formula>LEN($P27)=14</formula>
    </cfRule>
  </conditionalFormatting>
  <conditionalFormatting sqref="P50:U50">
    <cfRule type="expression" dxfId="266" priority="1">
      <formula>LEN($P50)=14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BE2F-0DB4-43B7-B6A7-3F1869272B4B}">
  <dimension ref="A1:T90"/>
  <sheetViews>
    <sheetView zoomScale="70" zoomScaleNormal="70" workbookViewId="0">
      <selection activeCell="B2" sqref="B2:B28"/>
    </sheetView>
  </sheetViews>
  <sheetFormatPr defaultColWidth="8.7109375" defaultRowHeight="24" customHeight="1" x14ac:dyDescent="0.25"/>
  <cols>
    <col min="1" max="15" width="8.7109375" style="1" customWidth="1"/>
    <col min="16" max="16384" width="8.7109375" style="1"/>
  </cols>
  <sheetData>
    <row r="1" spans="1:19" ht="24" customHeight="1" thickBot="1" x14ac:dyDescent="0.3"/>
    <row r="2" spans="1:19" ht="24" customHeight="1" thickBot="1" x14ac:dyDescent="0.3">
      <c r="B2" s="310">
        <v>46270</v>
      </c>
      <c r="C2" s="2" t="s">
        <v>26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6" t="s">
        <v>27</v>
      </c>
      <c r="Q2" s="7"/>
      <c r="R2" s="7"/>
      <c r="S2" s="8"/>
    </row>
    <row r="3" spans="1:19" ht="24" customHeight="1" thickBot="1" x14ac:dyDescent="0.3">
      <c r="B3" s="311"/>
      <c r="C3" s="308">
        <v>1.7361111111111112E-2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10" t="s">
        <v>3</v>
      </c>
      <c r="Q3" s="11"/>
      <c r="R3" s="11"/>
      <c r="S3" s="12"/>
    </row>
    <row r="4" spans="1:19" ht="24" customHeight="1" thickBot="1" x14ac:dyDescent="0.3">
      <c r="B4" s="311"/>
      <c r="C4" s="31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6" t="str">
        <f>CONCATENATE(COUNT(P6:P19,R6:R19)," VIAGENS")</f>
        <v>27 VIAGENS</v>
      </c>
      <c r="Q4" s="7"/>
      <c r="R4" s="7"/>
      <c r="S4" s="8"/>
    </row>
    <row r="5" spans="1:19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6" t="s">
        <v>14</v>
      </c>
      <c r="Q5" s="17" t="s">
        <v>15</v>
      </c>
      <c r="R5" s="16" t="s">
        <v>14</v>
      </c>
      <c r="S5" s="17" t="s">
        <v>15</v>
      </c>
    </row>
    <row r="6" spans="1:19" ht="24" customHeight="1" x14ac:dyDescent="0.25">
      <c r="B6" s="311"/>
      <c r="C6" s="314"/>
      <c r="D6" s="18">
        <v>0.21180555555555561</v>
      </c>
      <c r="E6" s="19">
        <v>0.22013888888888891</v>
      </c>
      <c r="F6" s="19">
        <v>0.24444444444444441</v>
      </c>
      <c r="G6" s="20">
        <f>F6-D6</f>
        <v>3.2638888888888801E-2</v>
      </c>
      <c r="H6" s="55">
        <v>101</v>
      </c>
      <c r="I6" s="22">
        <v>1</v>
      </c>
      <c r="J6" s="18">
        <v>0.2326388888888889</v>
      </c>
      <c r="K6" s="19">
        <v>0.24305555555555561</v>
      </c>
      <c r="L6" s="19">
        <v>0.26458333333333328</v>
      </c>
      <c r="M6" s="20">
        <f t="shared" ref="M6:M8" si="0">L6-J6</f>
        <v>3.1944444444444386E-2</v>
      </c>
      <c r="N6" s="55">
        <v>101</v>
      </c>
      <c r="O6" s="22">
        <v>2</v>
      </c>
      <c r="P6" s="23">
        <v>0.21180555555555561</v>
      </c>
      <c r="Q6" s="24"/>
      <c r="R6" s="25">
        <v>0.64930555555555558</v>
      </c>
      <c r="S6" s="26">
        <f>R6-P19</f>
        <v>3.5416666666666652E-2</v>
      </c>
    </row>
    <row r="7" spans="1:19" ht="24" customHeight="1" x14ac:dyDescent="0.25">
      <c r="B7" s="311"/>
      <c r="C7" s="314"/>
      <c r="D7" s="18">
        <v>0.25555555555555548</v>
      </c>
      <c r="E7" s="19">
        <v>0.26944444444444438</v>
      </c>
      <c r="F7" s="19">
        <v>0.29166666666666669</v>
      </c>
      <c r="G7" s="20">
        <f t="shared" ref="G7:G9" si="1">F7-D7</f>
        <v>3.6111111111111205E-2</v>
      </c>
      <c r="H7" s="55">
        <v>101</v>
      </c>
      <c r="I7" s="22">
        <v>1</v>
      </c>
      <c r="J7" s="18">
        <v>0.27847222222222218</v>
      </c>
      <c r="K7" s="19">
        <v>0.28749999999999998</v>
      </c>
      <c r="L7" s="19">
        <v>0.30902777777777779</v>
      </c>
      <c r="M7" s="20">
        <f t="shared" si="0"/>
        <v>3.0555555555555614E-2</v>
      </c>
      <c r="N7" s="55">
        <v>101</v>
      </c>
      <c r="O7" s="22">
        <v>2</v>
      </c>
      <c r="P7" s="27">
        <v>0.2326388888888889</v>
      </c>
      <c r="Q7" s="28">
        <f t="shared" ref="Q7:Q16" si="2">P7-P6</f>
        <v>2.0833333333333287E-2</v>
      </c>
      <c r="R7" s="29">
        <v>0.68680555555555556</v>
      </c>
      <c r="S7" s="30">
        <f t="shared" ref="S7:S18" si="3">R7-R6</f>
        <v>3.7499999999999978E-2</v>
      </c>
    </row>
    <row r="8" spans="1:19" ht="24" customHeight="1" thickBot="1" x14ac:dyDescent="0.3">
      <c r="B8" s="311"/>
      <c r="C8" s="314"/>
      <c r="D8" s="18">
        <v>0.30138888888888887</v>
      </c>
      <c r="E8" s="19">
        <v>0.30902777777777779</v>
      </c>
      <c r="F8" s="19">
        <v>0.33055555555555549</v>
      </c>
      <c r="G8" s="20">
        <f t="shared" si="1"/>
        <v>2.9166666666666619E-2</v>
      </c>
      <c r="H8" s="55">
        <v>101</v>
      </c>
      <c r="I8" s="22">
        <v>1</v>
      </c>
      <c r="J8" s="18">
        <v>0.32430555555555562</v>
      </c>
      <c r="K8" s="19">
        <v>0.33333333333333331</v>
      </c>
      <c r="L8" s="19">
        <v>0.35486111111111113</v>
      </c>
      <c r="M8" s="20">
        <f t="shared" si="0"/>
        <v>3.0555555555555503E-2</v>
      </c>
      <c r="N8" s="55">
        <v>101</v>
      </c>
      <c r="O8" s="22">
        <v>2</v>
      </c>
      <c r="P8" s="27">
        <v>0.25555555555555548</v>
      </c>
      <c r="Q8" s="28">
        <f t="shared" si="2"/>
        <v>2.2916666666666585E-2</v>
      </c>
      <c r="R8" s="29">
        <v>0.72361111111111109</v>
      </c>
      <c r="S8" s="30">
        <f t="shared" si="3"/>
        <v>3.6805555555555536E-2</v>
      </c>
    </row>
    <row r="9" spans="1:19" ht="24" customHeight="1" thickBot="1" x14ac:dyDescent="0.3">
      <c r="B9" s="311"/>
      <c r="C9" s="314"/>
      <c r="D9" s="18">
        <v>0.35555555555555562</v>
      </c>
      <c r="E9" s="19">
        <v>0.36388888888888887</v>
      </c>
      <c r="F9" s="19">
        <v>0.3840277777777778</v>
      </c>
      <c r="G9" s="20">
        <f t="shared" si="1"/>
        <v>2.8472222222222177E-2</v>
      </c>
      <c r="H9" s="55">
        <v>101</v>
      </c>
      <c r="I9" s="22">
        <v>1</v>
      </c>
      <c r="J9" s="31">
        <f>IF(L8="",K8,L8)</f>
        <v>0.35486111111111113</v>
      </c>
      <c r="K9" s="32"/>
      <c r="L9" s="31">
        <f>IF(J10="",K10,J10)</f>
        <v>0.40833333333333333</v>
      </c>
      <c r="M9" s="32"/>
      <c r="N9" s="32">
        <f>L9-J9</f>
        <v>5.3472222222222199E-2</v>
      </c>
      <c r="O9" s="33"/>
      <c r="P9" s="27">
        <v>0.27847222222222218</v>
      </c>
      <c r="Q9" s="28">
        <f t="shared" si="2"/>
        <v>2.2916666666666696E-2</v>
      </c>
      <c r="R9" s="29">
        <v>0.76388888888888884</v>
      </c>
      <c r="S9" s="30">
        <f>R9-R8</f>
        <v>4.0277777777777746E-2</v>
      </c>
    </row>
    <row r="10" spans="1:19" ht="24" customHeight="1" thickBot="1" x14ac:dyDescent="0.3">
      <c r="B10" s="311"/>
      <c r="C10" s="314"/>
      <c r="D10" s="31">
        <f>IF(F9="",E9,F9)</f>
        <v>0.3840277777777778</v>
      </c>
      <c r="E10" s="32"/>
      <c r="F10" s="31">
        <f>IF(D11="",E11,D11)</f>
        <v>0.44166666666666671</v>
      </c>
      <c r="G10" s="32"/>
      <c r="H10" s="32">
        <f>F10-D10</f>
        <v>5.7638888888888906E-2</v>
      </c>
      <c r="I10" s="32"/>
      <c r="J10" s="18">
        <v>0.40833333333333333</v>
      </c>
      <c r="K10" s="19">
        <v>0.41736111111111113</v>
      </c>
      <c r="L10" s="19">
        <v>0.44444444444444442</v>
      </c>
      <c r="M10" s="20">
        <f t="shared" ref="M10:M13" si="4">L10-J10</f>
        <v>3.6111111111111094E-2</v>
      </c>
      <c r="N10" s="55">
        <v>101</v>
      </c>
      <c r="O10" s="22" t="s">
        <v>28</v>
      </c>
      <c r="P10" s="27">
        <v>0.30138888888888887</v>
      </c>
      <c r="Q10" s="28">
        <f t="shared" si="2"/>
        <v>2.2916666666666696E-2</v>
      </c>
      <c r="R10" s="29">
        <v>0.79861111111111116</v>
      </c>
      <c r="S10" s="30">
        <f t="shared" si="3"/>
        <v>3.4722222222222321E-2</v>
      </c>
    </row>
    <row r="11" spans="1:19" ht="24" customHeight="1" x14ac:dyDescent="0.25">
      <c r="B11" s="311"/>
      <c r="C11" s="314"/>
      <c r="D11" s="18">
        <v>0.44166666666666671</v>
      </c>
      <c r="E11" s="19">
        <v>0.44930555555555562</v>
      </c>
      <c r="F11" s="19">
        <v>0.47013888888888888</v>
      </c>
      <c r="G11" s="20">
        <f t="shared" ref="G11:G12" si="5">F11-D11</f>
        <v>2.8472222222222177E-2</v>
      </c>
      <c r="H11" s="55">
        <v>101</v>
      </c>
      <c r="I11" s="22">
        <v>1</v>
      </c>
      <c r="J11" s="18">
        <v>0.47222222222222221</v>
      </c>
      <c r="K11" s="19">
        <v>0.48194444444444451</v>
      </c>
      <c r="L11" s="19">
        <v>0.50555555555555554</v>
      </c>
      <c r="M11" s="20">
        <f t="shared" si="4"/>
        <v>3.3333333333333326E-2</v>
      </c>
      <c r="N11" s="55">
        <v>101</v>
      </c>
      <c r="O11" s="22">
        <v>2</v>
      </c>
      <c r="P11" s="27">
        <v>0.32430555555555562</v>
      </c>
      <c r="Q11" s="28">
        <f t="shared" si="2"/>
        <v>2.2916666666666752E-2</v>
      </c>
      <c r="R11" s="29">
        <v>0.83958333333333335</v>
      </c>
      <c r="S11" s="30">
        <f t="shared" si="3"/>
        <v>4.0972222222222188E-2</v>
      </c>
    </row>
    <row r="12" spans="1:19" ht="24" customHeight="1" x14ac:dyDescent="0.25">
      <c r="B12" s="311"/>
      <c r="C12" s="314"/>
      <c r="D12" s="18">
        <v>0.50347222222222221</v>
      </c>
      <c r="E12" s="19">
        <v>0.51041666666666663</v>
      </c>
      <c r="F12" s="19">
        <v>0.52986111111111112</v>
      </c>
      <c r="G12" s="20">
        <f t="shared" si="5"/>
        <v>2.6388888888888906E-2</v>
      </c>
      <c r="H12" s="55">
        <v>101</v>
      </c>
      <c r="I12" s="22">
        <v>1</v>
      </c>
      <c r="J12" s="18">
        <v>0.53402777777777777</v>
      </c>
      <c r="K12" s="19">
        <v>0.54236111111111107</v>
      </c>
      <c r="L12" s="19">
        <v>0.56666666666666665</v>
      </c>
      <c r="M12" s="20">
        <f t="shared" si="4"/>
        <v>3.2638888888888884E-2</v>
      </c>
      <c r="N12" s="55">
        <v>101</v>
      </c>
      <c r="O12" s="22">
        <v>2</v>
      </c>
      <c r="P12" s="27">
        <v>0.35555555555555562</v>
      </c>
      <c r="Q12" s="28">
        <f t="shared" si="2"/>
        <v>3.125E-2</v>
      </c>
      <c r="R12" s="29">
        <v>0.86805555555555558</v>
      </c>
      <c r="S12" s="30">
        <f t="shared" si="3"/>
        <v>2.8472222222222232E-2</v>
      </c>
    </row>
    <row r="13" spans="1:19" ht="24" customHeight="1" thickBot="1" x14ac:dyDescent="0.3">
      <c r="B13" s="311"/>
      <c r="C13" s="314"/>
      <c r="D13" s="18"/>
      <c r="E13" s="19"/>
      <c r="F13" s="19"/>
      <c r="G13" s="20"/>
      <c r="H13" s="55"/>
      <c r="I13" s="22"/>
      <c r="J13" s="18">
        <v>0.57361111111111107</v>
      </c>
      <c r="K13" s="19">
        <v>0.58263888888888893</v>
      </c>
      <c r="L13" s="19">
        <v>0.60624999999999996</v>
      </c>
      <c r="M13" s="20">
        <f t="shared" si="4"/>
        <v>3.2638888888888884E-2</v>
      </c>
      <c r="N13" s="55">
        <v>101</v>
      </c>
      <c r="O13" s="22">
        <v>2</v>
      </c>
      <c r="P13" s="27">
        <v>0.40833333333333333</v>
      </c>
      <c r="Q13" s="28">
        <f t="shared" si="2"/>
        <v>5.2777777777777701E-2</v>
      </c>
      <c r="R13" s="29">
        <v>0.89583333333333337</v>
      </c>
      <c r="S13" s="30">
        <f t="shared" si="3"/>
        <v>2.777777777777779E-2</v>
      </c>
    </row>
    <row r="14" spans="1:19" s="35" customFormat="1" ht="24" customHeight="1" thickBot="1" x14ac:dyDescent="0.3">
      <c r="A14" s="34"/>
      <c r="B14" s="311"/>
      <c r="C14" s="315"/>
      <c r="D14" s="320" t="s">
        <v>29</v>
      </c>
      <c r="E14" s="321"/>
      <c r="F14" s="321"/>
      <c r="G14" s="321"/>
      <c r="H14" s="321"/>
      <c r="I14" s="322"/>
      <c r="J14" s="320" t="s">
        <v>29</v>
      </c>
      <c r="K14" s="321"/>
      <c r="L14" s="321"/>
      <c r="M14" s="321"/>
      <c r="N14" s="321"/>
      <c r="O14" s="322"/>
      <c r="P14" s="27">
        <v>0.44166666666666671</v>
      </c>
      <c r="Q14" s="28">
        <f t="shared" si="2"/>
        <v>3.3333333333333381E-2</v>
      </c>
      <c r="R14" s="29">
        <v>0.92361111111111116</v>
      </c>
      <c r="S14" s="30">
        <f t="shared" si="3"/>
        <v>2.777777777777779E-2</v>
      </c>
    </row>
    <row r="15" spans="1:19" ht="24" customHeight="1" thickBot="1" x14ac:dyDescent="0.3">
      <c r="B15" s="311"/>
      <c r="C15" s="36" t="s">
        <v>17</v>
      </c>
      <c r="D15" s="37">
        <f>MAX(E6:F13)-IF(D6="",E6,D6)-MIN(H6:H13)+$C3</f>
        <v>0.27777777777777773</v>
      </c>
      <c r="E15" s="38"/>
      <c r="F15" s="38"/>
      <c r="G15" s="39"/>
      <c r="H15" s="40">
        <f ca="1">OFFSET(H5,MATCH(MIN(H6:H13),H6:H13,0),-4)-IF(D6="",E6,D6)+$C3</f>
        <v>0.1895833333333333</v>
      </c>
      <c r="I15" s="41"/>
      <c r="J15" s="37">
        <f>MAX(K6:L13)-IF(J6="",K6,J6)-MIN(N6:N13)+$C3</f>
        <v>0.33749999999999997</v>
      </c>
      <c r="K15" s="38"/>
      <c r="L15" s="38"/>
      <c r="M15" s="39"/>
      <c r="N15" s="40">
        <f ca="1">OFFSET(N5,MATCH(MIN(N6:N13),N6:N13,0),-4)-IF(J6="",K6,J6)+$C3</f>
        <v>0.13958333333333334</v>
      </c>
      <c r="O15" s="42"/>
      <c r="P15" s="27">
        <v>0.47222222222222221</v>
      </c>
      <c r="Q15" s="28">
        <f t="shared" si="2"/>
        <v>3.0555555555555503E-2</v>
      </c>
      <c r="R15" s="29">
        <v>0.97916666666666663</v>
      </c>
      <c r="S15" s="30">
        <f t="shared" si="3"/>
        <v>5.5555555555555469E-2</v>
      </c>
    </row>
    <row r="16" spans="1:19" ht="24" customHeight="1" thickBot="1" x14ac:dyDescent="0.3">
      <c r="B16" s="311"/>
      <c r="C16" s="308">
        <v>1.7361111111111112E-2</v>
      </c>
      <c r="D16" s="9" t="s">
        <v>18</v>
      </c>
      <c r="E16" s="7"/>
      <c r="F16" s="7"/>
      <c r="G16" s="7"/>
      <c r="H16" s="7"/>
      <c r="I16" s="8"/>
      <c r="J16" s="9"/>
      <c r="K16" s="7"/>
      <c r="L16" s="7"/>
      <c r="M16" s="7"/>
      <c r="N16" s="7"/>
      <c r="O16" s="7"/>
      <c r="P16" s="27">
        <v>0.50347222222222221</v>
      </c>
      <c r="Q16" s="28">
        <f t="shared" si="2"/>
        <v>3.125E-2</v>
      </c>
      <c r="R16" s="29">
        <v>1.0208333333333333</v>
      </c>
      <c r="S16" s="30">
        <f t="shared" si="3"/>
        <v>4.166666666666663E-2</v>
      </c>
    </row>
    <row r="17" spans="1:20" ht="24" customHeight="1" thickBot="1" x14ac:dyDescent="0.3">
      <c r="B17" s="311"/>
      <c r="C17" s="319"/>
      <c r="D17" s="9" t="s">
        <v>19</v>
      </c>
      <c r="E17" s="7"/>
      <c r="F17" s="7"/>
      <c r="G17" s="7"/>
      <c r="H17" s="7"/>
      <c r="I17" s="8"/>
      <c r="J17" s="9" t="s">
        <v>20</v>
      </c>
      <c r="K17" s="7"/>
      <c r="L17" s="7"/>
      <c r="M17" s="7"/>
      <c r="N17" s="7"/>
      <c r="O17" s="7"/>
      <c r="P17" s="27">
        <v>0.53402777777777777</v>
      </c>
      <c r="Q17" s="28">
        <f>P17-P16</f>
        <v>3.0555555555555558E-2</v>
      </c>
      <c r="R17" s="29">
        <v>1.0555555555555556</v>
      </c>
      <c r="S17" s="30">
        <f t="shared" si="3"/>
        <v>3.4722222222222321E-2</v>
      </c>
    </row>
    <row r="18" spans="1:20" ht="24" customHeight="1" thickBot="1" x14ac:dyDescent="0.3">
      <c r="B18" s="311"/>
      <c r="C18" s="302" t="s">
        <v>7</v>
      </c>
      <c r="D18" s="13" t="s">
        <v>8</v>
      </c>
      <c r="E18" s="14" t="s">
        <v>9</v>
      </c>
      <c r="F18" s="15" t="s">
        <v>10</v>
      </c>
      <c r="G18" s="14" t="s">
        <v>11</v>
      </c>
      <c r="H18" s="15" t="s">
        <v>12</v>
      </c>
      <c r="I18" s="14" t="s">
        <v>13</v>
      </c>
      <c r="J18" s="15" t="s">
        <v>8</v>
      </c>
      <c r="K18" s="14" t="s">
        <v>9</v>
      </c>
      <c r="L18" s="15" t="s">
        <v>10</v>
      </c>
      <c r="M18" s="14" t="s">
        <v>11</v>
      </c>
      <c r="N18" s="15" t="s">
        <v>12</v>
      </c>
      <c r="O18" s="13" t="s">
        <v>13</v>
      </c>
      <c r="P18" s="27">
        <v>0.57361111111111107</v>
      </c>
      <c r="Q18" s="28">
        <f>P18-P17</f>
        <v>3.9583333333333304E-2</v>
      </c>
      <c r="R18" s="29">
        <v>1.0902777777777777</v>
      </c>
      <c r="S18" s="30">
        <f t="shared" si="3"/>
        <v>3.4722222222222099E-2</v>
      </c>
    </row>
    <row r="19" spans="1:20" ht="24" customHeight="1" thickBot="1" x14ac:dyDescent="0.3">
      <c r="B19" s="311"/>
      <c r="C19" s="303"/>
      <c r="D19" s="23">
        <v>0.61388888888888893</v>
      </c>
      <c r="E19" s="25">
        <v>0.62291666666666667</v>
      </c>
      <c r="F19" s="25">
        <v>0.64236111111111116</v>
      </c>
      <c r="G19" s="20">
        <f t="shared" ref="G19:G23" si="6">F19-D19</f>
        <v>2.8472222222222232E-2</v>
      </c>
      <c r="H19" s="56">
        <v>101</v>
      </c>
      <c r="I19" s="48">
        <v>1</v>
      </c>
      <c r="J19" s="23">
        <v>0.79861111111111116</v>
      </c>
      <c r="K19" s="25">
        <v>0.80902777777777779</v>
      </c>
      <c r="L19" s="25">
        <v>0.82916666666666672</v>
      </c>
      <c r="M19" s="20">
        <f t="shared" ref="M19:M21" si="7">L19-J19</f>
        <v>3.0555555555555558E-2</v>
      </c>
      <c r="N19" s="56">
        <v>101</v>
      </c>
      <c r="O19" s="57">
        <v>2</v>
      </c>
      <c r="P19" s="43">
        <v>0.61388888888888893</v>
      </c>
      <c r="Q19" s="44">
        <f>P19-P18</f>
        <v>4.0277777777777857E-2</v>
      </c>
      <c r="R19" s="45"/>
      <c r="S19" s="46"/>
    </row>
    <row r="20" spans="1:20" ht="24" customHeight="1" x14ac:dyDescent="0.25">
      <c r="B20" s="311"/>
      <c r="C20" s="303"/>
      <c r="D20" s="27">
        <v>0.64930555555555558</v>
      </c>
      <c r="E20" s="29">
        <v>0.65833333333333333</v>
      </c>
      <c r="F20" s="29">
        <v>0.67986111111111114</v>
      </c>
      <c r="G20" s="20">
        <f t="shared" si="6"/>
        <v>3.0555555555555558E-2</v>
      </c>
      <c r="H20" s="58">
        <v>101</v>
      </c>
      <c r="I20" s="50">
        <v>1</v>
      </c>
      <c r="J20" s="27">
        <v>0.83958333333333335</v>
      </c>
      <c r="K20" s="29">
        <v>0.84861111111111109</v>
      </c>
      <c r="L20" s="29">
        <v>0.87222222222222223</v>
      </c>
      <c r="M20" s="20">
        <f t="shared" si="7"/>
        <v>3.2638888888888884E-2</v>
      </c>
      <c r="N20" s="58">
        <v>101</v>
      </c>
      <c r="O20" s="50">
        <v>2</v>
      </c>
    </row>
    <row r="21" spans="1:20" ht="24" customHeight="1" thickBot="1" x14ac:dyDescent="0.3">
      <c r="B21" s="311"/>
      <c r="C21" s="303"/>
      <c r="D21" s="27">
        <v>0.68680555555555556</v>
      </c>
      <c r="E21" s="29">
        <v>0.69513888888888886</v>
      </c>
      <c r="F21" s="29">
        <v>0.71597222222222223</v>
      </c>
      <c r="G21" s="20">
        <f t="shared" si="6"/>
        <v>2.9166666666666674E-2</v>
      </c>
      <c r="H21" s="58">
        <v>101</v>
      </c>
      <c r="I21" s="50">
        <v>1</v>
      </c>
      <c r="J21" s="27">
        <v>0.89583333333333337</v>
      </c>
      <c r="K21" s="29">
        <v>0.90694444444444444</v>
      </c>
      <c r="L21" s="29">
        <v>0.92986111111111114</v>
      </c>
      <c r="M21" s="20">
        <f t="shared" si="7"/>
        <v>3.4027777777777768E-2</v>
      </c>
      <c r="N21" s="58">
        <v>101</v>
      </c>
      <c r="O21" s="50">
        <v>2</v>
      </c>
    </row>
    <row r="22" spans="1:20" ht="24" customHeight="1" thickBot="1" x14ac:dyDescent="0.3">
      <c r="B22" s="311"/>
      <c r="C22" s="303"/>
      <c r="D22" s="27">
        <v>0.72361111111111109</v>
      </c>
      <c r="E22" s="29">
        <v>0.73402777777777772</v>
      </c>
      <c r="F22" s="29">
        <v>0.75694444444444442</v>
      </c>
      <c r="G22" s="20">
        <f t="shared" si="6"/>
        <v>3.3333333333333326E-2</v>
      </c>
      <c r="H22" s="58">
        <v>101</v>
      </c>
      <c r="I22" s="50">
        <v>1</v>
      </c>
      <c r="J22" s="31">
        <f>IF(L21="",K21,L21)</f>
        <v>0.92986111111111114</v>
      </c>
      <c r="K22" s="32"/>
      <c r="L22" s="31">
        <f>IF(J23="",K23,J23)</f>
        <v>0.97916666666666663</v>
      </c>
      <c r="M22" s="32"/>
      <c r="N22" s="32">
        <f>L22-J22</f>
        <v>4.9305555555555491E-2</v>
      </c>
      <c r="O22" s="32"/>
    </row>
    <row r="23" spans="1:20" ht="24" customHeight="1" thickBot="1" x14ac:dyDescent="0.3">
      <c r="B23" s="311"/>
      <c r="C23" s="303"/>
      <c r="D23" s="27">
        <v>0.76388888888888884</v>
      </c>
      <c r="E23" s="29">
        <v>0.77500000000000002</v>
      </c>
      <c r="F23" s="29">
        <v>0.79722222222222228</v>
      </c>
      <c r="G23" s="20">
        <f t="shared" si="6"/>
        <v>3.3333333333333437E-2</v>
      </c>
      <c r="H23" s="58">
        <v>101</v>
      </c>
      <c r="I23" s="50">
        <v>1</v>
      </c>
      <c r="J23" s="27">
        <v>0.97916666666666663</v>
      </c>
      <c r="K23" s="29">
        <v>0.9868055555555556</v>
      </c>
      <c r="L23" s="29">
        <v>1.0048611111111112</v>
      </c>
      <c r="M23" s="20">
        <f t="shared" ref="M23:M26" si="8">L23-J23</f>
        <v>2.5694444444444575E-2</v>
      </c>
      <c r="N23" s="58">
        <v>101</v>
      </c>
      <c r="O23" s="50">
        <v>2</v>
      </c>
    </row>
    <row r="24" spans="1:20" ht="24" customHeight="1" thickBot="1" x14ac:dyDescent="0.3">
      <c r="B24" s="311"/>
      <c r="C24" s="303"/>
      <c r="D24" s="31">
        <f>IF(F23="",E23,F23)</f>
        <v>0.79722222222222228</v>
      </c>
      <c r="E24" s="32"/>
      <c r="F24" s="31">
        <f>IF(D25="",E25,D25)</f>
        <v>0.86805555555555558</v>
      </c>
      <c r="G24" s="32"/>
      <c r="H24" s="32">
        <f>F24-D24</f>
        <v>7.0833333333333304E-2</v>
      </c>
      <c r="I24" s="32"/>
      <c r="J24" s="59">
        <v>1.0208333333333333</v>
      </c>
      <c r="K24" s="60">
        <v>1.0347222222222223</v>
      </c>
      <c r="L24" s="60">
        <v>1.0486111111111112</v>
      </c>
      <c r="M24" s="20">
        <f t="shared" si="8"/>
        <v>2.7777777777777901E-2</v>
      </c>
      <c r="N24" s="61">
        <v>101</v>
      </c>
      <c r="O24" s="62">
        <v>2</v>
      </c>
    </row>
    <row r="25" spans="1:20" ht="24" customHeight="1" x14ac:dyDescent="0.25">
      <c r="B25" s="311"/>
      <c r="C25" s="303"/>
      <c r="D25" s="59">
        <v>0.86805555555555558</v>
      </c>
      <c r="E25" s="60">
        <v>0.87708333333333333</v>
      </c>
      <c r="F25" s="60">
        <v>0.89861111111111114</v>
      </c>
      <c r="G25" s="20">
        <f t="shared" ref="G25:G26" si="9">F25-D25</f>
        <v>3.0555555555555558E-2</v>
      </c>
      <c r="H25" s="61">
        <v>101</v>
      </c>
      <c r="I25" s="62">
        <v>1</v>
      </c>
      <c r="J25" s="59">
        <v>1.0555555555555556</v>
      </c>
      <c r="K25" s="60">
        <v>1.0694444444444444</v>
      </c>
      <c r="L25" s="60">
        <v>1.0833333333333333</v>
      </c>
      <c r="M25" s="20">
        <f t="shared" si="8"/>
        <v>2.7777777777777679E-2</v>
      </c>
      <c r="N25" s="61">
        <v>101</v>
      </c>
      <c r="O25" s="62">
        <v>2</v>
      </c>
    </row>
    <row r="26" spans="1:20" ht="24" customHeight="1" thickBot="1" x14ac:dyDescent="0.3">
      <c r="B26" s="311"/>
      <c r="C26" s="303"/>
      <c r="D26" s="59">
        <v>0.92361111111111116</v>
      </c>
      <c r="E26" s="60">
        <v>0.93125000000000002</v>
      </c>
      <c r="F26" s="60">
        <v>0.95416666666666672</v>
      </c>
      <c r="G26" s="20">
        <f t="shared" si="9"/>
        <v>3.0555555555555558E-2</v>
      </c>
      <c r="H26" s="61">
        <v>101</v>
      </c>
      <c r="I26" s="62">
        <v>1</v>
      </c>
      <c r="J26" s="59">
        <v>1.0902777777777777</v>
      </c>
      <c r="K26" s="60">
        <v>1.1041666666666667</v>
      </c>
      <c r="L26" s="60">
        <v>1.1180555555555556</v>
      </c>
      <c r="M26" s="20">
        <f t="shared" si="8"/>
        <v>2.7777777777777901E-2</v>
      </c>
      <c r="N26" s="61">
        <v>101</v>
      </c>
      <c r="O26" s="62">
        <v>2</v>
      </c>
    </row>
    <row r="27" spans="1:20" s="35" customFormat="1" ht="24" customHeight="1" thickBot="1" x14ac:dyDescent="0.3">
      <c r="A27" s="34"/>
      <c r="B27" s="311"/>
      <c r="C27" s="304"/>
      <c r="D27" s="320" t="s">
        <v>29</v>
      </c>
      <c r="E27" s="321"/>
      <c r="F27" s="321"/>
      <c r="G27" s="321"/>
      <c r="H27" s="321"/>
      <c r="I27" s="322"/>
      <c r="J27" s="320" t="s">
        <v>29</v>
      </c>
      <c r="K27" s="321"/>
      <c r="L27" s="321"/>
      <c r="M27" s="321"/>
      <c r="N27" s="321"/>
      <c r="O27" s="322"/>
      <c r="T27" s="1"/>
    </row>
    <row r="28" spans="1:20" ht="24" customHeight="1" thickBot="1" x14ac:dyDescent="0.3">
      <c r="B28" s="312"/>
      <c r="C28" s="36" t="s">
        <v>17</v>
      </c>
      <c r="D28" s="37">
        <f>MAX(E19:F26)-IF(D19="",E19,D19)-MIN(H19:H26)+$C16</f>
        <v>0.28680555555555559</v>
      </c>
      <c r="E28" s="51"/>
      <c r="F28" s="51"/>
      <c r="G28" s="52"/>
      <c r="H28" s="53">
        <f ca="1">OFFSET(H18,MATCH(MIN(H19:H26),H19:H26,0),-4)-IF(D19="",E19,D19)</f>
        <v>0.18333333333333335</v>
      </c>
      <c r="I28" s="54"/>
      <c r="J28" s="37">
        <f>MAX(K19:L26)-IF(J19="",K19,J19)-MIN(N19:N26)+$C16</f>
        <v>0.28750000000000003</v>
      </c>
      <c r="K28" s="38"/>
      <c r="L28" s="38"/>
      <c r="M28" s="39"/>
      <c r="N28" s="53">
        <f ca="1">OFFSET(N18,MATCH(MIN(N19:N26),N19:N26,0),-4)-IF(J19="",K19,J19)</f>
        <v>0.13124999999999998</v>
      </c>
      <c r="O28" s="41"/>
    </row>
    <row r="31" spans="1:20" ht="24" customHeight="1" x14ac:dyDescent="0.25">
      <c r="D31"/>
      <c r="E31"/>
      <c r="F31"/>
      <c r="G31"/>
      <c r="H31"/>
      <c r="I31"/>
      <c r="J31"/>
    </row>
    <row r="32" spans="1:20" ht="24" customHeight="1" thickBot="1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2:19" ht="24" customHeight="1" thickBot="1" x14ac:dyDescent="0.3">
      <c r="B33" s="310">
        <v>46271</v>
      </c>
      <c r="C33" s="2" t="s">
        <v>30</v>
      </c>
      <c r="D33" s="3"/>
      <c r="E33" s="3"/>
      <c r="F33" s="3"/>
      <c r="G33" s="3"/>
      <c r="H33" s="4"/>
      <c r="I33" s="5"/>
      <c r="J33" s="3"/>
      <c r="K33" s="3"/>
      <c r="L33" s="3"/>
      <c r="M33" s="3"/>
      <c r="N33" s="4"/>
      <c r="O33" s="5"/>
      <c r="P33" s="6" t="s">
        <v>27</v>
      </c>
      <c r="Q33" s="7"/>
      <c r="R33" s="7"/>
      <c r="S33" s="8"/>
    </row>
    <row r="34" spans="2:19" ht="24" customHeight="1" thickBot="1" x14ac:dyDescent="0.3">
      <c r="B34" s="311"/>
      <c r="C34" s="308">
        <v>1.7361111111111112E-2</v>
      </c>
      <c r="D34" s="9" t="s">
        <v>2</v>
      </c>
      <c r="E34" s="7"/>
      <c r="F34" s="7"/>
      <c r="G34" s="7"/>
      <c r="H34" s="7"/>
      <c r="I34" s="8"/>
      <c r="J34" s="9"/>
      <c r="K34" s="7"/>
      <c r="L34" s="7"/>
      <c r="M34" s="7"/>
      <c r="N34" s="7"/>
      <c r="O34" s="8"/>
      <c r="P34" s="10" t="s">
        <v>23</v>
      </c>
      <c r="Q34" s="11"/>
      <c r="R34" s="11"/>
      <c r="S34" s="12"/>
    </row>
    <row r="35" spans="2:19" ht="24" customHeight="1" thickBot="1" x14ac:dyDescent="0.3">
      <c r="B35" s="311"/>
      <c r="C35" s="319"/>
      <c r="D35" s="9" t="s">
        <v>4</v>
      </c>
      <c r="E35" s="7"/>
      <c r="F35" s="7"/>
      <c r="G35" s="7"/>
      <c r="H35" s="7"/>
      <c r="I35" s="8"/>
      <c r="J35" s="9" t="s">
        <v>5</v>
      </c>
      <c r="K35" s="7"/>
      <c r="L35" s="7"/>
      <c r="M35" s="7"/>
      <c r="N35" s="7"/>
      <c r="O35" s="8"/>
      <c r="P35" s="6" t="str">
        <f>CONCATENATE(COUNT(P37:P50,R37:R50)," VIAGENS")</f>
        <v>27 VIAGENS</v>
      </c>
      <c r="Q35" s="7"/>
      <c r="R35" s="7"/>
      <c r="S35" s="8"/>
    </row>
    <row r="36" spans="2:19" ht="24" customHeight="1" thickBot="1" x14ac:dyDescent="0.3">
      <c r="B36" s="311"/>
      <c r="C36" s="313" t="s">
        <v>7</v>
      </c>
      <c r="D36" s="13" t="s">
        <v>8</v>
      </c>
      <c r="E36" s="14" t="s">
        <v>9</v>
      </c>
      <c r="F36" s="15" t="s">
        <v>10</v>
      </c>
      <c r="G36" s="14" t="s">
        <v>11</v>
      </c>
      <c r="H36" s="15" t="s">
        <v>12</v>
      </c>
      <c r="I36" s="14" t="s">
        <v>13</v>
      </c>
      <c r="J36" s="13" t="s">
        <v>8</v>
      </c>
      <c r="K36" s="14" t="s">
        <v>9</v>
      </c>
      <c r="L36" s="15" t="s">
        <v>10</v>
      </c>
      <c r="M36" s="14" t="s">
        <v>11</v>
      </c>
      <c r="N36" s="15" t="s">
        <v>12</v>
      </c>
      <c r="O36" s="14" t="s">
        <v>13</v>
      </c>
      <c r="P36" s="16" t="s">
        <v>14</v>
      </c>
      <c r="Q36" s="17" t="s">
        <v>15</v>
      </c>
      <c r="R36" s="16" t="s">
        <v>14</v>
      </c>
      <c r="S36" s="17" t="s">
        <v>15</v>
      </c>
    </row>
    <row r="37" spans="2:19" ht="24" customHeight="1" x14ac:dyDescent="0.25">
      <c r="B37" s="311"/>
      <c r="C37" s="314"/>
      <c r="D37" s="18">
        <v>0.21180555555555561</v>
      </c>
      <c r="E37" s="19">
        <v>0.22013888888888891</v>
      </c>
      <c r="F37" s="19">
        <v>0.24444444444444441</v>
      </c>
      <c r="G37" s="20">
        <f>F37-D37</f>
        <v>3.2638888888888801E-2</v>
      </c>
      <c r="H37" s="55">
        <v>101</v>
      </c>
      <c r="I37" s="22">
        <v>1</v>
      </c>
      <c r="J37" s="18">
        <v>0.2326388888888889</v>
      </c>
      <c r="K37" s="19">
        <v>0.24305555555555561</v>
      </c>
      <c r="L37" s="19">
        <v>0.26458333333333328</v>
      </c>
      <c r="M37" s="20">
        <f t="shared" ref="M37:M39" si="10">L37-J37</f>
        <v>3.1944444444444386E-2</v>
      </c>
      <c r="N37" s="55">
        <v>101</v>
      </c>
      <c r="O37" s="22">
        <v>2</v>
      </c>
      <c r="P37" s="23">
        <v>0.21180555555555561</v>
      </c>
      <c r="Q37" s="24"/>
      <c r="R37" s="25">
        <v>0.64930555555555558</v>
      </c>
      <c r="S37" s="26">
        <f>R37-P50</f>
        <v>3.5416666666666652E-2</v>
      </c>
    </row>
    <row r="38" spans="2:19" ht="24" customHeight="1" x14ac:dyDescent="0.25">
      <c r="B38" s="311"/>
      <c r="C38" s="314"/>
      <c r="D38" s="18">
        <v>0.25555555555555548</v>
      </c>
      <c r="E38" s="19">
        <v>0.26944444444444438</v>
      </c>
      <c r="F38" s="19">
        <v>0.29166666666666669</v>
      </c>
      <c r="G38" s="20">
        <f t="shared" ref="G38:G40" si="11">F38-D38</f>
        <v>3.6111111111111205E-2</v>
      </c>
      <c r="H38" s="55">
        <v>101</v>
      </c>
      <c r="I38" s="22">
        <v>1</v>
      </c>
      <c r="J38" s="18">
        <v>0.27847222222222218</v>
      </c>
      <c r="K38" s="19">
        <v>0.28749999999999998</v>
      </c>
      <c r="L38" s="19">
        <v>0.30902777777777779</v>
      </c>
      <c r="M38" s="20">
        <f t="shared" si="10"/>
        <v>3.0555555555555614E-2</v>
      </c>
      <c r="N38" s="55">
        <v>101</v>
      </c>
      <c r="O38" s="22">
        <v>2</v>
      </c>
      <c r="P38" s="27">
        <v>0.2326388888888889</v>
      </c>
      <c r="Q38" s="28">
        <f t="shared" ref="Q38:Q47" si="12">P38-P37</f>
        <v>2.0833333333333287E-2</v>
      </c>
      <c r="R38" s="29">
        <v>0.68680555555555556</v>
      </c>
      <c r="S38" s="30">
        <f t="shared" ref="S38:S49" si="13">R38-R37</f>
        <v>3.7499999999999978E-2</v>
      </c>
    </row>
    <row r="39" spans="2:19" ht="24" customHeight="1" thickBot="1" x14ac:dyDescent="0.3">
      <c r="B39" s="311"/>
      <c r="C39" s="314"/>
      <c r="D39" s="18">
        <v>0.30138888888888887</v>
      </c>
      <c r="E39" s="19">
        <v>0.30902777777777779</v>
      </c>
      <c r="F39" s="19">
        <v>0.33055555555555549</v>
      </c>
      <c r="G39" s="20">
        <f t="shared" si="11"/>
        <v>2.9166666666666619E-2</v>
      </c>
      <c r="H39" s="55">
        <v>101</v>
      </c>
      <c r="I39" s="22">
        <v>1</v>
      </c>
      <c r="J39" s="18">
        <v>0.32430555555555562</v>
      </c>
      <c r="K39" s="19">
        <v>0.33333333333333331</v>
      </c>
      <c r="L39" s="19">
        <v>0.35486111111111113</v>
      </c>
      <c r="M39" s="20">
        <f t="shared" si="10"/>
        <v>3.0555555555555503E-2</v>
      </c>
      <c r="N39" s="55">
        <v>101</v>
      </c>
      <c r="O39" s="22">
        <v>2</v>
      </c>
      <c r="P39" s="27">
        <v>0.25555555555555548</v>
      </c>
      <c r="Q39" s="28">
        <f t="shared" si="12"/>
        <v>2.2916666666666585E-2</v>
      </c>
      <c r="R39" s="29">
        <v>0.72361111111111109</v>
      </c>
      <c r="S39" s="30">
        <f t="shared" si="13"/>
        <v>3.6805555555555536E-2</v>
      </c>
    </row>
    <row r="40" spans="2:19" ht="24" customHeight="1" thickBot="1" x14ac:dyDescent="0.3">
      <c r="B40" s="311"/>
      <c r="C40" s="314"/>
      <c r="D40" s="18">
        <v>0.35555555555555562</v>
      </c>
      <c r="E40" s="19">
        <v>0.36388888888888887</v>
      </c>
      <c r="F40" s="19">
        <v>0.3840277777777778</v>
      </c>
      <c r="G40" s="20">
        <f t="shared" si="11"/>
        <v>2.8472222222222177E-2</v>
      </c>
      <c r="H40" s="55">
        <v>101</v>
      </c>
      <c r="I40" s="22">
        <v>1</v>
      </c>
      <c r="J40" s="31">
        <f>IF(L39="",K39,L39)</f>
        <v>0.35486111111111113</v>
      </c>
      <c r="K40" s="32"/>
      <c r="L40" s="31">
        <f>IF(J41="",K41,J41)</f>
        <v>0.40833333333333333</v>
      </c>
      <c r="M40" s="32"/>
      <c r="N40" s="32">
        <f>L40-J40</f>
        <v>5.3472222222222199E-2</v>
      </c>
      <c r="O40" s="33"/>
      <c r="P40" s="27">
        <v>0.27847222222222218</v>
      </c>
      <c r="Q40" s="28">
        <f t="shared" si="12"/>
        <v>2.2916666666666696E-2</v>
      </c>
      <c r="R40" s="29">
        <v>0.76388888888888884</v>
      </c>
      <c r="S40" s="30">
        <f>R40-R39</f>
        <v>4.0277777777777746E-2</v>
      </c>
    </row>
    <row r="41" spans="2:19" ht="24" customHeight="1" thickBot="1" x14ac:dyDescent="0.3">
      <c r="B41" s="311"/>
      <c r="C41" s="314"/>
      <c r="D41" s="31">
        <f>IF(F40="",E40,F40)</f>
        <v>0.3840277777777778</v>
      </c>
      <c r="E41" s="32"/>
      <c r="F41" s="31">
        <f>IF(D42="",E42,D42)</f>
        <v>0.44166666666666671</v>
      </c>
      <c r="G41" s="32"/>
      <c r="H41" s="32">
        <f>F41-D41</f>
        <v>5.7638888888888906E-2</v>
      </c>
      <c r="I41" s="32"/>
      <c r="J41" s="18">
        <v>0.40833333333333333</v>
      </c>
      <c r="K41" s="19">
        <v>0.41736111111111113</v>
      </c>
      <c r="L41" s="19">
        <v>0.44444444444444442</v>
      </c>
      <c r="M41" s="20">
        <f t="shared" ref="M41:M44" si="14">L41-J41</f>
        <v>3.6111111111111094E-2</v>
      </c>
      <c r="N41" s="55">
        <v>101</v>
      </c>
      <c r="O41" s="22" t="s">
        <v>28</v>
      </c>
      <c r="P41" s="27">
        <v>0.30138888888888887</v>
      </c>
      <c r="Q41" s="28">
        <f t="shared" si="12"/>
        <v>2.2916666666666696E-2</v>
      </c>
      <c r="R41" s="29">
        <v>0.79861111111111116</v>
      </c>
      <c r="S41" s="30">
        <f t="shared" si="13"/>
        <v>3.4722222222222321E-2</v>
      </c>
    </row>
    <row r="42" spans="2:19" ht="24" customHeight="1" x14ac:dyDescent="0.25">
      <c r="B42" s="311"/>
      <c r="C42" s="314"/>
      <c r="D42" s="18">
        <v>0.44166666666666671</v>
      </c>
      <c r="E42" s="19">
        <v>0.44930555555555562</v>
      </c>
      <c r="F42" s="19">
        <v>0.47013888888888888</v>
      </c>
      <c r="G42" s="20">
        <f t="shared" ref="G42:G43" si="15">F42-D42</f>
        <v>2.8472222222222177E-2</v>
      </c>
      <c r="H42" s="55">
        <v>101</v>
      </c>
      <c r="I42" s="22">
        <v>1</v>
      </c>
      <c r="J42" s="18">
        <v>0.47222222222222221</v>
      </c>
      <c r="K42" s="19">
        <v>0.48194444444444451</v>
      </c>
      <c r="L42" s="19">
        <v>0.50555555555555554</v>
      </c>
      <c r="M42" s="20">
        <f t="shared" si="14"/>
        <v>3.3333333333333326E-2</v>
      </c>
      <c r="N42" s="55">
        <v>101</v>
      </c>
      <c r="O42" s="22">
        <v>2</v>
      </c>
      <c r="P42" s="27">
        <v>0.32430555555555562</v>
      </c>
      <c r="Q42" s="28">
        <f t="shared" si="12"/>
        <v>2.2916666666666752E-2</v>
      </c>
      <c r="R42" s="29">
        <v>0.83958333333333335</v>
      </c>
      <c r="S42" s="30">
        <f t="shared" si="13"/>
        <v>4.0972222222222188E-2</v>
      </c>
    </row>
    <row r="43" spans="2:19" ht="24" customHeight="1" x14ac:dyDescent="0.25">
      <c r="B43" s="311"/>
      <c r="C43" s="314"/>
      <c r="D43" s="18">
        <v>0.50347222222222221</v>
      </c>
      <c r="E43" s="19">
        <v>0.51041666666666663</v>
      </c>
      <c r="F43" s="19">
        <v>0.52986111111111112</v>
      </c>
      <c r="G43" s="20">
        <f t="shared" si="15"/>
        <v>2.6388888888888906E-2</v>
      </c>
      <c r="H43" s="55">
        <v>101</v>
      </c>
      <c r="I43" s="22">
        <v>1</v>
      </c>
      <c r="J43" s="18">
        <v>0.53402777777777777</v>
      </c>
      <c r="K43" s="19">
        <v>0.54236111111111107</v>
      </c>
      <c r="L43" s="19">
        <v>0.56666666666666665</v>
      </c>
      <c r="M43" s="20">
        <f t="shared" si="14"/>
        <v>3.2638888888888884E-2</v>
      </c>
      <c r="N43" s="55">
        <v>101</v>
      </c>
      <c r="O43" s="22">
        <v>2</v>
      </c>
      <c r="P43" s="27">
        <v>0.35555555555555562</v>
      </c>
      <c r="Q43" s="28">
        <f t="shared" si="12"/>
        <v>3.125E-2</v>
      </c>
      <c r="R43" s="29">
        <v>0.86805555555555558</v>
      </c>
      <c r="S43" s="30">
        <f t="shared" si="13"/>
        <v>2.8472222222222232E-2</v>
      </c>
    </row>
    <row r="44" spans="2:19" ht="24" customHeight="1" thickBot="1" x14ac:dyDescent="0.3">
      <c r="B44" s="311"/>
      <c r="C44" s="314"/>
      <c r="D44" s="18"/>
      <c r="E44" s="19"/>
      <c r="F44" s="19"/>
      <c r="G44" s="20"/>
      <c r="H44" s="55"/>
      <c r="I44" s="22"/>
      <c r="J44" s="18">
        <v>0.57361111111111107</v>
      </c>
      <c r="K44" s="19">
        <v>0.58263888888888893</v>
      </c>
      <c r="L44" s="19">
        <v>0.60624999999999996</v>
      </c>
      <c r="M44" s="20">
        <f t="shared" si="14"/>
        <v>3.2638888888888884E-2</v>
      </c>
      <c r="N44" s="55">
        <v>101</v>
      </c>
      <c r="O44" s="22">
        <v>2</v>
      </c>
      <c r="P44" s="27">
        <v>0.40833333333333333</v>
      </c>
      <c r="Q44" s="28">
        <f t="shared" si="12"/>
        <v>5.2777777777777701E-2</v>
      </c>
      <c r="R44" s="29">
        <v>0.89583333333333337</v>
      </c>
      <c r="S44" s="30">
        <f t="shared" si="13"/>
        <v>2.777777777777779E-2</v>
      </c>
    </row>
    <row r="45" spans="2:19" ht="24" customHeight="1" thickBot="1" x14ac:dyDescent="0.3">
      <c r="B45" s="311"/>
      <c r="C45" s="315"/>
      <c r="D45" s="320" t="s">
        <v>29</v>
      </c>
      <c r="E45" s="321"/>
      <c r="F45" s="321"/>
      <c r="G45" s="321"/>
      <c r="H45" s="321"/>
      <c r="I45" s="322"/>
      <c r="J45" s="320" t="s">
        <v>29</v>
      </c>
      <c r="K45" s="321"/>
      <c r="L45" s="321"/>
      <c r="M45" s="321"/>
      <c r="N45" s="321"/>
      <c r="O45" s="322"/>
      <c r="P45" s="27">
        <v>0.44166666666666671</v>
      </c>
      <c r="Q45" s="28">
        <f t="shared" si="12"/>
        <v>3.3333333333333381E-2</v>
      </c>
      <c r="R45" s="29">
        <v>0.92361111111111116</v>
      </c>
      <c r="S45" s="30">
        <f t="shared" si="13"/>
        <v>2.777777777777779E-2</v>
      </c>
    </row>
    <row r="46" spans="2:19" ht="24" customHeight="1" thickBot="1" x14ac:dyDescent="0.3">
      <c r="B46" s="311"/>
      <c r="C46" s="36" t="s">
        <v>17</v>
      </c>
      <c r="D46" s="37">
        <f>MAX(E37:F44)-IF(D37="",E37,D37)-MIN(H37:H44)+$C34</f>
        <v>0.27777777777777773</v>
      </c>
      <c r="E46" s="38"/>
      <c r="F46" s="38"/>
      <c r="G46" s="39"/>
      <c r="H46" s="40">
        <f ca="1">OFFSET(H36,MATCH(MIN(H37:H44),H37:H44,0),-4)-IF(D37="",E37,D37)+$C34</f>
        <v>0.1895833333333333</v>
      </c>
      <c r="I46" s="41"/>
      <c r="J46" s="37">
        <f>MAX(K37:L44)-IF(J37="",K37,J37)-MIN(N37:N44)+$C34</f>
        <v>0.33749999999999997</v>
      </c>
      <c r="K46" s="38"/>
      <c r="L46" s="38"/>
      <c r="M46" s="39"/>
      <c r="N46" s="40">
        <f ca="1">OFFSET(N36,MATCH(MIN(N37:N44),N37:N44,0),-4)-IF(J37="",K37,J37)+$C34</f>
        <v>0.13958333333333334</v>
      </c>
      <c r="O46" s="42"/>
      <c r="P46" s="27">
        <v>0.47222222222222221</v>
      </c>
      <c r="Q46" s="28">
        <f t="shared" si="12"/>
        <v>3.0555555555555503E-2</v>
      </c>
      <c r="R46" s="29">
        <v>0.97916666666666663</v>
      </c>
      <c r="S46" s="30">
        <f t="shared" si="13"/>
        <v>5.5555555555555469E-2</v>
      </c>
    </row>
    <row r="47" spans="2:19" ht="24" customHeight="1" thickBot="1" x14ac:dyDescent="0.3">
      <c r="B47" s="311"/>
      <c r="C47" s="308">
        <v>1.7361111111111112E-2</v>
      </c>
      <c r="D47" s="9" t="s">
        <v>18</v>
      </c>
      <c r="E47" s="7"/>
      <c r="F47" s="7"/>
      <c r="G47" s="7"/>
      <c r="H47" s="7"/>
      <c r="I47" s="8"/>
      <c r="J47" s="9"/>
      <c r="K47" s="7"/>
      <c r="L47" s="7"/>
      <c r="M47" s="7"/>
      <c r="N47" s="7"/>
      <c r="O47" s="7"/>
      <c r="P47" s="27">
        <v>0.50347222222222221</v>
      </c>
      <c r="Q47" s="28">
        <f t="shared" si="12"/>
        <v>3.125E-2</v>
      </c>
      <c r="R47" s="29">
        <v>1.0208333333333333</v>
      </c>
      <c r="S47" s="30">
        <f t="shared" si="13"/>
        <v>4.166666666666663E-2</v>
      </c>
    </row>
    <row r="48" spans="2:19" ht="24" customHeight="1" thickBot="1" x14ac:dyDescent="0.3">
      <c r="B48" s="311"/>
      <c r="C48" s="319"/>
      <c r="D48" s="9" t="s">
        <v>19</v>
      </c>
      <c r="E48" s="7"/>
      <c r="F48" s="7"/>
      <c r="G48" s="7"/>
      <c r="H48" s="7"/>
      <c r="I48" s="8"/>
      <c r="J48" s="9" t="s">
        <v>20</v>
      </c>
      <c r="K48" s="7"/>
      <c r="L48" s="7"/>
      <c r="M48" s="7"/>
      <c r="N48" s="7"/>
      <c r="O48" s="7"/>
      <c r="P48" s="27">
        <v>0.53402777777777777</v>
      </c>
      <c r="Q48" s="28">
        <f>P48-P47</f>
        <v>3.0555555555555558E-2</v>
      </c>
      <c r="R48" s="29">
        <v>1.0555555555555556</v>
      </c>
      <c r="S48" s="30">
        <f t="shared" si="13"/>
        <v>3.4722222222222321E-2</v>
      </c>
    </row>
    <row r="49" spans="2:19" ht="24" customHeight="1" thickBot="1" x14ac:dyDescent="0.3">
      <c r="B49" s="311"/>
      <c r="C49" s="302" t="s">
        <v>7</v>
      </c>
      <c r="D49" s="13" t="s">
        <v>8</v>
      </c>
      <c r="E49" s="14" t="s">
        <v>9</v>
      </c>
      <c r="F49" s="15" t="s">
        <v>10</v>
      </c>
      <c r="G49" s="14" t="s">
        <v>11</v>
      </c>
      <c r="H49" s="15" t="s">
        <v>12</v>
      </c>
      <c r="I49" s="14" t="s">
        <v>13</v>
      </c>
      <c r="J49" s="15" t="s">
        <v>8</v>
      </c>
      <c r="K49" s="14" t="s">
        <v>9</v>
      </c>
      <c r="L49" s="15" t="s">
        <v>10</v>
      </c>
      <c r="M49" s="14" t="s">
        <v>11</v>
      </c>
      <c r="N49" s="15" t="s">
        <v>12</v>
      </c>
      <c r="O49" s="13" t="s">
        <v>13</v>
      </c>
      <c r="P49" s="27">
        <v>0.57361111111111107</v>
      </c>
      <c r="Q49" s="28">
        <f>P49-P48</f>
        <v>3.9583333333333304E-2</v>
      </c>
      <c r="R49" s="29">
        <v>1.0902777777777777</v>
      </c>
      <c r="S49" s="30">
        <f t="shared" si="13"/>
        <v>3.4722222222222099E-2</v>
      </c>
    </row>
    <row r="50" spans="2:19" ht="24" customHeight="1" thickBot="1" x14ac:dyDescent="0.3">
      <c r="B50" s="311"/>
      <c r="C50" s="303"/>
      <c r="D50" s="23">
        <v>0.61388888888888893</v>
      </c>
      <c r="E50" s="25">
        <v>0.62291666666666667</v>
      </c>
      <c r="F50" s="25">
        <v>0.64236111111111116</v>
      </c>
      <c r="G50" s="20">
        <f t="shared" ref="G50:G54" si="16">F50-D50</f>
        <v>2.8472222222222232E-2</v>
      </c>
      <c r="H50" s="56">
        <v>101</v>
      </c>
      <c r="I50" s="48">
        <v>1</v>
      </c>
      <c r="J50" s="23">
        <v>0.79861111111111116</v>
      </c>
      <c r="K50" s="25">
        <v>0.80902777777777779</v>
      </c>
      <c r="L50" s="25">
        <v>0.82916666666666672</v>
      </c>
      <c r="M50" s="20">
        <f t="shared" ref="M50:M52" si="17">L50-J50</f>
        <v>3.0555555555555558E-2</v>
      </c>
      <c r="N50" s="56">
        <v>101</v>
      </c>
      <c r="O50" s="57">
        <v>2</v>
      </c>
      <c r="P50" s="43">
        <v>0.61388888888888893</v>
      </c>
      <c r="Q50" s="44">
        <f>P50-P49</f>
        <v>4.0277777777777857E-2</v>
      </c>
      <c r="R50" s="45"/>
      <c r="S50" s="46"/>
    </row>
    <row r="51" spans="2:19" ht="24" customHeight="1" x14ac:dyDescent="0.25">
      <c r="B51" s="311"/>
      <c r="C51" s="303"/>
      <c r="D51" s="27">
        <v>0.64930555555555558</v>
      </c>
      <c r="E51" s="29">
        <v>0.65833333333333333</v>
      </c>
      <c r="F51" s="29">
        <v>0.67986111111111114</v>
      </c>
      <c r="G51" s="20">
        <f t="shared" si="16"/>
        <v>3.0555555555555558E-2</v>
      </c>
      <c r="H51" s="58">
        <v>101</v>
      </c>
      <c r="I51" s="50">
        <v>1</v>
      </c>
      <c r="J51" s="27">
        <v>0.83958333333333335</v>
      </c>
      <c r="K51" s="29">
        <v>0.84861111111111109</v>
      </c>
      <c r="L51" s="29">
        <v>0.87222222222222223</v>
      </c>
      <c r="M51" s="20">
        <f t="shared" si="17"/>
        <v>3.2638888888888884E-2</v>
      </c>
      <c r="N51" s="58">
        <v>101</v>
      </c>
      <c r="O51" s="50">
        <v>2</v>
      </c>
    </row>
    <row r="52" spans="2:19" ht="24" customHeight="1" thickBot="1" x14ac:dyDescent="0.3">
      <c r="B52" s="311"/>
      <c r="C52" s="303"/>
      <c r="D52" s="27">
        <v>0.68680555555555556</v>
      </c>
      <c r="E52" s="29">
        <v>0.69513888888888886</v>
      </c>
      <c r="F52" s="29">
        <v>0.71597222222222223</v>
      </c>
      <c r="G52" s="20">
        <f t="shared" si="16"/>
        <v>2.9166666666666674E-2</v>
      </c>
      <c r="H52" s="58">
        <v>101</v>
      </c>
      <c r="I52" s="50">
        <v>1</v>
      </c>
      <c r="J52" s="27">
        <v>0.89583333333333337</v>
      </c>
      <c r="K52" s="29">
        <v>0.90694444444444444</v>
      </c>
      <c r="L52" s="29">
        <v>0.92986111111111114</v>
      </c>
      <c r="M52" s="20">
        <f t="shared" si="17"/>
        <v>3.4027777777777768E-2</v>
      </c>
      <c r="N52" s="58">
        <v>101</v>
      </c>
      <c r="O52" s="50">
        <v>2</v>
      </c>
    </row>
    <row r="53" spans="2:19" ht="24" customHeight="1" thickBot="1" x14ac:dyDescent="0.3">
      <c r="B53" s="311"/>
      <c r="C53" s="303"/>
      <c r="D53" s="27">
        <v>0.72361111111111109</v>
      </c>
      <c r="E53" s="29">
        <v>0.73402777777777772</v>
      </c>
      <c r="F53" s="29">
        <v>0.75694444444444442</v>
      </c>
      <c r="G53" s="20">
        <f t="shared" si="16"/>
        <v>3.3333333333333326E-2</v>
      </c>
      <c r="H53" s="58">
        <v>101</v>
      </c>
      <c r="I53" s="50">
        <v>1</v>
      </c>
      <c r="J53" s="31">
        <f>IF(L52="",K52,L52)</f>
        <v>0.92986111111111114</v>
      </c>
      <c r="K53" s="32"/>
      <c r="L53" s="31">
        <f>IF(J54="",K54,J54)</f>
        <v>0.97916666666666663</v>
      </c>
      <c r="M53" s="32"/>
      <c r="N53" s="32">
        <f>L53-J53</f>
        <v>4.9305555555555491E-2</v>
      </c>
      <c r="O53" s="32"/>
    </row>
    <row r="54" spans="2:19" ht="24" customHeight="1" thickBot="1" x14ac:dyDescent="0.3">
      <c r="B54" s="311"/>
      <c r="C54" s="303"/>
      <c r="D54" s="27">
        <v>0.76388888888888884</v>
      </c>
      <c r="E54" s="29">
        <v>0.77500000000000002</v>
      </c>
      <c r="F54" s="29">
        <v>0.79722222222222228</v>
      </c>
      <c r="G54" s="20">
        <f t="shared" si="16"/>
        <v>3.3333333333333437E-2</v>
      </c>
      <c r="H54" s="58">
        <v>101</v>
      </c>
      <c r="I54" s="50">
        <v>1</v>
      </c>
      <c r="J54" s="27">
        <v>0.97916666666666663</v>
      </c>
      <c r="K54" s="29">
        <v>0.9868055555555556</v>
      </c>
      <c r="L54" s="29">
        <v>1.0048611111111112</v>
      </c>
      <c r="M54" s="20">
        <f t="shared" ref="M54:M57" si="18">L54-J54</f>
        <v>2.5694444444444575E-2</v>
      </c>
      <c r="N54" s="58">
        <v>101</v>
      </c>
      <c r="O54" s="50">
        <v>2</v>
      </c>
    </row>
    <row r="55" spans="2:19" ht="24" customHeight="1" thickBot="1" x14ac:dyDescent="0.3">
      <c r="B55" s="311"/>
      <c r="C55" s="303"/>
      <c r="D55" s="31">
        <f>IF(F54="",E54,F54)</f>
        <v>0.79722222222222228</v>
      </c>
      <c r="E55" s="32"/>
      <c r="F55" s="31">
        <f>IF(D56="",E56,D56)</f>
        <v>0.86805555555555558</v>
      </c>
      <c r="G55" s="32"/>
      <c r="H55" s="32">
        <f>F55-D55</f>
        <v>7.0833333333333304E-2</v>
      </c>
      <c r="I55" s="32"/>
      <c r="J55" s="59">
        <v>1.0208333333333333</v>
      </c>
      <c r="K55" s="60">
        <v>1.0347222222222223</v>
      </c>
      <c r="L55" s="60">
        <v>1.0486111111111112</v>
      </c>
      <c r="M55" s="20">
        <f t="shared" si="18"/>
        <v>2.7777777777777901E-2</v>
      </c>
      <c r="N55" s="61">
        <v>101</v>
      </c>
      <c r="O55" s="62">
        <v>2</v>
      </c>
    </row>
    <row r="56" spans="2:19" ht="24" customHeight="1" x14ac:dyDescent="0.25">
      <c r="B56" s="311"/>
      <c r="C56" s="303"/>
      <c r="D56" s="59">
        <v>0.86805555555555558</v>
      </c>
      <c r="E56" s="60">
        <v>0.87708333333333333</v>
      </c>
      <c r="F56" s="60">
        <v>0.89861111111111114</v>
      </c>
      <c r="G56" s="20">
        <f t="shared" ref="G56:G57" si="19">F56-D56</f>
        <v>3.0555555555555558E-2</v>
      </c>
      <c r="H56" s="61">
        <v>101</v>
      </c>
      <c r="I56" s="62">
        <v>1</v>
      </c>
      <c r="J56" s="59">
        <v>1.0555555555555556</v>
      </c>
      <c r="K56" s="60">
        <v>1.0694444444444444</v>
      </c>
      <c r="L56" s="60">
        <v>1.0833333333333333</v>
      </c>
      <c r="M56" s="20">
        <f t="shared" si="18"/>
        <v>2.7777777777777679E-2</v>
      </c>
      <c r="N56" s="61">
        <v>101</v>
      </c>
      <c r="O56" s="62">
        <v>2</v>
      </c>
    </row>
    <row r="57" spans="2:19" ht="24" customHeight="1" thickBot="1" x14ac:dyDescent="0.3">
      <c r="B57" s="311"/>
      <c r="C57" s="303"/>
      <c r="D57" s="59">
        <v>0.92361111111111116</v>
      </c>
      <c r="E57" s="60">
        <v>0.93125000000000002</v>
      </c>
      <c r="F57" s="60">
        <v>0.95416666666666672</v>
      </c>
      <c r="G57" s="20">
        <f t="shared" si="19"/>
        <v>3.0555555555555558E-2</v>
      </c>
      <c r="H57" s="61">
        <v>101</v>
      </c>
      <c r="I57" s="62">
        <v>1</v>
      </c>
      <c r="J57" s="59">
        <v>1.0902777777777777</v>
      </c>
      <c r="K57" s="60">
        <v>1.1041666666666667</v>
      </c>
      <c r="L57" s="60">
        <v>1.1180555555555556</v>
      </c>
      <c r="M57" s="20">
        <f t="shared" si="18"/>
        <v>2.7777777777777901E-2</v>
      </c>
      <c r="N57" s="61">
        <v>101</v>
      </c>
      <c r="O57" s="62">
        <v>2</v>
      </c>
    </row>
    <row r="58" spans="2:19" ht="24" customHeight="1" thickBot="1" x14ac:dyDescent="0.3">
      <c r="B58" s="311"/>
      <c r="C58" s="304"/>
      <c r="D58" s="320" t="s">
        <v>29</v>
      </c>
      <c r="E58" s="321"/>
      <c r="F58" s="321"/>
      <c r="G58" s="321"/>
      <c r="H58" s="321"/>
      <c r="I58" s="322"/>
      <c r="J58" s="320" t="s">
        <v>29</v>
      </c>
      <c r="K58" s="321"/>
      <c r="L58" s="321"/>
      <c r="M58" s="321"/>
      <c r="N58" s="321"/>
      <c r="O58" s="322"/>
      <c r="P58" s="35"/>
      <c r="Q58" s="35"/>
      <c r="R58" s="35"/>
      <c r="S58" s="35"/>
    </row>
    <row r="59" spans="2:19" ht="24" customHeight="1" thickBot="1" x14ac:dyDescent="0.3">
      <c r="B59" s="312"/>
      <c r="C59" s="36" t="s">
        <v>17</v>
      </c>
      <c r="D59" s="37">
        <f>MAX(E50:F57)-IF(D50="",E50,D50)-MIN(H50:H57)+$C47</f>
        <v>0.28680555555555559</v>
      </c>
      <c r="E59" s="51"/>
      <c r="F59" s="51"/>
      <c r="G59" s="52"/>
      <c r="H59" s="53">
        <f ca="1">OFFSET(H49,MATCH(MIN(H50:H57),H50:H57,0),-4)-IF(D50="",E50,D50)</f>
        <v>0.18333333333333335</v>
      </c>
      <c r="I59" s="54"/>
      <c r="J59" s="37">
        <f>MAX(K50:L57)-IF(J50="",K50,J50)-MIN(N50:N57)+$C47</f>
        <v>0.28750000000000003</v>
      </c>
      <c r="K59" s="38"/>
      <c r="L59" s="38"/>
      <c r="M59" s="39"/>
      <c r="N59" s="53">
        <f ca="1">OFFSET(N49,MATCH(MIN(N50:N57),N50:N57,0),-4)-IF(J50="",K50,J50)</f>
        <v>0.13124999999999998</v>
      </c>
      <c r="O59" s="41"/>
    </row>
    <row r="60" spans="2:19" ht="24" customHeight="1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2:19" ht="24" customHeigh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2:19" ht="24" customHeigh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2:19" ht="24" customHeight="1" thickBot="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2:19" ht="24" customHeight="1" thickBot="1" x14ac:dyDescent="0.3">
      <c r="B64" s="310">
        <v>46272</v>
      </c>
      <c r="C64" s="2" t="s">
        <v>31</v>
      </c>
      <c r="D64" s="3"/>
      <c r="E64" s="3"/>
      <c r="F64" s="3"/>
      <c r="G64" s="3"/>
      <c r="H64" s="4"/>
      <c r="I64" s="5"/>
      <c r="J64" s="3"/>
      <c r="K64" s="3"/>
      <c r="L64" s="3"/>
      <c r="M64" s="3"/>
      <c r="N64" s="4"/>
      <c r="O64" s="5"/>
      <c r="P64" s="6" t="s">
        <v>27</v>
      </c>
      <c r="Q64" s="7"/>
      <c r="R64" s="7"/>
      <c r="S64" s="8"/>
    </row>
    <row r="65" spans="2:19" ht="24" customHeight="1" thickBot="1" x14ac:dyDescent="0.3">
      <c r="B65" s="311"/>
      <c r="C65" s="308">
        <v>1.7361111111111112E-2</v>
      </c>
      <c r="D65" s="9" t="s">
        <v>2</v>
      </c>
      <c r="E65" s="7"/>
      <c r="F65" s="7"/>
      <c r="G65" s="7"/>
      <c r="H65" s="7"/>
      <c r="I65" s="8"/>
      <c r="J65" s="9"/>
      <c r="K65" s="7"/>
      <c r="L65" s="7"/>
      <c r="M65" s="7"/>
      <c r="N65" s="7"/>
      <c r="O65" s="8"/>
      <c r="P65" s="10" t="s">
        <v>25</v>
      </c>
      <c r="Q65" s="11"/>
      <c r="R65" s="11"/>
      <c r="S65" s="12"/>
    </row>
    <row r="66" spans="2:19" ht="24" customHeight="1" thickBot="1" x14ac:dyDescent="0.3">
      <c r="B66" s="311"/>
      <c r="C66" s="319"/>
      <c r="D66" s="9" t="s">
        <v>4</v>
      </c>
      <c r="E66" s="7"/>
      <c r="F66" s="7"/>
      <c r="G66" s="7"/>
      <c r="H66" s="7"/>
      <c r="I66" s="8"/>
      <c r="J66" s="9" t="s">
        <v>5</v>
      </c>
      <c r="K66" s="7"/>
      <c r="L66" s="7"/>
      <c r="M66" s="7"/>
      <c r="N66" s="7"/>
      <c r="O66" s="8"/>
      <c r="P66" s="6" t="str">
        <f>CONCATENATE(COUNT(P68:P81,R68:R81)," VIAGENS")</f>
        <v>27 VIAGENS</v>
      </c>
      <c r="Q66" s="7"/>
      <c r="R66" s="7"/>
      <c r="S66" s="8"/>
    </row>
    <row r="67" spans="2:19" ht="24" customHeight="1" thickBot="1" x14ac:dyDescent="0.3">
      <c r="B67" s="311"/>
      <c r="C67" s="313" t="s">
        <v>7</v>
      </c>
      <c r="D67" s="13" t="s">
        <v>8</v>
      </c>
      <c r="E67" s="14" t="s">
        <v>9</v>
      </c>
      <c r="F67" s="15" t="s">
        <v>10</v>
      </c>
      <c r="G67" s="14" t="s">
        <v>11</v>
      </c>
      <c r="H67" s="15" t="s">
        <v>12</v>
      </c>
      <c r="I67" s="14" t="s">
        <v>13</v>
      </c>
      <c r="J67" s="13" t="s">
        <v>8</v>
      </c>
      <c r="K67" s="14" t="s">
        <v>9</v>
      </c>
      <c r="L67" s="15" t="s">
        <v>10</v>
      </c>
      <c r="M67" s="14" t="s">
        <v>11</v>
      </c>
      <c r="N67" s="15" t="s">
        <v>12</v>
      </c>
      <c r="O67" s="14" t="s">
        <v>13</v>
      </c>
      <c r="P67" s="16" t="s">
        <v>14</v>
      </c>
      <c r="Q67" s="17" t="s">
        <v>15</v>
      </c>
      <c r="R67" s="16" t="s">
        <v>14</v>
      </c>
      <c r="S67" s="17" t="s">
        <v>15</v>
      </c>
    </row>
    <row r="68" spans="2:19" ht="24" customHeight="1" x14ac:dyDescent="0.25">
      <c r="B68" s="311"/>
      <c r="C68" s="314"/>
      <c r="D68" s="18">
        <v>0.21180555555555561</v>
      </c>
      <c r="E68" s="19">
        <v>0.22013888888888891</v>
      </c>
      <c r="F68" s="19">
        <v>0.24444444444444441</v>
      </c>
      <c r="G68" s="20">
        <f>F68-D68</f>
        <v>3.2638888888888801E-2</v>
      </c>
      <c r="H68" s="55">
        <v>101</v>
      </c>
      <c r="I68" s="22">
        <v>1</v>
      </c>
      <c r="J68" s="18">
        <v>0.2326388888888889</v>
      </c>
      <c r="K68" s="19">
        <v>0.24305555555555561</v>
      </c>
      <c r="L68" s="19">
        <v>0.26458333333333328</v>
      </c>
      <c r="M68" s="20">
        <f t="shared" ref="M68:M70" si="20">L68-J68</f>
        <v>3.1944444444444386E-2</v>
      </c>
      <c r="N68" s="55">
        <v>101</v>
      </c>
      <c r="O68" s="22">
        <v>2</v>
      </c>
      <c r="P68" s="23">
        <v>0.21180555555555561</v>
      </c>
      <c r="Q68" s="24"/>
      <c r="R68" s="25">
        <v>0.64930555555555558</v>
      </c>
      <c r="S68" s="26">
        <f>R68-P81</f>
        <v>3.5416666666666652E-2</v>
      </c>
    </row>
    <row r="69" spans="2:19" ht="24" customHeight="1" x14ac:dyDescent="0.25">
      <c r="B69" s="311"/>
      <c r="C69" s="314"/>
      <c r="D69" s="18">
        <v>0.25555555555555548</v>
      </c>
      <c r="E69" s="19">
        <v>0.26944444444444438</v>
      </c>
      <c r="F69" s="19">
        <v>0.29166666666666669</v>
      </c>
      <c r="G69" s="20">
        <f t="shared" ref="G69:G71" si="21">F69-D69</f>
        <v>3.6111111111111205E-2</v>
      </c>
      <c r="H69" s="55">
        <v>101</v>
      </c>
      <c r="I69" s="22">
        <v>1</v>
      </c>
      <c r="J69" s="18">
        <v>0.27847222222222218</v>
      </c>
      <c r="K69" s="19">
        <v>0.28749999999999998</v>
      </c>
      <c r="L69" s="19">
        <v>0.30902777777777779</v>
      </c>
      <c r="M69" s="20">
        <f t="shared" si="20"/>
        <v>3.0555555555555614E-2</v>
      </c>
      <c r="N69" s="55">
        <v>101</v>
      </c>
      <c r="O69" s="22">
        <v>2</v>
      </c>
      <c r="P69" s="27">
        <v>0.2326388888888889</v>
      </c>
      <c r="Q69" s="28">
        <f t="shared" ref="Q69:Q78" si="22">P69-P68</f>
        <v>2.0833333333333287E-2</v>
      </c>
      <c r="R69" s="29">
        <v>0.68680555555555556</v>
      </c>
      <c r="S69" s="30">
        <f t="shared" ref="S69:S80" si="23">R69-R68</f>
        <v>3.7499999999999978E-2</v>
      </c>
    </row>
    <row r="70" spans="2:19" ht="24" customHeight="1" thickBot="1" x14ac:dyDescent="0.3">
      <c r="B70" s="311"/>
      <c r="C70" s="314"/>
      <c r="D70" s="18">
        <v>0.30138888888888887</v>
      </c>
      <c r="E70" s="19">
        <v>0.30902777777777779</v>
      </c>
      <c r="F70" s="19">
        <v>0.33055555555555549</v>
      </c>
      <c r="G70" s="20">
        <f t="shared" si="21"/>
        <v>2.9166666666666619E-2</v>
      </c>
      <c r="H70" s="55">
        <v>101</v>
      </c>
      <c r="I70" s="22">
        <v>1</v>
      </c>
      <c r="J70" s="18">
        <v>0.32430555555555562</v>
      </c>
      <c r="K70" s="19">
        <v>0.33333333333333331</v>
      </c>
      <c r="L70" s="19">
        <v>0.35486111111111113</v>
      </c>
      <c r="M70" s="20">
        <f t="shared" si="20"/>
        <v>3.0555555555555503E-2</v>
      </c>
      <c r="N70" s="55">
        <v>101</v>
      </c>
      <c r="O70" s="22">
        <v>2</v>
      </c>
      <c r="P70" s="27">
        <v>0.25555555555555548</v>
      </c>
      <c r="Q70" s="28">
        <f t="shared" si="22"/>
        <v>2.2916666666666585E-2</v>
      </c>
      <c r="R70" s="29">
        <v>0.72361111111111109</v>
      </c>
      <c r="S70" s="30">
        <f t="shared" si="23"/>
        <v>3.6805555555555536E-2</v>
      </c>
    </row>
    <row r="71" spans="2:19" ht="24" customHeight="1" thickBot="1" x14ac:dyDescent="0.3">
      <c r="B71" s="311"/>
      <c r="C71" s="314"/>
      <c r="D71" s="18">
        <v>0.35555555555555562</v>
      </c>
      <c r="E71" s="19">
        <v>0.36388888888888887</v>
      </c>
      <c r="F71" s="19">
        <v>0.3840277777777778</v>
      </c>
      <c r="G71" s="20">
        <f t="shared" si="21"/>
        <v>2.8472222222222177E-2</v>
      </c>
      <c r="H71" s="55">
        <v>101</v>
      </c>
      <c r="I71" s="22">
        <v>1</v>
      </c>
      <c r="J71" s="31">
        <f>IF(L70="",K70,L70)</f>
        <v>0.35486111111111113</v>
      </c>
      <c r="K71" s="32"/>
      <c r="L71" s="31">
        <f>IF(J72="",K72,J72)</f>
        <v>0.40833333333333333</v>
      </c>
      <c r="M71" s="32"/>
      <c r="N71" s="32">
        <f>L71-J71</f>
        <v>5.3472222222222199E-2</v>
      </c>
      <c r="O71" s="33"/>
      <c r="P71" s="27">
        <v>0.27847222222222218</v>
      </c>
      <c r="Q71" s="28">
        <f t="shared" si="22"/>
        <v>2.2916666666666696E-2</v>
      </c>
      <c r="R71" s="29">
        <v>0.76388888888888884</v>
      </c>
      <c r="S71" s="30">
        <f>R71-R70</f>
        <v>4.0277777777777746E-2</v>
      </c>
    </row>
    <row r="72" spans="2:19" ht="24" customHeight="1" thickBot="1" x14ac:dyDescent="0.3">
      <c r="B72" s="311"/>
      <c r="C72" s="314"/>
      <c r="D72" s="31">
        <f>IF(F71="",E71,F71)</f>
        <v>0.3840277777777778</v>
      </c>
      <c r="E72" s="32"/>
      <c r="F72" s="31">
        <f>IF(D73="",E73,D73)</f>
        <v>0.44166666666666671</v>
      </c>
      <c r="G72" s="32"/>
      <c r="H72" s="32">
        <f>F72-D72</f>
        <v>5.7638888888888906E-2</v>
      </c>
      <c r="I72" s="32"/>
      <c r="J72" s="18">
        <v>0.40833333333333333</v>
      </c>
      <c r="K72" s="19">
        <v>0.41736111111111113</v>
      </c>
      <c r="L72" s="19">
        <v>0.44444444444444442</v>
      </c>
      <c r="M72" s="20">
        <f t="shared" ref="M72:M75" si="24">L72-J72</f>
        <v>3.6111111111111094E-2</v>
      </c>
      <c r="N72" s="55">
        <v>101</v>
      </c>
      <c r="O72" s="22" t="s">
        <v>28</v>
      </c>
      <c r="P72" s="27">
        <v>0.30138888888888887</v>
      </c>
      <c r="Q72" s="28">
        <f t="shared" si="22"/>
        <v>2.2916666666666696E-2</v>
      </c>
      <c r="R72" s="29">
        <v>0.79861111111111116</v>
      </c>
      <c r="S72" s="30">
        <f t="shared" si="23"/>
        <v>3.4722222222222321E-2</v>
      </c>
    </row>
    <row r="73" spans="2:19" ht="24" customHeight="1" x14ac:dyDescent="0.25">
      <c r="B73" s="311"/>
      <c r="C73" s="314"/>
      <c r="D73" s="18">
        <v>0.44166666666666671</v>
      </c>
      <c r="E73" s="19">
        <v>0.44930555555555562</v>
      </c>
      <c r="F73" s="19">
        <v>0.47013888888888888</v>
      </c>
      <c r="G73" s="20">
        <f t="shared" ref="G73:G74" si="25">F73-D73</f>
        <v>2.8472222222222177E-2</v>
      </c>
      <c r="H73" s="55">
        <v>101</v>
      </c>
      <c r="I73" s="22">
        <v>1</v>
      </c>
      <c r="J73" s="18">
        <v>0.47222222222222221</v>
      </c>
      <c r="K73" s="19">
        <v>0.48194444444444451</v>
      </c>
      <c r="L73" s="19">
        <v>0.50555555555555554</v>
      </c>
      <c r="M73" s="20">
        <f t="shared" si="24"/>
        <v>3.3333333333333326E-2</v>
      </c>
      <c r="N73" s="55">
        <v>101</v>
      </c>
      <c r="O73" s="22">
        <v>2</v>
      </c>
      <c r="P73" s="27">
        <v>0.32430555555555562</v>
      </c>
      <c r="Q73" s="28">
        <f t="shared" si="22"/>
        <v>2.2916666666666752E-2</v>
      </c>
      <c r="R73" s="29">
        <v>0.83958333333333335</v>
      </c>
      <c r="S73" s="30">
        <f t="shared" si="23"/>
        <v>4.0972222222222188E-2</v>
      </c>
    </row>
    <row r="74" spans="2:19" ht="24" customHeight="1" x14ac:dyDescent="0.25">
      <c r="B74" s="311"/>
      <c r="C74" s="314"/>
      <c r="D74" s="18">
        <v>0.50347222222222221</v>
      </c>
      <c r="E74" s="19">
        <v>0.51041666666666663</v>
      </c>
      <c r="F74" s="19">
        <v>0.52986111111111112</v>
      </c>
      <c r="G74" s="20">
        <f t="shared" si="25"/>
        <v>2.6388888888888906E-2</v>
      </c>
      <c r="H74" s="55">
        <v>101</v>
      </c>
      <c r="I74" s="22">
        <v>1</v>
      </c>
      <c r="J74" s="18">
        <v>0.53402777777777777</v>
      </c>
      <c r="K74" s="19">
        <v>0.54236111111111107</v>
      </c>
      <c r="L74" s="19">
        <v>0.56666666666666665</v>
      </c>
      <c r="M74" s="20">
        <f t="shared" si="24"/>
        <v>3.2638888888888884E-2</v>
      </c>
      <c r="N74" s="55">
        <v>101</v>
      </c>
      <c r="O74" s="22">
        <v>2</v>
      </c>
      <c r="P74" s="27">
        <v>0.35555555555555562</v>
      </c>
      <c r="Q74" s="28">
        <f t="shared" si="22"/>
        <v>3.125E-2</v>
      </c>
      <c r="R74" s="29">
        <v>0.86805555555555558</v>
      </c>
      <c r="S74" s="30">
        <f t="shared" si="23"/>
        <v>2.8472222222222232E-2</v>
      </c>
    </row>
    <row r="75" spans="2:19" ht="24" customHeight="1" thickBot="1" x14ac:dyDescent="0.3">
      <c r="B75" s="311"/>
      <c r="C75" s="314"/>
      <c r="D75" s="18"/>
      <c r="E75" s="19"/>
      <c r="F75" s="19"/>
      <c r="G75" s="20"/>
      <c r="H75" s="55"/>
      <c r="I75" s="22"/>
      <c r="J75" s="18">
        <v>0.57361111111111107</v>
      </c>
      <c r="K75" s="19">
        <v>0.58263888888888893</v>
      </c>
      <c r="L75" s="19">
        <v>0.60624999999999996</v>
      </c>
      <c r="M75" s="20">
        <f t="shared" si="24"/>
        <v>3.2638888888888884E-2</v>
      </c>
      <c r="N75" s="55">
        <v>101</v>
      </c>
      <c r="O75" s="22">
        <v>2</v>
      </c>
      <c r="P75" s="27">
        <v>0.40833333333333333</v>
      </c>
      <c r="Q75" s="28">
        <f t="shared" si="22"/>
        <v>5.2777777777777701E-2</v>
      </c>
      <c r="R75" s="29">
        <v>0.89583333333333337</v>
      </c>
      <c r="S75" s="30">
        <f t="shared" si="23"/>
        <v>2.777777777777779E-2</v>
      </c>
    </row>
    <row r="76" spans="2:19" ht="24" customHeight="1" thickBot="1" x14ac:dyDescent="0.3">
      <c r="B76" s="311"/>
      <c r="C76" s="315"/>
      <c r="D76" s="320" t="s">
        <v>29</v>
      </c>
      <c r="E76" s="321"/>
      <c r="F76" s="321"/>
      <c r="G76" s="321"/>
      <c r="H76" s="321"/>
      <c r="I76" s="322"/>
      <c r="J76" s="320" t="s">
        <v>29</v>
      </c>
      <c r="K76" s="321"/>
      <c r="L76" s="321"/>
      <c r="M76" s="321"/>
      <c r="N76" s="321"/>
      <c r="O76" s="322"/>
      <c r="P76" s="27">
        <v>0.44166666666666671</v>
      </c>
      <c r="Q76" s="28">
        <f t="shared" si="22"/>
        <v>3.3333333333333381E-2</v>
      </c>
      <c r="R76" s="29">
        <v>0.92361111111111116</v>
      </c>
      <c r="S76" s="30">
        <f t="shared" si="23"/>
        <v>2.777777777777779E-2</v>
      </c>
    </row>
    <row r="77" spans="2:19" ht="24" customHeight="1" thickBot="1" x14ac:dyDescent="0.3">
      <c r="B77" s="311"/>
      <c r="C77" s="36" t="s">
        <v>17</v>
      </c>
      <c r="D77" s="37">
        <f>MAX(E68:F75)-IF(D68="",E68,D68)-MIN(H68:H75)+$C65</f>
        <v>0.27777777777777773</v>
      </c>
      <c r="E77" s="38"/>
      <c r="F77" s="38"/>
      <c r="G77" s="39"/>
      <c r="H77" s="40">
        <f ca="1">OFFSET(H67,MATCH(MIN(H68:H75),H68:H75,0),-4)-IF(D68="",E68,D68)+$C65</f>
        <v>0.1895833333333333</v>
      </c>
      <c r="I77" s="41"/>
      <c r="J77" s="37">
        <f>MAX(K68:L75)-IF(J68="",K68,J68)-MIN(N68:N75)+$C65</f>
        <v>0.33749999999999997</v>
      </c>
      <c r="K77" s="38"/>
      <c r="L77" s="38"/>
      <c r="M77" s="39"/>
      <c r="N77" s="40">
        <f ca="1">OFFSET(N67,MATCH(MIN(N68:N75),N68:N75,0),-4)-IF(J68="",K68,J68)+$C65</f>
        <v>0.13958333333333334</v>
      </c>
      <c r="O77" s="42"/>
      <c r="P77" s="27">
        <v>0.47222222222222221</v>
      </c>
      <c r="Q77" s="28">
        <f t="shared" si="22"/>
        <v>3.0555555555555503E-2</v>
      </c>
      <c r="R77" s="29">
        <v>0.97916666666666663</v>
      </c>
      <c r="S77" s="30">
        <f t="shared" si="23"/>
        <v>5.5555555555555469E-2</v>
      </c>
    </row>
    <row r="78" spans="2:19" ht="24" customHeight="1" thickBot="1" x14ac:dyDescent="0.3">
      <c r="B78" s="311"/>
      <c r="C78" s="308">
        <v>1.7361111111111112E-2</v>
      </c>
      <c r="D78" s="9" t="s">
        <v>18</v>
      </c>
      <c r="E78" s="7"/>
      <c r="F78" s="7"/>
      <c r="G78" s="7"/>
      <c r="H78" s="7"/>
      <c r="I78" s="8"/>
      <c r="J78" s="9"/>
      <c r="K78" s="7"/>
      <c r="L78" s="7"/>
      <c r="M78" s="7"/>
      <c r="N78" s="7"/>
      <c r="O78" s="7"/>
      <c r="P78" s="27">
        <v>0.50347222222222221</v>
      </c>
      <c r="Q78" s="28">
        <f t="shared" si="22"/>
        <v>3.125E-2</v>
      </c>
      <c r="R78" s="29">
        <v>1.0208333333333333</v>
      </c>
      <c r="S78" s="30">
        <f t="shared" si="23"/>
        <v>4.166666666666663E-2</v>
      </c>
    </row>
    <row r="79" spans="2:19" ht="24" customHeight="1" thickBot="1" x14ac:dyDescent="0.3">
      <c r="B79" s="311"/>
      <c r="C79" s="319"/>
      <c r="D79" s="9" t="s">
        <v>19</v>
      </c>
      <c r="E79" s="7"/>
      <c r="F79" s="7"/>
      <c r="G79" s="7"/>
      <c r="H79" s="7"/>
      <c r="I79" s="8"/>
      <c r="J79" s="9" t="s">
        <v>20</v>
      </c>
      <c r="K79" s="7"/>
      <c r="L79" s="7"/>
      <c r="M79" s="7"/>
      <c r="N79" s="7"/>
      <c r="O79" s="7"/>
      <c r="P79" s="27">
        <v>0.53402777777777777</v>
      </c>
      <c r="Q79" s="28">
        <f>P79-P78</f>
        <v>3.0555555555555558E-2</v>
      </c>
      <c r="R79" s="29">
        <v>1.0555555555555556</v>
      </c>
      <c r="S79" s="30">
        <f t="shared" si="23"/>
        <v>3.4722222222222321E-2</v>
      </c>
    </row>
    <row r="80" spans="2:19" ht="24" customHeight="1" thickBot="1" x14ac:dyDescent="0.3">
      <c r="B80" s="311"/>
      <c r="C80" s="302" t="s">
        <v>7</v>
      </c>
      <c r="D80" s="13" t="s">
        <v>8</v>
      </c>
      <c r="E80" s="14" t="s">
        <v>9</v>
      </c>
      <c r="F80" s="15" t="s">
        <v>10</v>
      </c>
      <c r="G80" s="14" t="s">
        <v>11</v>
      </c>
      <c r="H80" s="15" t="s">
        <v>12</v>
      </c>
      <c r="I80" s="14" t="s">
        <v>13</v>
      </c>
      <c r="J80" s="15" t="s">
        <v>8</v>
      </c>
      <c r="K80" s="14" t="s">
        <v>9</v>
      </c>
      <c r="L80" s="15" t="s">
        <v>10</v>
      </c>
      <c r="M80" s="14" t="s">
        <v>11</v>
      </c>
      <c r="N80" s="15" t="s">
        <v>12</v>
      </c>
      <c r="O80" s="13" t="s">
        <v>13</v>
      </c>
      <c r="P80" s="27">
        <v>0.57361111111111107</v>
      </c>
      <c r="Q80" s="28">
        <f>P80-P79</f>
        <v>3.9583333333333304E-2</v>
      </c>
      <c r="R80" s="29">
        <v>1.0902777777777777</v>
      </c>
      <c r="S80" s="30">
        <f t="shared" si="23"/>
        <v>3.4722222222222099E-2</v>
      </c>
    </row>
    <row r="81" spans="2:19" ht="24" customHeight="1" thickBot="1" x14ac:dyDescent="0.3">
      <c r="B81" s="311"/>
      <c r="C81" s="303"/>
      <c r="D81" s="23">
        <v>0.61388888888888893</v>
      </c>
      <c r="E81" s="25">
        <v>0.62291666666666667</v>
      </c>
      <c r="F81" s="25">
        <v>0.64236111111111116</v>
      </c>
      <c r="G81" s="20">
        <f t="shared" ref="G81:G85" si="26">F81-D81</f>
        <v>2.8472222222222232E-2</v>
      </c>
      <c r="H81" s="56">
        <v>101</v>
      </c>
      <c r="I81" s="48">
        <v>1</v>
      </c>
      <c r="J81" s="23">
        <v>0.79861111111111116</v>
      </c>
      <c r="K81" s="25">
        <v>0.80902777777777779</v>
      </c>
      <c r="L81" s="25">
        <v>0.82916666666666672</v>
      </c>
      <c r="M81" s="20">
        <f t="shared" ref="M81:M83" si="27">L81-J81</f>
        <v>3.0555555555555558E-2</v>
      </c>
      <c r="N81" s="56">
        <v>101</v>
      </c>
      <c r="O81" s="57">
        <v>2</v>
      </c>
      <c r="P81" s="43">
        <v>0.61388888888888893</v>
      </c>
      <c r="Q81" s="44">
        <f>P81-P80</f>
        <v>4.0277777777777857E-2</v>
      </c>
      <c r="R81" s="45"/>
      <c r="S81" s="46"/>
    </row>
    <row r="82" spans="2:19" ht="24" customHeight="1" x14ac:dyDescent="0.25">
      <c r="B82" s="311"/>
      <c r="C82" s="303"/>
      <c r="D82" s="27">
        <v>0.64930555555555558</v>
      </c>
      <c r="E82" s="29">
        <v>0.65833333333333333</v>
      </c>
      <c r="F82" s="29">
        <v>0.67986111111111114</v>
      </c>
      <c r="G82" s="20">
        <f t="shared" si="26"/>
        <v>3.0555555555555558E-2</v>
      </c>
      <c r="H82" s="58">
        <v>101</v>
      </c>
      <c r="I82" s="50">
        <v>1</v>
      </c>
      <c r="J82" s="27">
        <v>0.83958333333333335</v>
      </c>
      <c r="K82" s="29">
        <v>0.84861111111111109</v>
      </c>
      <c r="L82" s="29">
        <v>0.87222222222222223</v>
      </c>
      <c r="M82" s="20">
        <f t="shared" si="27"/>
        <v>3.2638888888888884E-2</v>
      </c>
      <c r="N82" s="58">
        <v>101</v>
      </c>
      <c r="O82" s="50">
        <v>2</v>
      </c>
    </row>
    <row r="83" spans="2:19" ht="24" customHeight="1" thickBot="1" x14ac:dyDescent="0.3">
      <c r="B83" s="311"/>
      <c r="C83" s="303"/>
      <c r="D83" s="27">
        <v>0.68680555555555556</v>
      </c>
      <c r="E83" s="29">
        <v>0.69513888888888886</v>
      </c>
      <c r="F83" s="29">
        <v>0.71597222222222223</v>
      </c>
      <c r="G83" s="20">
        <f t="shared" si="26"/>
        <v>2.9166666666666674E-2</v>
      </c>
      <c r="H83" s="58">
        <v>101</v>
      </c>
      <c r="I83" s="50">
        <v>1</v>
      </c>
      <c r="J83" s="27">
        <v>0.89583333333333337</v>
      </c>
      <c r="K83" s="29">
        <v>0.90694444444444444</v>
      </c>
      <c r="L83" s="29">
        <v>0.92986111111111114</v>
      </c>
      <c r="M83" s="20">
        <f t="shared" si="27"/>
        <v>3.4027777777777768E-2</v>
      </c>
      <c r="N83" s="58">
        <v>101</v>
      </c>
      <c r="O83" s="50">
        <v>2</v>
      </c>
    </row>
    <row r="84" spans="2:19" ht="24" customHeight="1" thickBot="1" x14ac:dyDescent="0.3">
      <c r="B84" s="311"/>
      <c r="C84" s="303"/>
      <c r="D84" s="27">
        <v>0.72361111111111109</v>
      </c>
      <c r="E84" s="29">
        <v>0.73402777777777772</v>
      </c>
      <c r="F84" s="29">
        <v>0.75694444444444442</v>
      </c>
      <c r="G84" s="20">
        <f t="shared" si="26"/>
        <v>3.3333333333333326E-2</v>
      </c>
      <c r="H84" s="58">
        <v>101</v>
      </c>
      <c r="I84" s="50">
        <v>1</v>
      </c>
      <c r="J84" s="31">
        <f>IF(L83="",K83,L83)</f>
        <v>0.92986111111111114</v>
      </c>
      <c r="K84" s="32"/>
      <c r="L84" s="31">
        <f>IF(J85="",K85,J85)</f>
        <v>0.97916666666666663</v>
      </c>
      <c r="M84" s="32"/>
      <c r="N84" s="32">
        <f>L84-J84</f>
        <v>4.9305555555555491E-2</v>
      </c>
      <c r="O84" s="32"/>
    </row>
    <row r="85" spans="2:19" ht="24" customHeight="1" thickBot="1" x14ac:dyDescent="0.3">
      <c r="B85" s="311"/>
      <c r="C85" s="303"/>
      <c r="D85" s="27">
        <v>0.76388888888888884</v>
      </c>
      <c r="E85" s="29">
        <v>0.77500000000000002</v>
      </c>
      <c r="F85" s="29">
        <v>0.79722222222222228</v>
      </c>
      <c r="G85" s="20">
        <f t="shared" si="26"/>
        <v>3.3333333333333437E-2</v>
      </c>
      <c r="H85" s="58">
        <v>101</v>
      </c>
      <c r="I85" s="50">
        <v>1</v>
      </c>
      <c r="J85" s="27">
        <v>0.97916666666666663</v>
      </c>
      <c r="K85" s="29">
        <v>0.9868055555555556</v>
      </c>
      <c r="L85" s="29">
        <v>1.0048611111111112</v>
      </c>
      <c r="M85" s="20">
        <f t="shared" ref="M85:M88" si="28">L85-J85</f>
        <v>2.5694444444444575E-2</v>
      </c>
      <c r="N85" s="58">
        <v>101</v>
      </c>
      <c r="O85" s="50">
        <v>2</v>
      </c>
    </row>
    <row r="86" spans="2:19" ht="24" customHeight="1" thickBot="1" x14ac:dyDescent="0.3">
      <c r="B86" s="311"/>
      <c r="C86" s="303"/>
      <c r="D86" s="31">
        <f>IF(F85="",E85,F85)</f>
        <v>0.79722222222222228</v>
      </c>
      <c r="E86" s="32"/>
      <c r="F86" s="31">
        <f>IF(D87="",E87,D87)</f>
        <v>0.86805555555555558</v>
      </c>
      <c r="G86" s="32"/>
      <c r="H86" s="32">
        <f>F86-D86</f>
        <v>7.0833333333333304E-2</v>
      </c>
      <c r="I86" s="32"/>
      <c r="J86" s="59">
        <v>1.0208333333333333</v>
      </c>
      <c r="K86" s="60">
        <v>1.0347222222222223</v>
      </c>
      <c r="L86" s="60">
        <v>1.0486111111111112</v>
      </c>
      <c r="M86" s="20">
        <f t="shared" si="28"/>
        <v>2.7777777777777901E-2</v>
      </c>
      <c r="N86" s="61">
        <v>101</v>
      </c>
      <c r="O86" s="62">
        <v>2</v>
      </c>
    </row>
    <row r="87" spans="2:19" ht="24" customHeight="1" x14ac:dyDescent="0.25">
      <c r="B87" s="311"/>
      <c r="C87" s="303"/>
      <c r="D87" s="59">
        <v>0.86805555555555558</v>
      </c>
      <c r="E87" s="60">
        <v>0.87708333333333333</v>
      </c>
      <c r="F87" s="60">
        <v>0.89861111111111114</v>
      </c>
      <c r="G87" s="20">
        <f t="shared" ref="G87:G88" si="29">F87-D87</f>
        <v>3.0555555555555558E-2</v>
      </c>
      <c r="H87" s="61">
        <v>101</v>
      </c>
      <c r="I87" s="62">
        <v>1</v>
      </c>
      <c r="J87" s="59">
        <v>1.0555555555555556</v>
      </c>
      <c r="K87" s="60">
        <v>1.0694444444444444</v>
      </c>
      <c r="L87" s="60">
        <v>1.0833333333333333</v>
      </c>
      <c r="M87" s="20">
        <f t="shared" si="28"/>
        <v>2.7777777777777679E-2</v>
      </c>
      <c r="N87" s="61">
        <v>101</v>
      </c>
      <c r="O87" s="62">
        <v>2</v>
      </c>
    </row>
    <row r="88" spans="2:19" ht="24" customHeight="1" thickBot="1" x14ac:dyDescent="0.3">
      <c r="B88" s="311"/>
      <c r="C88" s="303"/>
      <c r="D88" s="59">
        <v>0.92361111111111116</v>
      </c>
      <c r="E88" s="60">
        <v>0.93125000000000002</v>
      </c>
      <c r="F88" s="60">
        <v>0.95416666666666672</v>
      </c>
      <c r="G88" s="20">
        <f t="shared" si="29"/>
        <v>3.0555555555555558E-2</v>
      </c>
      <c r="H88" s="61">
        <v>101</v>
      </c>
      <c r="I88" s="62">
        <v>1</v>
      </c>
      <c r="J88" s="59">
        <v>1.0902777777777777</v>
      </c>
      <c r="K88" s="60">
        <v>1.1041666666666667</v>
      </c>
      <c r="L88" s="60">
        <v>1.1180555555555556</v>
      </c>
      <c r="M88" s="20">
        <f t="shared" si="28"/>
        <v>2.7777777777777901E-2</v>
      </c>
      <c r="N88" s="61">
        <v>101</v>
      </c>
      <c r="O88" s="62">
        <v>2</v>
      </c>
    </row>
    <row r="89" spans="2:19" ht="24" customHeight="1" thickBot="1" x14ac:dyDescent="0.3">
      <c r="B89" s="311"/>
      <c r="C89" s="304"/>
      <c r="D89" s="320" t="s">
        <v>29</v>
      </c>
      <c r="E89" s="321"/>
      <c r="F89" s="321"/>
      <c r="G89" s="321"/>
      <c r="H89" s="321"/>
      <c r="I89" s="322"/>
      <c r="J89" s="320" t="s">
        <v>29</v>
      </c>
      <c r="K89" s="321"/>
      <c r="L89" s="321"/>
      <c r="M89" s="321"/>
      <c r="N89" s="321"/>
      <c r="O89" s="322"/>
      <c r="P89" s="35"/>
      <c r="Q89" s="35"/>
      <c r="R89" s="35"/>
      <c r="S89" s="35"/>
    </row>
    <row r="90" spans="2:19" ht="24" customHeight="1" thickBot="1" x14ac:dyDescent="0.3">
      <c r="B90" s="312"/>
      <c r="C90" s="36" t="s">
        <v>17</v>
      </c>
      <c r="D90" s="37">
        <f>MAX(E81:F88)-IF(D81="",E81,D81)-MIN(H81:H88)+$C78</f>
        <v>0.28680555555555559</v>
      </c>
      <c r="E90" s="51"/>
      <c r="F90" s="51"/>
      <c r="G90" s="52"/>
      <c r="H90" s="53">
        <f ca="1">OFFSET(H80,MATCH(MIN(H81:H88),H81:H88,0),-4)-IF(D81="",E81,D81)</f>
        <v>0.18333333333333335</v>
      </c>
      <c r="I90" s="54"/>
      <c r="J90" s="37">
        <f>MAX(K81:L88)-IF(J81="",K81,J81)-MIN(N81:N88)+$C78</f>
        <v>0.28750000000000003</v>
      </c>
      <c r="K90" s="38"/>
      <c r="L90" s="38"/>
      <c r="M90" s="39"/>
      <c r="N90" s="53">
        <f ca="1">OFFSET(N80,MATCH(MIN(N81:N88),N81:N88,0),-4)-IF(J81="",K81,J81)</f>
        <v>0.13124999999999998</v>
      </c>
      <c r="O90" s="41"/>
    </row>
  </sheetData>
  <mergeCells count="27">
    <mergeCell ref="B64:B90"/>
    <mergeCell ref="C65:C66"/>
    <mergeCell ref="C67:C76"/>
    <mergeCell ref="D76:I76"/>
    <mergeCell ref="J76:O76"/>
    <mergeCell ref="C78:C79"/>
    <mergeCell ref="C80:C89"/>
    <mergeCell ref="D89:I89"/>
    <mergeCell ref="J89:O89"/>
    <mergeCell ref="B33:B59"/>
    <mergeCell ref="C34:C35"/>
    <mergeCell ref="C36:C45"/>
    <mergeCell ref="D45:I45"/>
    <mergeCell ref="J45:O45"/>
    <mergeCell ref="C47:C48"/>
    <mergeCell ref="C49:C58"/>
    <mergeCell ref="D58:I58"/>
    <mergeCell ref="J58:O58"/>
    <mergeCell ref="B2:B28"/>
    <mergeCell ref="C3:C4"/>
    <mergeCell ref="C5:C14"/>
    <mergeCell ref="D14:I14"/>
    <mergeCell ref="J14:O14"/>
    <mergeCell ref="C16:C17"/>
    <mergeCell ref="C18:C27"/>
    <mergeCell ref="D27:I27"/>
    <mergeCell ref="J27:O27"/>
  </mergeCells>
  <conditionalFormatting sqref="D4">
    <cfRule type="colorScale" priority="12">
      <colorScale>
        <cfvo type="min"/>
        <cfvo type="max"/>
        <color rgb="FFFF7128"/>
        <color rgb="FFFFEF9C"/>
      </colorScale>
    </cfRule>
  </conditionalFormatting>
  <conditionalFormatting sqref="D35">
    <cfRule type="colorScale" priority="8">
      <colorScale>
        <cfvo type="min"/>
        <cfvo type="max"/>
        <color rgb="FFFF7128"/>
        <color rgb="FFFFEF9C"/>
      </colorScale>
    </cfRule>
  </conditionalFormatting>
  <conditionalFormatting sqref="D66">
    <cfRule type="colorScale" priority="4">
      <colorScale>
        <cfvo type="min"/>
        <cfvo type="max"/>
        <color rgb="FFFF7128"/>
        <color rgb="FFFFEF9C"/>
      </colorScale>
    </cfRule>
  </conditionalFormatting>
  <conditionalFormatting sqref="D4:I4">
    <cfRule type="expression" dxfId="265" priority="10" stopIfTrue="1">
      <formula>LEN($D4)=14</formula>
    </cfRule>
  </conditionalFormatting>
  <conditionalFormatting sqref="D35:I35">
    <cfRule type="expression" dxfId="264" priority="6" stopIfTrue="1">
      <formula>LEN($D35)=14</formula>
    </cfRule>
  </conditionalFormatting>
  <conditionalFormatting sqref="D66:I66">
    <cfRule type="expression" dxfId="263" priority="2" stopIfTrue="1">
      <formula>LEN($D66)=14</formula>
    </cfRule>
  </conditionalFormatting>
  <conditionalFormatting sqref="E4:I4">
    <cfRule type="notContainsBlanks" dxfId="262" priority="11">
      <formula>LEN(TRIM(E4))&gt;0</formula>
    </cfRule>
  </conditionalFormatting>
  <conditionalFormatting sqref="E35:I35">
    <cfRule type="notContainsBlanks" dxfId="261" priority="7">
      <formula>LEN(TRIM(E35))&gt;0</formula>
    </cfRule>
  </conditionalFormatting>
  <conditionalFormatting sqref="E66:I66">
    <cfRule type="notContainsBlanks" dxfId="260" priority="3">
      <formula>LEN(TRIM(E66))&gt;0</formula>
    </cfRule>
  </conditionalFormatting>
  <conditionalFormatting sqref="J4:O4">
    <cfRule type="expression" dxfId="259" priority="9">
      <formula>LEN($J4)=14</formula>
    </cfRule>
  </conditionalFormatting>
  <conditionalFormatting sqref="J35:O35">
    <cfRule type="expression" dxfId="258" priority="5">
      <formula>LEN($J35)=14</formula>
    </cfRule>
  </conditionalFormatting>
  <conditionalFormatting sqref="J66:O66">
    <cfRule type="expression" dxfId="257" priority="1">
      <formula>LEN($J66)=14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878B-9966-4B2E-A3B3-8761A22A55B7}">
  <dimension ref="A1:AI194"/>
  <sheetViews>
    <sheetView zoomScale="70" zoomScaleNormal="70" workbookViewId="0">
      <selection activeCell="B2" sqref="B2:S23"/>
    </sheetView>
  </sheetViews>
  <sheetFormatPr defaultColWidth="8.7109375" defaultRowHeight="24" customHeight="1" x14ac:dyDescent="0.25"/>
  <cols>
    <col min="1" max="16384" width="8.7109375" style="202"/>
  </cols>
  <sheetData>
    <row r="1" spans="1:35" ht="24" customHeight="1" thickBot="1" x14ac:dyDescent="0.3">
      <c r="A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</row>
    <row r="2" spans="1:35" ht="24" customHeight="1" thickBot="1" x14ac:dyDescent="0.3">
      <c r="A2" s="201"/>
      <c r="B2" s="295">
        <v>45732</v>
      </c>
      <c r="C2" s="330" t="s">
        <v>101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4"/>
      <c r="P2" s="297" t="s">
        <v>102</v>
      </c>
      <c r="Q2" s="287"/>
      <c r="R2" s="287"/>
      <c r="S2" s="284"/>
      <c r="T2" s="200"/>
      <c r="U2" s="200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</row>
    <row r="3" spans="1:35" ht="24" customHeight="1" thickBot="1" x14ac:dyDescent="0.3">
      <c r="A3" s="201"/>
      <c r="B3" s="293"/>
      <c r="C3" s="325">
        <v>1.3888888888888888E-2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4"/>
      <c r="P3" s="298" t="s">
        <v>103</v>
      </c>
      <c r="Q3" s="287"/>
      <c r="R3" s="287"/>
      <c r="S3" s="284"/>
      <c r="T3" s="200"/>
      <c r="U3" s="200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</row>
    <row r="4" spans="1:35" ht="24" customHeight="1" thickBot="1" x14ac:dyDescent="0.3">
      <c r="A4" s="201"/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7" t="str">
        <f>CONCATENATE(COUNT(P6:P13,R6:R13)," VIAGENS")</f>
        <v>16 VIAGENS</v>
      </c>
      <c r="Q4" s="287"/>
      <c r="R4" s="287"/>
      <c r="S4" s="284"/>
      <c r="T4" s="200"/>
      <c r="U4" s="200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</row>
    <row r="5" spans="1:35" ht="24" customHeight="1" thickBot="1" x14ac:dyDescent="0.3">
      <c r="A5" s="201"/>
      <c r="B5" s="293"/>
      <c r="C5" s="299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03" t="s">
        <v>14</v>
      </c>
      <c r="Q5" s="204" t="s">
        <v>15</v>
      </c>
      <c r="R5" s="203" t="s">
        <v>14</v>
      </c>
      <c r="S5" s="204" t="s">
        <v>15</v>
      </c>
      <c r="T5" s="200"/>
      <c r="U5" s="200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</row>
    <row r="6" spans="1:35" ht="24" customHeight="1" x14ac:dyDescent="0.25">
      <c r="A6" s="201"/>
      <c r="B6" s="293"/>
      <c r="C6" s="300"/>
      <c r="D6" s="239">
        <v>0.22916666666666671</v>
      </c>
      <c r="E6" s="240">
        <v>0.25277777777777782</v>
      </c>
      <c r="F6" s="240">
        <v>0.27291666666666659</v>
      </c>
      <c r="G6" s="241">
        <f t="shared" ref="G6:G8" si="0">F6-D6</f>
        <v>4.3749999999999872E-2</v>
      </c>
      <c r="H6" s="242">
        <v>110</v>
      </c>
      <c r="I6" s="243">
        <v>1</v>
      </c>
      <c r="J6" s="239">
        <v>0.26041666666666669</v>
      </c>
      <c r="K6" s="240">
        <v>0.28472222222222221</v>
      </c>
      <c r="L6" s="240">
        <v>0.30625000000000002</v>
      </c>
      <c r="M6" s="241">
        <f t="shared" ref="M6:M8" si="1">L6-J6</f>
        <v>4.5833333333333337E-2</v>
      </c>
      <c r="N6" s="242">
        <v>110</v>
      </c>
      <c r="O6" s="243">
        <v>2</v>
      </c>
      <c r="P6" s="244">
        <v>0.22916666666666671</v>
      </c>
      <c r="Q6" s="211"/>
      <c r="R6" s="245">
        <v>0.56180555555555556</v>
      </c>
      <c r="S6" s="212">
        <f>R6-P13</f>
        <v>6.5972222222222265E-2</v>
      </c>
      <c r="T6" s="200"/>
      <c r="U6" s="200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</row>
    <row r="7" spans="1:35" ht="24" customHeight="1" x14ac:dyDescent="0.25">
      <c r="A7" s="201"/>
      <c r="B7" s="293"/>
      <c r="C7" s="300"/>
      <c r="D7" s="239">
        <v>0.29166666666666669</v>
      </c>
      <c r="E7" s="240">
        <v>0.32083333333333341</v>
      </c>
      <c r="F7" s="240">
        <v>0.34236111111111112</v>
      </c>
      <c r="G7" s="241">
        <f t="shared" si="0"/>
        <v>5.0694444444444431E-2</v>
      </c>
      <c r="H7" s="242">
        <v>110</v>
      </c>
      <c r="I7" s="243">
        <v>1</v>
      </c>
      <c r="J7" s="239">
        <v>0.32500000000000001</v>
      </c>
      <c r="K7" s="240">
        <v>0.35416666666666669</v>
      </c>
      <c r="L7" s="240">
        <v>0.37569444444444439</v>
      </c>
      <c r="M7" s="241">
        <f t="shared" si="1"/>
        <v>5.0694444444444375E-2</v>
      </c>
      <c r="N7" s="242">
        <v>110</v>
      </c>
      <c r="O7" s="243">
        <v>2</v>
      </c>
      <c r="P7" s="239">
        <v>0.26041666666666669</v>
      </c>
      <c r="Q7" s="218">
        <f t="shared" ref="Q7:Q13" si="2">P7-P6</f>
        <v>3.1249999999999972E-2</v>
      </c>
      <c r="R7" s="240">
        <v>0.62430555555555556</v>
      </c>
      <c r="S7" s="219">
        <f t="shared" ref="S7:S13" si="3">R7-R6</f>
        <v>6.25E-2</v>
      </c>
      <c r="T7" s="200"/>
      <c r="U7" s="200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</row>
    <row r="8" spans="1:35" ht="24" customHeight="1" thickBot="1" x14ac:dyDescent="0.3">
      <c r="A8" s="201"/>
      <c r="B8" s="293"/>
      <c r="C8" s="300"/>
      <c r="D8" s="239">
        <v>0.35833333333333328</v>
      </c>
      <c r="E8" s="240">
        <v>0.38680555555555562</v>
      </c>
      <c r="F8" s="240">
        <v>0.41249999999999998</v>
      </c>
      <c r="G8" s="241">
        <f t="shared" si="0"/>
        <v>5.4166666666666696E-2</v>
      </c>
      <c r="H8" s="242">
        <v>110</v>
      </c>
      <c r="I8" s="243">
        <v>1</v>
      </c>
      <c r="J8" s="239">
        <v>0.39305555555555549</v>
      </c>
      <c r="K8" s="240">
        <v>0.42222222222222222</v>
      </c>
      <c r="L8" s="240">
        <v>0.44722222222222219</v>
      </c>
      <c r="M8" s="241">
        <f t="shared" si="1"/>
        <v>5.4166666666666696E-2</v>
      </c>
      <c r="N8" s="242">
        <v>110</v>
      </c>
      <c r="O8" s="243">
        <v>2</v>
      </c>
      <c r="P8" s="239">
        <v>0.29166666666666669</v>
      </c>
      <c r="Q8" s="218">
        <f t="shared" si="2"/>
        <v>3.125E-2</v>
      </c>
      <c r="R8" s="240">
        <v>0.66249999999999998</v>
      </c>
      <c r="S8" s="219">
        <f t="shared" si="3"/>
        <v>3.819444444444442E-2</v>
      </c>
      <c r="T8" s="200"/>
      <c r="U8" s="200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</row>
    <row r="9" spans="1:35" ht="24" customHeight="1" thickBot="1" x14ac:dyDescent="0.3">
      <c r="A9" s="201"/>
      <c r="B9" s="293"/>
      <c r="C9" s="300"/>
      <c r="D9" s="283">
        <f>IF(F8="",E8,F8)</f>
        <v>0.41249999999999998</v>
      </c>
      <c r="E9" s="284"/>
      <c r="F9" s="283">
        <f>IF(D10="",E10,D10)</f>
        <v>0.46111111111111108</v>
      </c>
      <c r="G9" s="284"/>
      <c r="H9" s="285">
        <f>F9-D9</f>
        <v>4.8611111111111105E-2</v>
      </c>
      <c r="I9" s="284"/>
      <c r="J9" s="283">
        <f>IF(L8="",K8,L8)</f>
        <v>0.44722222222222219</v>
      </c>
      <c r="K9" s="284"/>
      <c r="L9" s="283">
        <f>IF(J10="",K10,J10)</f>
        <v>0.49583333333333329</v>
      </c>
      <c r="M9" s="284"/>
      <c r="N9" s="285">
        <f>L9-J9</f>
        <v>4.8611111111111105E-2</v>
      </c>
      <c r="O9" s="284"/>
      <c r="P9" s="239">
        <v>0.32500000000000001</v>
      </c>
      <c r="Q9" s="218">
        <f t="shared" si="2"/>
        <v>3.3333333333333326E-2</v>
      </c>
      <c r="R9" s="240">
        <v>0.69722222222222219</v>
      </c>
      <c r="S9" s="219">
        <f t="shared" si="3"/>
        <v>3.472222222222221E-2</v>
      </c>
      <c r="T9" s="200"/>
      <c r="U9" s="200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</row>
    <row r="10" spans="1:35" ht="24" customHeight="1" thickBot="1" x14ac:dyDescent="0.3">
      <c r="A10" s="201"/>
      <c r="B10" s="293"/>
      <c r="C10" s="300"/>
      <c r="D10" s="239">
        <v>0.46111111111111108</v>
      </c>
      <c r="E10" s="240">
        <v>0.4909722222222222</v>
      </c>
      <c r="F10" s="240">
        <v>0.51527777777777772</v>
      </c>
      <c r="G10" s="241">
        <f>F10-D10</f>
        <v>5.4166666666666641E-2</v>
      </c>
      <c r="H10" s="242">
        <v>110</v>
      </c>
      <c r="I10" s="243">
        <v>1</v>
      </c>
      <c r="J10" s="239">
        <v>0.49583333333333329</v>
      </c>
      <c r="K10" s="240">
        <v>0.52569444444444446</v>
      </c>
      <c r="L10" s="240">
        <v>0.55208333333333337</v>
      </c>
      <c r="M10" s="241">
        <f>L10-J10</f>
        <v>5.6250000000000078E-2</v>
      </c>
      <c r="N10" s="242">
        <v>110</v>
      </c>
      <c r="O10" s="243">
        <v>2</v>
      </c>
      <c r="P10" s="239">
        <v>0.35833333333333328</v>
      </c>
      <c r="Q10" s="218">
        <f t="shared" si="2"/>
        <v>3.333333333333327E-2</v>
      </c>
      <c r="R10" s="240">
        <v>0.73541666666666672</v>
      </c>
      <c r="S10" s="219">
        <f t="shared" si="3"/>
        <v>3.8194444444444531E-2</v>
      </c>
      <c r="T10" s="200"/>
      <c r="U10" s="200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</row>
    <row r="11" spans="1:35" ht="24" customHeight="1" thickBot="1" x14ac:dyDescent="0.3">
      <c r="A11" s="201"/>
      <c r="B11" s="293"/>
      <c r="C11" s="301"/>
      <c r="D11" s="329" t="s">
        <v>29</v>
      </c>
      <c r="E11" s="287"/>
      <c r="F11" s="287"/>
      <c r="G11" s="287"/>
      <c r="H11" s="287"/>
      <c r="I11" s="284"/>
      <c r="J11" s="329" t="s">
        <v>29</v>
      </c>
      <c r="K11" s="287"/>
      <c r="L11" s="287"/>
      <c r="M11" s="287"/>
      <c r="N11" s="287"/>
      <c r="O11" s="284"/>
      <c r="P11" s="239">
        <v>0.39305555555555549</v>
      </c>
      <c r="Q11" s="218">
        <f t="shared" si="2"/>
        <v>3.472222222222221E-2</v>
      </c>
      <c r="R11" s="240">
        <v>0.79583333333333328</v>
      </c>
      <c r="S11" s="219">
        <f t="shared" si="3"/>
        <v>6.0416666666666563E-2</v>
      </c>
      <c r="T11" s="246"/>
      <c r="U11" s="246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</row>
    <row r="12" spans="1:35" ht="24" customHeight="1" thickBot="1" x14ac:dyDescent="0.3">
      <c r="A12" s="201"/>
      <c r="B12" s="293"/>
      <c r="C12" s="247" t="s">
        <v>17</v>
      </c>
      <c r="D12" s="288">
        <f>MAX(E6:F10)-IF(D6="",E6,D6)-MIN(H6:H10)+$C3</f>
        <v>0.25138888888888877</v>
      </c>
      <c r="E12" s="287"/>
      <c r="F12" s="287"/>
      <c r="G12" s="284"/>
      <c r="H12" s="294">
        <f ca="1">OFFSET(H5,MATCH(MIN(H6:H10),H6:H10,0),-4)-IF(D6="",E6,D6)+$C3</f>
        <v>0.19722222222222216</v>
      </c>
      <c r="I12" s="284"/>
      <c r="J12" s="288">
        <f>MAX(K6:L10)-IF(J6="",K6,J6)-MIN(N6:N10)+$C3</f>
        <v>0.25694444444444448</v>
      </c>
      <c r="K12" s="287"/>
      <c r="L12" s="287"/>
      <c r="M12" s="284"/>
      <c r="N12" s="294">
        <f ca="1">OFFSET(N5,MATCH(MIN(N6:N10),N6:N10,0),-4)-IF(J6="",K6,J6)+$C3</f>
        <v>0.2006944444444444</v>
      </c>
      <c r="O12" s="284"/>
      <c r="P12" s="239">
        <v>0.46111111111111108</v>
      </c>
      <c r="Q12" s="218">
        <f t="shared" si="2"/>
        <v>6.8055555555555591E-2</v>
      </c>
      <c r="R12" s="240">
        <v>0.85624999999999996</v>
      </c>
      <c r="S12" s="219">
        <f t="shared" si="3"/>
        <v>6.0416666666666674E-2</v>
      </c>
      <c r="T12" s="200"/>
      <c r="U12" s="200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</row>
    <row r="13" spans="1:35" ht="24" customHeight="1" thickBot="1" x14ac:dyDescent="0.3">
      <c r="A13" s="201"/>
      <c r="B13" s="293"/>
      <c r="C13" s="325">
        <v>1.3888888888888888E-2</v>
      </c>
      <c r="D13" s="291" t="s">
        <v>18</v>
      </c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4"/>
      <c r="P13" s="248">
        <v>0.49583333333333329</v>
      </c>
      <c r="Q13" s="231">
        <f t="shared" si="2"/>
        <v>3.472222222222221E-2</v>
      </c>
      <c r="R13" s="249">
        <v>0.91666666666666663</v>
      </c>
      <c r="S13" s="233">
        <f t="shared" si="3"/>
        <v>6.0416666666666674E-2</v>
      </c>
      <c r="T13" s="200"/>
      <c r="U13" s="200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</row>
    <row r="14" spans="1:35" ht="24" customHeight="1" thickBot="1" x14ac:dyDescent="0.3">
      <c r="A14" s="201"/>
      <c r="B14" s="293"/>
      <c r="C14" s="290"/>
      <c r="D14" s="291" t="s">
        <v>19</v>
      </c>
      <c r="E14" s="287"/>
      <c r="F14" s="287"/>
      <c r="G14" s="287"/>
      <c r="H14" s="287"/>
      <c r="I14" s="284"/>
      <c r="J14" s="291" t="s">
        <v>20</v>
      </c>
      <c r="K14" s="287"/>
      <c r="L14" s="287"/>
      <c r="M14" s="287"/>
      <c r="N14" s="287"/>
      <c r="O14" s="284"/>
      <c r="T14" s="200"/>
      <c r="U14" s="200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</row>
    <row r="15" spans="1:35" ht="24" customHeight="1" thickBot="1" x14ac:dyDescent="0.3">
      <c r="A15" s="201"/>
      <c r="B15" s="293"/>
      <c r="C15" s="292" t="s">
        <v>7</v>
      </c>
      <c r="D15" s="236" t="s">
        <v>8</v>
      </c>
      <c r="E15" s="237" t="s">
        <v>9</v>
      </c>
      <c r="F15" s="238" t="s">
        <v>10</v>
      </c>
      <c r="G15" s="237" t="s">
        <v>11</v>
      </c>
      <c r="H15" s="238" t="s">
        <v>12</v>
      </c>
      <c r="I15" s="237" t="s">
        <v>13</v>
      </c>
      <c r="J15" s="238" t="s">
        <v>8</v>
      </c>
      <c r="K15" s="237" t="s">
        <v>9</v>
      </c>
      <c r="L15" s="238" t="s">
        <v>10</v>
      </c>
      <c r="M15" s="237" t="s">
        <v>11</v>
      </c>
      <c r="N15" s="238" t="s">
        <v>12</v>
      </c>
      <c r="O15" s="237" t="s">
        <v>13</v>
      </c>
      <c r="T15" s="200"/>
      <c r="U15" s="200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</row>
    <row r="16" spans="1:35" ht="24" customHeight="1" x14ac:dyDescent="0.25">
      <c r="A16" s="201"/>
      <c r="B16" s="293"/>
      <c r="C16" s="293"/>
      <c r="D16" s="244">
        <v>0.56180555555555556</v>
      </c>
      <c r="E16" s="245">
        <v>0.59027777777777779</v>
      </c>
      <c r="F16" s="245">
        <v>0.61458333333333337</v>
      </c>
      <c r="G16" s="241">
        <f t="shared" ref="G16:G18" si="4">F16-D16</f>
        <v>5.2777777777777812E-2</v>
      </c>
      <c r="H16" s="250">
        <v>110</v>
      </c>
      <c r="I16" s="251">
        <v>1</v>
      </c>
      <c r="J16" s="244">
        <v>0.66249999999999998</v>
      </c>
      <c r="K16" s="245">
        <v>0.69305555555555554</v>
      </c>
      <c r="L16" s="245">
        <v>0.71736111111111112</v>
      </c>
      <c r="M16" s="241">
        <f t="shared" ref="M16:M17" si="5">L16-J16</f>
        <v>5.4861111111111138E-2</v>
      </c>
      <c r="N16" s="250">
        <v>110</v>
      </c>
      <c r="O16" s="251">
        <v>2</v>
      </c>
      <c r="T16" s="200"/>
      <c r="U16" s="200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</row>
    <row r="17" spans="1:35" ht="24" customHeight="1" thickBot="1" x14ac:dyDescent="0.3">
      <c r="A17" s="201"/>
      <c r="B17" s="293"/>
      <c r="C17" s="293"/>
      <c r="D17" s="239">
        <v>0.62430555555555556</v>
      </c>
      <c r="E17" s="240">
        <v>0.65277777777777779</v>
      </c>
      <c r="F17" s="240">
        <v>0.67569444444444449</v>
      </c>
      <c r="G17" s="241">
        <f t="shared" si="4"/>
        <v>5.1388888888888928E-2</v>
      </c>
      <c r="H17" s="242">
        <v>110</v>
      </c>
      <c r="I17" s="252">
        <v>1</v>
      </c>
      <c r="J17" s="239">
        <v>0.73541666666666672</v>
      </c>
      <c r="K17" s="240">
        <v>0.76111111111111107</v>
      </c>
      <c r="L17" s="240">
        <v>0.78611111111111109</v>
      </c>
      <c r="M17" s="241">
        <f t="shared" si="5"/>
        <v>5.0694444444444375E-2</v>
      </c>
      <c r="N17" s="242">
        <v>110</v>
      </c>
      <c r="O17" s="252">
        <v>2</v>
      </c>
      <c r="T17" s="200"/>
      <c r="U17" s="200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</row>
    <row r="18" spans="1:35" ht="24" customHeight="1" thickBot="1" x14ac:dyDescent="0.3">
      <c r="A18" s="201"/>
      <c r="B18" s="293"/>
      <c r="C18" s="293"/>
      <c r="D18" s="239">
        <v>0.69722222222222219</v>
      </c>
      <c r="E18" s="240">
        <v>0.72291666666666665</v>
      </c>
      <c r="F18" s="240">
        <v>0.74722222222222223</v>
      </c>
      <c r="G18" s="241">
        <f t="shared" si="4"/>
        <v>5.0000000000000044E-2</v>
      </c>
      <c r="H18" s="242">
        <v>110</v>
      </c>
      <c r="I18" s="252">
        <v>1</v>
      </c>
      <c r="J18" s="326">
        <f>IF(L17="",K17,L17)</f>
        <v>0.78611111111111109</v>
      </c>
      <c r="K18" s="327"/>
      <c r="L18" s="283">
        <f>IF(J19="",K19,J19)</f>
        <v>0.85624999999999996</v>
      </c>
      <c r="M18" s="284"/>
      <c r="N18" s="328">
        <f>L18-J18</f>
        <v>7.0138888888888862E-2</v>
      </c>
      <c r="O18" s="327"/>
      <c r="T18" s="200"/>
      <c r="U18" s="200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</row>
    <row r="19" spans="1:35" ht="24" customHeight="1" thickBot="1" x14ac:dyDescent="0.3">
      <c r="A19" s="201"/>
      <c r="B19" s="293"/>
      <c r="C19" s="293"/>
      <c r="D19" s="283">
        <f>IF(F18="",E18,F18)</f>
        <v>0.74722222222222223</v>
      </c>
      <c r="E19" s="284"/>
      <c r="F19" s="283">
        <f>IF(D20="",E20,D20)</f>
        <v>0.79583333333333328</v>
      </c>
      <c r="G19" s="284"/>
      <c r="H19" s="285">
        <f>F19-D19</f>
        <v>4.8611111111111049E-2</v>
      </c>
      <c r="I19" s="287"/>
      <c r="J19" s="244">
        <v>0.85624999999999996</v>
      </c>
      <c r="K19" s="245">
        <v>0.87638888888888888</v>
      </c>
      <c r="L19" s="253">
        <v>0.89513888888888893</v>
      </c>
      <c r="M19" s="254">
        <f t="shared" ref="M19:M20" si="6">L19-J19</f>
        <v>3.8888888888888973E-2</v>
      </c>
      <c r="N19" s="250">
        <v>110</v>
      </c>
      <c r="O19" s="251">
        <v>2</v>
      </c>
      <c r="T19" s="200"/>
      <c r="U19" s="200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</row>
    <row r="20" spans="1:35" ht="24" customHeight="1" x14ac:dyDescent="0.25">
      <c r="A20" s="201"/>
      <c r="B20" s="293"/>
      <c r="C20" s="293"/>
      <c r="D20" s="239">
        <v>0.79583333333333328</v>
      </c>
      <c r="E20" s="240">
        <v>0.82152777777777775</v>
      </c>
      <c r="F20" s="240">
        <v>0.84375</v>
      </c>
      <c r="G20" s="241">
        <f>F20-D20</f>
        <v>4.7916666666666718E-2</v>
      </c>
      <c r="H20" s="242">
        <v>110</v>
      </c>
      <c r="I20" s="243">
        <v>1</v>
      </c>
      <c r="J20" s="239">
        <v>0.91666666666666663</v>
      </c>
      <c r="K20" s="240">
        <v>0.9375</v>
      </c>
      <c r="L20" s="240">
        <v>0.95763888888888893</v>
      </c>
      <c r="M20" s="241">
        <f t="shared" si="6"/>
        <v>4.0972222222222299E-2</v>
      </c>
      <c r="N20" s="242">
        <v>110</v>
      </c>
      <c r="O20" s="252">
        <v>2</v>
      </c>
      <c r="T20" s="200"/>
      <c r="U20" s="200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</row>
    <row r="21" spans="1:35" ht="24" customHeight="1" thickBot="1" x14ac:dyDescent="0.3">
      <c r="A21" s="201"/>
      <c r="B21" s="293"/>
      <c r="C21" s="293"/>
      <c r="D21" s="255"/>
      <c r="E21" s="256"/>
      <c r="F21" s="256"/>
      <c r="G21" s="257"/>
      <c r="H21" s="258"/>
      <c r="I21" s="259"/>
      <c r="J21" s="260"/>
      <c r="K21" s="258"/>
      <c r="L21" s="258"/>
      <c r="M21" s="258"/>
      <c r="N21" s="258"/>
      <c r="O21" s="261"/>
      <c r="T21" s="200"/>
      <c r="U21" s="200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</row>
    <row r="22" spans="1:35" ht="24" customHeight="1" thickBot="1" x14ac:dyDescent="0.3">
      <c r="A22" s="201"/>
      <c r="B22" s="293"/>
      <c r="C22" s="290"/>
      <c r="D22" s="329" t="s">
        <v>29</v>
      </c>
      <c r="E22" s="287"/>
      <c r="F22" s="287"/>
      <c r="G22" s="287"/>
      <c r="H22" s="287"/>
      <c r="I22" s="284"/>
      <c r="J22" s="329" t="s">
        <v>29</v>
      </c>
      <c r="K22" s="287"/>
      <c r="L22" s="287"/>
      <c r="M22" s="287"/>
      <c r="N22" s="287"/>
      <c r="O22" s="284"/>
      <c r="T22" s="200"/>
      <c r="U22" s="246"/>
      <c r="V22" s="201"/>
      <c r="W22" s="201"/>
      <c r="X22" s="201"/>
      <c r="Y22" s="201"/>
      <c r="Z22" s="201"/>
      <c r="AA22" s="201"/>
      <c r="AB22" s="201"/>
      <c r="AC22" s="201"/>
      <c r="AD22" s="201"/>
      <c r="AE22" s="201"/>
      <c r="AF22" s="201"/>
      <c r="AG22" s="201"/>
      <c r="AH22" s="201"/>
      <c r="AI22" s="201"/>
    </row>
    <row r="23" spans="1:35" ht="24" customHeight="1" thickBot="1" x14ac:dyDescent="0.3">
      <c r="A23" s="201"/>
      <c r="B23" s="290"/>
      <c r="C23" s="247" t="s">
        <v>17</v>
      </c>
      <c r="D23" s="323">
        <f>MAX(E16:F21)-IF(D16="",E16,D16)-MIN(H16:H21)+$C13</f>
        <v>0.24722222222222229</v>
      </c>
      <c r="E23" s="324"/>
      <c r="F23" s="324"/>
      <c r="G23" s="282"/>
      <c r="H23" s="281">
        <f ca="1">OFFSET(H15,MATCH(MIN(H16:H21),H16:H21,0),-4)-IF(D16="",E16,D16)</f>
        <v>0.18541666666666667</v>
      </c>
      <c r="I23" s="282"/>
      <c r="J23" s="323">
        <f>MAX(K16:L20)-IF(J16="",K16,J16)-MIN(N16:N20)+$C13</f>
        <v>0.23888888888888898</v>
      </c>
      <c r="K23" s="324"/>
      <c r="L23" s="324"/>
      <c r="M23" s="282"/>
      <c r="N23" s="281">
        <f ca="1">OFFSET(N15,MATCH(MIN(N16:N20),N16:N20,0),-4)-IF(J16="",K16,J16)</f>
        <v>0.12361111111111112</v>
      </c>
      <c r="O23" s="282"/>
      <c r="T23" s="200"/>
      <c r="U23" s="200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</row>
    <row r="24" spans="1:35" ht="24" customHeight="1" x14ac:dyDescent="0.25">
      <c r="A24" s="201"/>
      <c r="S24" s="262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</row>
    <row r="25" spans="1:35" ht="24" customHeight="1" x14ac:dyDescent="0.25">
      <c r="A25" s="201"/>
      <c r="S25" s="262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</row>
    <row r="26" spans="1:35" ht="24" customHeight="1" x14ac:dyDescent="0.25">
      <c r="A26" s="201"/>
      <c r="S26" s="262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</row>
    <row r="27" spans="1:35" ht="24" customHeight="1" x14ac:dyDescent="0.25">
      <c r="A27" s="201"/>
      <c r="S27" s="262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</row>
    <row r="28" spans="1:35" ht="24" customHeight="1" x14ac:dyDescent="0.25">
      <c r="A28" s="201"/>
      <c r="S28" s="262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</row>
    <row r="29" spans="1:35" ht="24" customHeight="1" x14ac:dyDescent="0.25">
      <c r="A29" s="201"/>
      <c r="S29" s="262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</row>
    <row r="30" spans="1:35" ht="24" customHeight="1" x14ac:dyDescent="0.25">
      <c r="A30" s="201"/>
      <c r="S30" s="262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</row>
    <row r="31" spans="1:35" ht="24" customHeight="1" x14ac:dyDescent="0.25">
      <c r="A31" s="201"/>
      <c r="S31" s="262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</row>
    <row r="32" spans="1:35" ht="24" customHeight="1" x14ac:dyDescent="0.25">
      <c r="A32" s="201"/>
      <c r="S32" s="262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</row>
    <row r="33" spans="1:35" ht="24" customHeight="1" x14ac:dyDescent="0.25">
      <c r="A33" s="201"/>
      <c r="S33" s="262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</row>
    <row r="34" spans="1:35" ht="24" customHeight="1" x14ac:dyDescent="0.25">
      <c r="A34" s="201"/>
      <c r="S34" s="263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</row>
    <row r="35" spans="1:35" ht="24" customHeight="1" x14ac:dyDescent="0.25">
      <c r="A35" s="201"/>
      <c r="S35" s="263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</row>
    <row r="36" spans="1:35" ht="24" customHeight="1" x14ac:dyDescent="0.25">
      <c r="A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</row>
    <row r="37" spans="1:35" ht="24" customHeight="1" x14ac:dyDescent="0.25">
      <c r="A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</row>
    <row r="38" spans="1:35" ht="24" customHeight="1" x14ac:dyDescent="0.25">
      <c r="A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</row>
    <row r="39" spans="1:35" ht="24" customHeight="1" x14ac:dyDescent="0.25">
      <c r="A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</row>
    <row r="40" spans="1:35" ht="24" customHeight="1" x14ac:dyDescent="0.25">
      <c r="A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</row>
    <row r="41" spans="1:35" ht="24" customHeight="1" x14ac:dyDescent="0.25">
      <c r="A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</row>
    <row r="42" spans="1:35" ht="24" customHeight="1" x14ac:dyDescent="0.25">
      <c r="A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</row>
    <row r="43" spans="1:35" ht="24" customHeight="1" x14ac:dyDescent="0.25">
      <c r="A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</row>
    <row r="44" spans="1:35" ht="24" customHeight="1" x14ac:dyDescent="0.25">
      <c r="A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</row>
    <row r="45" spans="1:35" ht="24" customHeight="1" x14ac:dyDescent="0.25">
      <c r="A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</row>
    <row r="46" spans="1:35" ht="24" customHeight="1" x14ac:dyDescent="0.25">
      <c r="A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</row>
    <row r="47" spans="1:35" ht="24" customHeight="1" x14ac:dyDescent="0.25">
      <c r="A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</row>
    <row r="48" spans="1:35" ht="24" customHeight="1" x14ac:dyDescent="0.25">
      <c r="A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</row>
    <row r="49" spans="1:35" ht="24" customHeight="1" x14ac:dyDescent="0.25">
      <c r="A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</row>
    <row r="50" spans="1:35" ht="24" customHeight="1" x14ac:dyDescent="0.25">
      <c r="A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</row>
    <row r="51" spans="1:35" ht="24" customHeight="1" x14ac:dyDescent="0.25">
      <c r="A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</row>
    <row r="52" spans="1:35" ht="24" customHeight="1" x14ac:dyDescent="0.25">
      <c r="A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</row>
    <row r="53" spans="1:35" ht="24" customHeight="1" x14ac:dyDescent="0.25">
      <c r="A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</row>
    <row r="54" spans="1:35" ht="24" customHeight="1" x14ac:dyDescent="0.25">
      <c r="A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</row>
    <row r="55" spans="1:35" ht="24" customHeight="1" x14ac:dyDescent="0.25">
      <c r="A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</row>
    <row r="56" spans="1:35" ht="24" customHeight="1" x14ac:dyDescent="0.25">
      <c r="A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</row>
    <row r="57" spans="1:35" ht="24" customHeight="1" x14ac:dyDescent="0.25">
      <c r="A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</row>
    <row r="58" spans="1:35" ht="24" customHeight="1" x14ac:dyDescent="0.25">
      <c r="A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</row>
    <row r="59" spans="1:35" ht="24" customHeight="1" x14ac:dyDescent="0.25">
      <c r="A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</row>
    <row r="60" spans="1:35" ht="24" customHeight="1" x14ac:dyDescent="0.25">
      <c r="A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</row>
    <row r="61" spans="1:35" ht="24" customHeight="1" x14ac:dyDescent="0.25">
      <c r="A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</row>
    <row r="62" spans="1:35" ht="24" customHeight="1" x14ac:dyDescent="0.25">
      <c r="A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1"/>
      <c r="AD62" s="201"/>
      <c r="AE62" s="201"/>
      <c r="AF62" s="201"/>
      <c r="AG62" s="201"/>
      <c r="AH62" s="201"/>
      <c r="AI62" s="201"/>
    </row>
    <row r="63" spans="1:35" ht="24" customHeight="1" x14ac:dyDescent="0.25">
      <c r="A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</row>
    <row r="64" spans="1:35" ht="24" customHeight="1" x14ac:dyDescent="0.25">
      <c r="A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</row>
    <row r="65" spans="1:35" ht="24" customHeight="1" x14ac:dyDescent="0.25">
      <c r="A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</row>
    <row r="66" spans="1:35" ht="24" customHeight="1" x14ac:dyDescent="0.25">
      <c r="A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</row>
    <row r="67" spans="1:35" ht="24" customHeight="1" x14ac:dyDescent="0.25">
      <c r="A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</row>
    <row r="68" spans="1:35" ht="24" customHeight="1" x14ac:dyDescent="0.25">
      <c r="A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</row>
    <row r="69" spans="1:35" ht="24" customHeight="1" x14ac:dyDescent="0.25">
      <c r="A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</row>
    <row r="70" spans="1:35" ht="24" customHeight="1" x14ac:dyDescent="0.25">
      <c r="A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</row>
    <row r="71" spans="1:35" ht="24" customHeight="1" x14ac:dyDescent="0.25">
      <c r="A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</row>
    <row r="72" spans="1:35" ht="24" customHeight="1" x14ac:dyDescent="0.25">
      <c r="A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</row>
    <row r="73" spans="1:35" ht="24" customHeight="1" x14ac:dyDescent="0.25">
      <c r="A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</row>
    <row r="74" spans="1:35" ht="24" customHeight="1" x14ac:dyDescent="0.25">
      <c r="A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</row>
    <row r="75" spans="1:35" ht="24" customHeight="1" x14ac:dyDescent="0.25">
      <c r="A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</row>
    <row r="76" spans="1:35" ht="24" customHeight="1" x14ac:dyDescent="0.25">
      <c r="A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</row>
    <row r="77" spans="1:35" ht="24" customHeight="1" x14ac:dyDescent="0.25">
      <c r="A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</row>
    <row r="78" spans="1:35" ht="24" customHeight="1" x14ac:dyDescent="0.25">
      <c r="A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</row>
    <row r="79" spans="1:35" ht="24" customHeight="1" x14ac:dyDescent="0.25">
      <c r="A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</row>
    <row r="80" spans="1:35" ht="24" customHeight="1" x14ac:dyDescent="0.25">
      <c r="A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</row>
    <row r="81" spans="1:35" ht="24" customHeight="1" x14ac:dyDescent="0.25">
      <c r="A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  <c r="AD81" s="201"/>
      <c r="AE81" s="201"/>
      <c r="AF81" s="201"/>
      <c r="AG81" s="201"/>
      <c r="AH81" s="201"/>
      <c r="AI81" s="201"/>
    </row>
    <row r="82" spans="1:35" ht="24" customHeight="1" x14ac:dyDescent="0.25">
      <c r="A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</row>
    <row r="83" spans="1:35" ht="24" customHeight="1" x14ac:dyDescent="0.25">
      <c r="A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</row>
    <row r="84" spans="1:35" ht="24" customHeight="1" x14ac:dyDescent="0.25">
      <c r="A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</row>
    <row r="85" spans="1:35" ht="24" customHeight="1" x14ac:dyDescent="0.25">
      <c r="A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</row>
    <row r="86" spans="1:35" ht="24" customHeight="1" x14ac:dyDescent="0.25">
      <c r="A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</row>
    <row r="87" spans="1:35" ht="24" customHeight="1" x14ac:dyDescent="0.25">
      <c r="A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1"/>
      <c r="AD87" s="201"/>
      <c r="AE87" s="201"/>
      <c r="AF87" s="201"/>
      <c r="AG87" s="201"/>
      <c r="AH87" s="201"/>
      <c r="AI87" s="201"/>
    </row>
    <row r="88" spans="1:35" ht="24" customHeight="1" x14ac:dyDescent="0.25">
      <c r="A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</row>
    <row r="89" spans="1:35" ht="24" customHeight="1" x14ac:dyDescent="0.25">
      <c r="A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</row>
    <row r="90" spans="1:35" ht="24" customHeight="1" x14ac:dyDescent="0.25">
      <c r="A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</row>
    <row r="91" spans="1:35" ht="24" customHeight="1" x14ac:dyDescent="0.25">
      <c r="A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</row>
    <row r="92" spans="1:35" ht="24" customHeight="1" x14ac:dyDescent="0.25">
      <c r="A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</row>
    <row r="93" spans="1:35" ht="24" customHeight="1" x14ac:dyDescent="0.25">
      <c r="A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</row>
    <row r="94" spans="1:35" ht="24" customHeight="1" x14ac:dyDescent="0.25">
      <c r="A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</row>
    <row r="95" spans="1:35" ht="24" customHeight="1" x14ac:dyDescent="0.25">
      <c r="A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1"/>
      <c r="AE95" s="201"/>
      <c r="AF95" s="201"/>
      <c r="AG95" s="201"/>
      <c r="AH95" s="201"/>
      <c r="AI95" s="201"/>
    </row>
    <row r="96" spans="1:35" ht="24" customHeight="1" x14ac:dyDescent="0.25">
      <c r="A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</row>
    <row r="97" spans="1:35" ht="24" customHeight="1" x14ac:dyDescent="0.25">
      <c r="A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</row>
    <row r="98" spans="1:35" ht="24" customHeight="1" x14ac:dyDescent="0.25">
      <c r="A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</row>
    <row r="99" spans="1:35" ht="24" customHeight="1" x14ac:dyDescent="0.25">
      <c r="A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</row>
    <row r="100" spans="1:35" ht="24" customHeight="1" x14ac:dyDescent="0.25">
      <c r="A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</row>
    <row r="101" spans="1:35" ht="24" customHeight="1" x14ac:dyDescent="0.25">
      <c r="A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</row>
    <row r="102" spans="1:35" ht="24" customHeight="1" x14ac:dyDescent="0.25">
      <c r="A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</row>
    <row r="103" spans="1:35" ht="24" customHeight="1" x14ac:dyDescent="0.25">
      <c r="A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</row>
    <row r="104" spans="1:35" ht="24" customHeight="1" x14ac:dyDescent="0.25">
      <c r="A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</row>
    <row r="105" spans="1:35" ht="24" customHeight="1" x14ac:dyDescent="0.25">
      <c r="A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</row>
    <row r="106" spans="1:35" ht="24" customHeight="1" x14ac:dyDescent="0.25">
      <c r="A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/>
    </row>
    <row r="107" spans="1:35" ht="24" customHeight="1" x14ac:dyDescent="0.25">
      <c r="A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</row>
    <row r="108" spans="1:35" ht="24" customHeight="1" x14ac:dyDescent="0.25">
      <c r="A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</row>
    <row r="109" spans="1:35" ht="24" customHeight="1" x14ac:dyDescent="0.25">
      <c r="A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</row>
    <row r="110" spans="1:35" ht="24" customHeight="1" x14ac:dyDescent="0.25">
      <c r="A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</row>
    <row r="111" spans="1:35" ht="24" customHeight="1" x14ac:dyDescent="0.25">
      <c r="A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</row>
    <row r="112" spans="1:35" ht="24" customHeight="1" x14ac:dyDescent="0.25">
      <c r="A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</row>
    <row r="113" spans="1:35" ht="24" customHeight="1" x14ac:dyDescent="0.25">
      <c r="A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</row>
    <row r="114" spans="1:35" ht="24" customHeight="1" x14ac:dyDescent="0.25">
      <c r="A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</row>
    <row r="115" spans="1:35" ht="24" customHeight="1" x14ac:dyDescent="0.25">
      <c r="A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</row>
    <row r="116" spans="1:35" ht="24" customHeight="1" x14ac:dyDescent="0.25">
      <c r="A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</row>
    <row r="117" spans="1:35" ht="24" customHeight="1" x14ac:dyDescent="0.25">
      <c r="A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</row>
    <row r="118" spans="1:35" ht="24" customHeight="1" x14ac:dyDescent="0.25">
      <c r="A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</row>
    <row r="119" spans="1:35" ht="24" customHeight="1" x14ac:dyDescent="0.25">
      <c r="A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</row>
    <row r="120" spans="1:35" ht="24" customHeight="1" x14ac:dyDescent="0.25">
      <c r="A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</row>
    <row r="121" spans="1:35" ht="24" customHeight="1" x14ac:dyDescent="0.25">
      <c r="A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</row>
    <row r="122" spans="1:35" ht="24" customHeight="1" x14ac:dyDescent="0.25">
      <c r="A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</row>
    <row r="123" spans="1:35" ht="24" customHeight="1" x14ac:dyDescent="0.25">
      <c r="A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</row>
    <row r="124" spans="1:35" ht="24" customHeight="1" x14ac:dyDescent="0.25">
      <c r="A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</row>
    <row r="125" spans="1:35" ht="24" customHeight="1" x14ac:dyDescent="0.25">
      <c r="A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</row>
    <row r="126" spans="1:35" ht="24" customHeight="1" x14ac:dyDescent="0.25">
      <c r="A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</row>
    <row r="127" spans="1:35" ht="24" customHeight="1" x14ac:dyDescent="0.25">
      <c r="A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</row>
    <row r="128" spans="1:35" ht="24" customHeight="1" x14ac:dyDescent="0.25">
      <c r="A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</row>
    <row r="129" spans="1:35" ht="24" customHeight="1" x14ac:dyDescent="0.25">
      <c r="A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</row>
    <row r="130" spans="1:35" ht="24" customHeight="1" x14ac:dyDescent="0.25">
      <c r="A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</row>
    <row r="131" spans="1:35" ht="24" customHeight="1" x14ac:dyDescent="0.25">
      <c r="A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</row>
    <row r="132" spans="1:35" ht="24" customHeight="1" x14ac:dyDescent="0.25">
      <c r="A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  <c r="AC132" s="201"/>
      <c r="AD132" s="201"/>
      <c r="AE132" s="201"/>
      <c r="AF132" s="201"/>
      <c r="AG132" s="201"/>
      <c r="AH132" s="201"/>
      <c r="AI132" s="201"/>
    </row>
    <row r="133" spans="1:35" ht="24" customHeight="1" x14ac:dyDescent="0.25">
      <c r="A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</row>
    <row r="134" spans="1:35" ht="24" customHeight="1" x14ac:dyDescent="0.25">
      <c r="A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</row>
    <row r="135" spans="1:35" ht="24" customHeight="1" x14ac:dyDescent="0.25">
      <c r="A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</row>
    <row r="136" spans="1:35" ht="24" customHeight="1" x14ac:dyDescent="0.25">
      <c r="A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  <c r="AC136" s="201"/>
      <c r="AD136" s="201"/>
      <c r="AE136" s="201"/>
      <c r="AF136" s="201"/>
      <c r="AG136" s="201"/>
      <c r="AH136" s="201"/>
      <c r="AI136" s="201"/>
    </row>
    <row r="137" spans="1:35" ht="24" customHeight="1" x14ac:dyDescent="0.25">
      <c r="A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  <c r="AC137" s="201"/>
      <c r="AD137" s="201"/>
      <c r="AE137" s="201"/>
      <c r="AF137" s="201"/>
      <c r="AG137" s="201"/>
      <c r="AH137" s="201"/>
      <c r="AI137" s="201"/>
    </row>
    <row r="138" spans="1:35" ht="24" customHeight="1" x14ac:dyDescent="0.25">
      <c r="A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</row>
    <row r="139" spans="1:35" ht="24" customHeight="1" x14ac:dyDescent="0.25">
      <c r="A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</row>
    <row r="140" spans="1:35" ht="24" customHeight="1" x14ac:dyDescent="0.25">
      <c r="A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1"/>
    </row>
    <row r="141" spans="1:35" ht="24" customHeight="1" x14ac:dyDescent="0.25">
      <c r="A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  <c r="AI141" s="201"/>
    </row>
    <row r="142" spans="1:35" ht="24" customHeight="1" x14ac:dyDescent="0.25">
      <c r="A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</row>
    <row r="143" spans="1:35" ht="24" customHeight="1" x14ac:dyDescent="0.25">
      <c r="A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  <c r="AI143" s="201"/>
    </row>
    <row r="144" spans="1:35" ht="24" customHeight="1" x14ac:dyDescent="0.25">
      <c r="A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</row>
    <row r="145" spans="1:35" ht="24" customHeight="1" x14ac:dyDescent="0.25">
      <c r="A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</row>
    <row r="146" spans="1:35" ht="24" customHeight="1" x14ac:dyDescent="0.25">
      <c r="A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</row>
    <row r="147" spans="1:35" ht="24" customHeight="1" x14ac:dyDescent="0.25">
      <c r="A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</row>
    <row r="148" spans="1:35" ht="24" customHeight="1" x14ac:dyDescent="0.25">
      <c r="A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  <c r="AI148" s="201"/>
    </row>
    <row r="149" spans="1:35" ht="24" customHeight="1" x14ac:dyDescent="0.25">
      <c r="A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</row>
    <row r="150" spans="1:35" ht="24" customHeight="1" x14ac:dyDescent="0.25">
      <c r="A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</row>
    <row r="151" spans="1:35" ht="24" customHeight="1" x14ac:dyDescent="0.25">
      <c r="A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</row>
    <row r="152" spans="1:35" ht="24" customHeight="1" x14ac:dyDescent="0.25">
      <c r="A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</row>
    <row r="153" spans="1:35" ht="24" customHeight="1" x14ac:dyDescent="0.25">
      <c r="A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</row>
    <row r="154" spans="1:35" ht="24" customHeight="1" x14ac:dyDescent="0.25">
      <c r="A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</row>
    <row r="155" spans="1:35" ht="24" customHeight="1" x14ac:dyDescent="0.25">
      <c r="A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</row>
    <row r="156" spans="1:35" ht="24" customHeight="1" x14ac:dyDescent="0.25">
      <c r="A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</row>
    <row r="157" spans="1:35" ht="24" customHeight="1" x14ac:dyDescent="0.25">
      <c r="A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  <c r="AI157" s="201"/>
    </row>
    <row r="158" spans="1:35" ht="24" customHeight="1" x14ac:dyDescent="0.25">
      <c r="A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  <c r="AI158" s="201"/>
    </row>
    <row r="159" spans="1:35" ht="24" customHeight="1" x14ac:dyDescent="0.25">
      <c r="A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</row>
    <row r="160" spans="1:35" ht="24" customHeight="1" x14ac:dyDescent="0.25">
      <c r="A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1"/>
      <c r="AD160" s="201"/>
      <c r="AE160" s="201"/>
      <c r="AF160" s="201"/>
      <c r="AG160" s="201"/>
      <c r="AH160" s="201"/>
      <c r="AI160" s="201"/>
    </row>
    <row r="161" spans="1:35" ht="24" customHeight="1" x14ac:dyDescent="0.25">
      <c r="A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1"/>
      <c r="AD161" s="201"/>
      <c r="AE161" s="201"/>
      <c r="AF161" s="201"/>
      <c r="AG161" s="201"/>
      <c r="AH161" s="201"/>
      <c r="AI161" s="201"/>
    </row>
    <row r="162" spans="1:35" ht="24" customHeight="1" x14ac:dyDescent="0.25">
      <c r="A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  <c r="AI162" s="201"/>
    </row>
    <row r="163" spans="1:35" ht="24" customHeight="1" x14ac:dyDescent="0.25">
      <c r="A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  <c r="AI163" s="201"/>
    </row>
    <row r="164" spans="1:35" ht="24" customHeight="1" x14ac:dyDescent="0.25">
      <c r="A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1"/>
      <c r="AD164" s="201"/>
      <c r="AE164" s="201"/>
      <c r="AF164" s="201"/>
      <c r="AG164" s="201"/>
      <c r="AH164" s="201"/>
      <c r="AI164" s="201"/>
    </row>
    <row r="165" spans="1:35" ht="24" customHeight="1" x14ac:dyDescent="0.25">
      <c r="A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</row>
    <row r="166" spans="1:35" ht="24" customHeight="1" x14ac:dyDescent="0.25">
      <c r="A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  <c r="AI166" s="201"/>
    </row>
    <row r="167" spans="1:35" ht="24" customHeight="1" x14ac:dyDescent="0.25">
      <c r="A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1"/>
      <c r="AD167" s="201"/>
      <c r="AE167" s="201"/>
      <c r="AF167" s="201"/>
      <c r="AG167" s="201"/>
      <c r="AH167" s="201"/>
      <c r="AI167" s="201"/>
    </row>
    <row r="168" spans="1:35" ht="24" customHeight="1" x14ac:dyDescent="0.25">
      <c r="A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  <c r="AI168" s="201"/>
    </row>
    <row r="169" spans="1:35" ht="24" customHeight="1" x14ac:dyDescent="0.25">
      <c r="A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  <c r="AC169" s="201"/>
      <c r="AD169" s="201"/>
      <c r="AE169" s="201"/>
      <c r="AF169" s="201"/>
      <c r="AG169" s="201"/>
      <c r="AH169" s="201"/>
      <c r="AI169" s="201"/>
    </row>
    <row r="170" spans="1:35" ht="24" customHeight="1" x14ac:dyDescent="0.25">
      <c r="A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201"/>
      <c r="AG170" s="201"/>
      <c r="AH170" s="201"/>
      <c r="AI170" s="201"/>
    </row>
    <row r="171" spans="1:35" ht="24" customHeight="1" x14ac:dyDescent="0.25">
      <c r="A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  <c r="AC171" s="201"/>
      <c r="AD171" s="201"/>
      <c r="AE171" s="201"/>
      <c r="AF171" s="201"/>
      <c r="AG171" s="201"/>
      <c r="AH171" s="201"/>
      <c r="AI171" s="201"/>
    </row>
    <row r="172" spans="1:35" ht="24" customHeight="1" x14ac:dyDescent="0.25">
      <c r="A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/>
      <c r="AI172" s="201"/>
    </row>
    <row r="173" spans="1:35" ht="24" customHeight="1" x14ac:dyDescent="0.25">
      <c r="A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  <c r="AI173" s="201"/>
    </row>
    <row r="174" spans="1:35" ht="24" customHeight="1" x14ac:dyDescent="0.25">
      <c r="A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/>
      <c r="AI174" s="201"/>
    </row>
    <row r="175" spans="1:35" ht="24" customHeight="1" x14ac:dyDescent="0.25">
      <c r="A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  <c r="AI175" s="201"/>
    </row>
    <row r="176" spans="1:35" ht="24" customHeight="1" x14ac:dyDescent="0.25">
      <c r="A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  <c r="AI176" s="201"/>
    </row>
    <row r="177" spans="1:35" ht="24" customHeight="1" x14ac:dyDescent="0.25">
      <c r="A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</row>
    <row r="178" spans="1:35" ht="24" customHeight="1" x14ac:dyDescent="0.25">
      <c r="A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  <c r="AC178" s="201"/>
      <c r="AD178" s="201"/>
      <c r="AE178" s="201"/>
      <c r="AF178" s="201"/>
      <c r="AG178" s="201"/>
      <c r="AH178" s="201"/>
      <c r="AI178" s="201"/>
    </row>
    <row r="179" spans="1:35" ht="24" customHeight="1" x14ac:dyDescent="0.25">
      <c r="A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201"/>
      <c r="AG179" s="201"/>
      <c r="AH179" s="201"/>
      <c r="AI179" s="201"/>
    </row>
    <row r="180" spans="1:35" ht="24" customHeight="1" x14ac:dyDescent="0.25">
      <c r="A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/>
    </row>
    <row r="181" spans="1:35" ht="24" customHeight="1" x14ac:dyDescent="0.25">
      <c r="A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/>
    </row>
    <row r="182" spans="1:35" ht="24" customHeight="1" x14ac:dyDescent="0.25">
      <c r="A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</row>
    <row r="183" spans="1:35" ht="24" customHeight="1" x14ac:dyDescent="0.25">
      <c r="A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/>
    </row>
    <row r="184" spans="1:35" ht="24" customHeight="1" x14ac:dyDescent="0.25">
      <c r="A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/>
    </row>
    <row r="185" spans="1:35" ht="24" customHeight="1" x14ac:dyDescent="0.25">
      <c r="A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  <c r="AI185" s="201"/>
    </row>
    <row r="186" spans="1:35" ht="24" customHeight="1" x14ac:dyDescent="0.25">
      <c r="A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  <c r="AI186" s="201"/>
    </row>
    <row r="187" spans="1:35" ht="24" customHeight="1" x14ac:dyDescent="0.25">
      <c r="A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</row>
    <row r="188" spans="1:35" ht="24" customHeight="1" x14ac:dyDescent="0.25">
      <c r="A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</row>
    <row r="189" spans="1:35" ht="24" customHeight="1" x14ac:dyDescent="0.25">
      <c r="A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  <c r="AI189" s="201"/>
    </row>
    <row r="190" spans="1:35" ht="24" customHeight="1" x14ac:dyDescent="0.25">
      <c r="A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</row>
    <row r="191" spans="1:35" ht="24" customHeight="1" x14ac:dyDescent="0.25">
      <c r="A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</row>
    <row r="192" spans="1:35" ht="24" customHeight="1" x14ac:dyDescent="0.25">
      <c r="A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</row>
    <row r="193" spans="1:35" ht="24" customHeight="1" x14ac:dyDescent="0.25">
      <c r="A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  <c r="AD193" s="201"/>
      <c r="AE193" s="201"/>
      <c r="AF193" s="201"/>
      <c r="AG193" s="201"/>
      <c r="AH193" s="201"/>
      <c r="AI193" s="201"/>
    </row>
    <row r="194" spans="1:35" ht="24" customHeight="1" x14ac:dyDescent="0.25">
      <c r="A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1"/>
      <c r="AD194" s="201"/>
      <c r="AE194" s="201"/>
      <c r="AF194" s="201"/>
      <c r="AG194" s="201"/>
      <c r="AH194" s="201"/>
      <c r="AI194" s="201"/>
    </row>
  </sheetData>
  <mergeCells count="39">
    <mergeCell ref="N9:O9"/>
    <mergeCell ref="B2:B23"/>
    <mergeCell ref="C2:O2"/>
    <mergeCell ref="P2:S2"/>
    <mergeCell ref="C3:C4"/>
    <mergeCell ref="D3:O3"/>
    <mergeCell ref="P3:S3"/>
    <mergeCell ref="D4:I4"/>
    <mergeCell ref="J4:O4"/>
    <mergeCell ref="P4:S4"/>
    <mergeCell ref="C5:C11"/>
    <mergeCell ref="D9:E9"/>
    <mergeCell ref="F9:G9"/>
    <mergeCell ref="H9:I9"/>
    <mergeCell ref="J9:K9"/>
    <mergeCell ref="L9:M9"/>
    <mergeCell ref="J22:O22"/>
    <mergeCell ref="D11:I11"/>
    <mergeCell ref="J11:O11"/>
    <mergeCell ref="D12:G12"/>
    <mergeCell ref="H12:I12"/>
    <mergeCell ref="J12:M12"/>
    <mergeCell ref="N12:O12"/>
    <mergeCell ref="D23:G23"/>
    <mergeCell ref="H23:I23"/>
    <mergeCell ref="J23:M23"/>
    <mergeCell ref="N23:O23"/>
    <mergeCell ref="C13:C14"/>
    <mergeCell ref="D13:O13"/>
    <mergeCell ref="D14:I14"/>
    <mergeCell ref="J14:O14"/>
    <mergeCell ref="C15:C22"/>
    <mergeCell ref="J18:K18"/>
    <mergeCell ref="L18:M18"/>
    <mergeCell ref="N18:O18"/>
    <mergeCell ref="D19:E19"/>
    <mergeCell ref="F19:G19"/>
    <mergeCell ref="H19:I19"/>
    <mergeCell ref="D22:I22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256" priority="2" stopIfTrue="1">
      <formula>LEN($D4)=14</formula>
    </cfRule>
  </conditionalFormatting>
  <conditionalFormatting sqref="J4:O4">
    <cfRule type="expression" dxfId="255" priority="3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B02C-4193-405D-87BE-A0B677FC9DC2}">
  <dimension ref="A1:AA963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cols>
    <col min="1" max="16384" width="8.7109375" style="202"/>
  </cols>
  <sheetData>
    <row r="1" spans="1:27" ht="24" customHeight="1" thickBo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0"/>
      <c r="X1" s="200"/>
      <c r="Y1" s="200"/>
      <c r="Z1" s="200"/>
      <c r="AA1" s="201"/>
    </row>
    <row r="2" spans="1:27" ht="24" customHeight="1" thickBot="1" x14ac:dyDescent="0.3">
      <c r="A2" s="200"/>
      <c r="B2" s="295">
        <v>45717</v>
      </c>
      <c r="C2" s="333" t="s">
        <v>137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97" t="s">
        <v>98</v>
      </c>
      <c r="Q2" s="287"/>
      <c r="R2" s="287"/>
      <c r="S2" s="284"/>
      <c r="T2" s="201"/>
      <c r="U2" s="201"/>
      <c r="V2" s="201"/>
      <c r="W2" s="200"/>
      <c r="X2" s="200"/>
      <c r="Y2" s="200"/>
      <c r="Z2" s="200"/>
      <c r="AA2" s="201"/>
    </row>
    <row r="3" spans="1:27" ht="24" customHeight="1" thickBot="1" x14ac:dyDescent="0.3">
      <c r="A3" s="200"/>
      <c r="B3" s="293"/>
      <c r="C3" s="325">
        <v>1.3888888888888888E-2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4"/>
      <c r="P3" s="298" t="s">
        <v>99</v>
      </c>
      <c r="Q3" s="287"/>
      <c r="R3" s="287"/>
      <c r="S3" s="284"/>
      <c r="T3" s="201"/>
      <c r="U3" s="201"/>
      <c r="V3" s="201"/>
      <c r="W3" s="200"/>
      <c r="X3" s="200"/>
      <c r="Y3" s="200"/>
      <c r="Z3" s="200"/>
      <c r="AA3" s="201"/>
    </row>
    <row r="4" spans="1:27" ht="24" customHeight="1" thickBot="1" x14ac:dyDescent="0.3">
      <c r="A4" s="200"/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7" t="str">
        <f>CONCATENATE(COUNT(P6:P72,R6:R72)," VIAGENS")</f>
        <v>28 VIAGENS</v>
      </c>
      <c r="Q4" s="287"/>
      <c r="R4" s="287"/>
      <c r="S4" s="284"/>
      <c r="T4" s="201"/>
      <c r="U4" s="201"/>
      <c r="V4" s="201"/>
      <c r="W4" s="200"/>
      <c r="X4" s="200"/>
      <c r="Y4" s="200"/>
      <c r="Z4" s="200"/>
      <c r="AA4" s="201"/>
    </row>
    <row r="5" spans="1:27" ht="24" customHeight="1" thickBot="1" x14ac:dyDescent="0.3">
      <c r="A5" s="200"/>
      <c r="B5" s="293"/>
      <c r="C5" s="331" t="s">
        <v>7</v>
      </c>
      <c r="D5" s="203" t="s">
        <v>8</v>
      </c>
      <c r="E5" s="204" t="s">
        <v>9</v>
      </c>
      <c r="F5" s="205" t="s">
        <v>10</v>
      </c>
      <c r="G5" s="204" t="s">
        <v>11</v>
      </c>
      <c r="H5" s="205" t="s">
        <v>12</v>
      </c>
      <c r="I5" s="204" t="s">
        <v>13</v>
      </c>
      <c r="J5" s="203" t="s">
        <v>8</v>
      </c>
      <c r="K5" s="204" t="s">
        <v>9</v>
      </c>
      <c r="L5" s="205" t="s">
        <v>10</v>
      </c>
      <c r="M5" s="204" t="s">
        <v>11</v>
      </c>
      <c r="N5" s="205" t="s">
        <v>12</v>
      </c>
      <c r="O5" s="204" t="s">
        <v>13</v>
      </c>
      <c r="P5" s="203" t="s">
        <v>14</v>
      </c>
      <c r="Q5" s="204" t="s">
        <v>15</v>
      </c>
      <c r="R5" s="203" t="s">
        <v>14</v>
      </c>
      <c r="S5" s="204" t="s">
        <v>15</v>
      </c>
      <c r="T5" s="201"/>
      <c r="U5" s="201"/>
      <c r="V5" s="201"/>
      <c r="W5" s="200"/>
      <c r="X5" s="200"/>
      <c r="Y5" s="200"/>
      <c r="Z5" s="200"/>
      <c r="AA5" s="201"/>
    </row>
    <row r="6" spans="1:27" ht="24" customHeight="1" x14ac:dyDescent="0.25">
      <c r="A6" s="200"/>
      <c r="B6" s="293"/>
      <c r="C6" s="332"/>
      <c r="D6" s="206">
        <v>0.20833333333333334</v>
      </c>
      <c r="E6" s="207">
        <v>0.21736111111111112</v>
      </c>
      <c r="F6" s="207">
        <v>0.22916666666666666</v>
      </c>
      <c r="G6" s="208">
        <f t="shared" ref="G6:G9" si="0">F6-D6</f>
        <v>2.0833333333333315E-2</v>
      </c>
      <c r="H6" s="209">
        <v>111</v>
      </c>
      <c r="I6" s="210">
        <v>1</v>
      </c>
      <c r="J6" s="206">
        <v>0.25138888888888888</v>
      </c>
      <c r="K6" s="207">
        <v>0.26041666666666669</v>
      </c>
      <c r="L6" s="207">
        <v>0.27638888888888885</v>
      </c>
      <c r="M6" s="208">
        <f t="shared" ref="M6:M9" si="1">L6-J6</f>
        <v>2.4999999999999967E-2</v>
      </c>
      <c r="N6" s="209">
        <v>111</v>
      </c>
      <c r="O6" s="210">
        <v>2</v>
      </c>
      <c r="P6" s="206">
        <v>0.20833333333333334</v>
      </c>
      <c r="Q6" s="211"/>
      <c r="R6" s="207">
        <v>0.5180555555555556</v>
      </c>
      <c r="S6" s="212">
        <f>R6-P19</f>
        <v>2.0138888888888984E-2</v>
      </c>
      <c r="T6" s="201"/>
      <c r="U6" s="201"/>
      <c r="V6" s="201"/>
      <c r="W6" s="200"/>
      <c r="X6" s="200"/>
      <c r="Y6" s="200"/>
      <c r="Z6" s="200"/>
      <c r="AA6" s="201"/>
    </row>
    <row r="7" spans="1:27" ht="24" customHeight="1" x14ac:dyDescent="0.25">
      <c r="A7" s="200"/>
      <c r="B7" s="293"/>
      <c r="C7" s="332"/>
      <c r="D7" s="213">
        <v>0.23402777777777781</v>
      </c>
      <c r="E7" s="214">
        <v>0.24305555555555555</v>
      </c>
      <c r="F7" s="214">
        <v>0.25763888888888892</v>
      </c>
      <c r="G7" s="215">
        <f t="shared" si="0"/>
        <v>2.361111111111111E-2</v>
      </c>
      <c r="H7" s="216">
        <v>111</v>
      </c>
      <c r="I7" s="217">
        <v>1</v>
      </c>
      <c r="J7" s="213">
        <v>0.28611111111111115</v>
      </c>
      <c r="K7" s="214">
        <v>0.2951388888888889</v>
      </c>
      <c r="L7" s="214">
        <v>0.3125</v>
      </c>
      <c r="M7" s="215">
        <f t="shared" si="1"/>
        <v>2.6388888888888851E-2</v>
      </c>
      <c r="N7" s="216">
        <v>111</v>
      </c>
      <c r="O7" s="217">
        <v>2</v>
      </c>
      <c r="P7" s="213">
        <v>0.23402777777777781</v>
      </c>
      <c r="Q7" s="218">
        <f t="shared" ref="Q7:Q19" si="2">P7-P6</f>
        <v>2.5694444444444464E-2</v>
      </c>
      <c r="R7" s="214">
        <v>0.54236111111111118</v>
      </c>
      <c r="S7" s="219">
        <f t="shared" ref="S7:S19" si="3">R7-R6</f>
        <v>2.430555555555558E-2</v>
      </c>
      <c r="T7" s="201"/>
      <c r="U7" s="201"/>
      <c r="V7" s="201"/>
      <c r="W7" s="200"/>
      <c r="X7" s="200"/>
      <c r="Y7" s="200"/>
      <c r="Z7" s="200"/>
      <c r="AA7" s="201"/>
    </row>
    <row r="8" spans="1:27" ht="24" customHeight="1" x14ac:dyDescent="0.25">
      <c r="A8" s="200"/>
      <c r="B8" s="293"/>
      <c r="C8" s="332"/>
      <c r="D8" s="213">
        <v>0.26874999999999999</v>
      </c>
      <c r="E8" s="214">
        <v>0.27777777777777779</v>
      </c>
      <c r="F8" s="214">
        <v>0.29375000000000001</v>
      </c>
      <c r="G8" s="215">
        <f t="shared" si="0"/>
        <v>2.5000000000000022E-2</v>
      </c>
      <c r="H8" s="216">
        <v>111</v>
      </c>
      <c r="I8" s="217">
        <v>1</v>
      </c>
      <c r="J8" s="213">
        <v>0.32083333333333336</v>
      </c>
      <c r="K8" s="214">
        <v>0.33055555555555555</v>
      </c>
      <c r="L8" s="214">
        <v>0.34791666666666665</v>
      </c>
      <c r="M8" s="215">
        <f t="shared" si="1"/>
        <v>2.7083333333333293E-2</v>
      </c>
      <c r="N8" s="216">
        <v>111</v>
      </c>
      <c r="O8" s="217">
        <v>2</v>
      </c>
      <c r="P8" s="213">
        <v>0.25138888888888888</v>
      </c>
      <c r="Q8" s="218">
        <f t="shared" si="2"/>
        <v>1.7361111111111077E-2</v>
      </c>
      <c r="R8" s="214">
        <v>0.57638888888888895</v>
      </c>
      <c r="S8" s="219">
        <f t="shared" si="3"/>
        <v>3.4027777777777768E-2</v>
      </c>
      <c r="T8" s="201"/>
      <c r="U8" s="201"/>
      <c r="V8" s="201"/>
      <c r="W8" s="200"/>
      <c r="X8" s="200"/>
      <c r="Y8" s="200"/>
      <c r="Z8" s="200"/>
      <c r="AA8" s="201"/>
    </row>
    <row r="9" spans="1:27" ht="24" customHeight="1" thickBot="1" x14ac:dyDescent="0.3">
      <c r="A9" s="200"/>
      <c r="B9" s="293"/>
      <c r="C9" s="332"/>
      <c r="D9" s="213">
        <v>0.3034722222222222</v>
      </c>
      <c r="E9" s="214">
        <v>0.31319444444444444</v>
      </c>
      <c r="F9" s="214">
        <v>0.33055555555555555</v>
      </c>
      <c r="G9" s="215">
        <f t="shared" si="0"/>
        <v>2.7083333333333348E-2</v>
      </c>
      <c r="H9" s="216">
        <v>111</v>
      </c>
      <c r="I9" s="217">
        <v>1</v>
      </c>
      <c r="J9" s="213">
        <v>0.35486111111111113</v>
      </c>
      <c r="K9" s="214">
        <v>0.36527777777777781</v>
      </c>
      <c r="L9" s="214">
        <v>0.3833333333333333</v>
      </c>
      <c r="M9" s="215">
        <f t="shared" si="1"/>
        <v>2.8472222222222177E-2</v>
      </c>
      <c r="N9" s="216">
        <v>111</v>
      </c>
      <c r="O9" s="217">
        <v>2</v>
      </c>
      <c r="P9" s="213">
        <v>0.26874999999999999</v>
      </c>
      <c r="Q9" s="218">
        <f t="shared" si="2"/>
        <v>1.7361111111111105E-2</v>
      </c>
      <c r="R9" s="214">
        <v>0.59930555555555554</v>
      </c>
      <c r="S9" s="219">
        <f t="shared" si="3"/>
        <v>2.2916666666666585E-2</v>
      </c>
      <c r="T9" s="201"/>
      <c r="U9" s="201"/>
      <c r="V9" s="201"/>
      <c r="W9" s="200"/>
      <c r="X9" s="200"/>
      <c r="Y9" s="200"/>
      <c r="Z9" s="200"/>
      <c r="AA9" s="201"/>
    </row>
    <row r="10" spans="1:27" ht="24" customHeight="1" thickBot="1" x14ac:dyDescent="0.3">
      <c r="A10" s="200"/>
      <c r="B10" s="293"/>
      <c r="C10" s="332"/>
      <c r="D10" s="283">
        <f>F9</f>
        <v>0.33055555555555555</v>
      </c>
      <c r="E10" s="284"/>
      <c r="F10" s="283">
        <f>D11</f>
        <v>0.37916666666666665</v>
      </c>
      <c r="G10" s="284"/>
      <c r="H10" s="285">
        <f>F10-D10</f>
        <v>4.8611111111111105E-2</v>
      </c>
      <c r="I10" s="284"/>
      <c r="J10" s="283">
        <f>L9</f>
        <v>0.3833333333333333</v>
      </c>
      <c r="K10" s="284"/>
      <c r="L10" s="283">
        <f>J11</f>
        <v>0.4375</v>
      </c>
      <c r="M10" s="284"/>
      <c r="N10" s="285">
        <f>L10-J10</f>
        <v>5.4166666666666696E-2</v>
      </c>
      <c r="O10" s="284"/>
      <c r="P10" s="213">
        <v>0.28611111111111115</v>
      </c>
      <c r="Q10" s="218">
        <f t="shared" si="2"/>
        <v>1.736111111111116E-2</v>
      </c>
      <c r="R10" s="214">
        <v>0.62222222222222223</v>
      </c>
      <c r="S10" s="219">
        <f t="shared" si="3"/>
        <v>2.2916666666666696E-2</v>
      </c>
      <c r="T10" s="201"/>
      <c r="U10" s="201"/>
      <c r="V10" s="201"/>
      <c r="W10" s="200"/>
      <c r="X10" s="200"/>
      <c r="Y10" s="200"/>
      <c r="Z10" s="200"/>
      <c r="AA10" s="201"/>
    </row>
    <row r="11" spans="1:27" ht="24" customHeight="1" x14ac:dyDescent="0.25">
      <c r="A11" s="200"/>
      <c r="B11" s="293"/>
      <c r="C11" s="332"/>
      <c r="D11" s="213">
        <v>0.37916666666666665</v>
      </c>
      <c r="E11" s="214">
        <v>0.3888888888888889</v>
      </c>
      <c r="F11" s="214">
        <v>0.41041666666666665</v>
      </c>
      <c r="G11" s="215">
        <f t="shared" ref="G11:G14" si="4">F11-D11</f>
        <v>3.125E-2</v>
      </c>
      <c r="H11" s="216">
        <v>111</v>
      </c>
      <c r="I11" s="217">
        <v>1</v>
      </c>
      <c r="J11" s="213">
        <v>0.4375</v>
      </c>
      <c r="K11" s="214">
        <v>0.44861111111111113</v>
      </c>
      <c r="L11" s="214">
        <v>0.47083333333333338</v>
      </c>
      <c r="M11" s="215">
        <f t="shared" ref="M11:M13" si="5">L11-J11</f>
        <v>3.3333333333333381E-2</v>
      </c>
      <c r="N11" s="216">
        <v>111</v>
      </c>
      <c r="O11" s="217">
        <v>2</v>
      </c>
      <c r="P11" s="213">
        <v>0.3034722222222222</v>
      </c>
      <c r="Q11" s="218">
        <f t="shared" si="2"/>
        <v>1.7361111111111049E-2</v>
      </c>
      <c r="R11" s="214">
        <v>0.64513888888888882</v>
      </c>
      <c r="S11" s="219">
        <f t="shared" si="3"/>
        <v>2.2916666666666585E-2</v>
      </c>
      <c r="T11" s="201"/>
      <c r="U11" s="201"/>
      <c r="V11" s="201"/>
      <c r="W11" s="200"/>
      <c r="X11" s="200"/>
      <c r="Y11" s="200"/>
      <c r="Z11" s="200"/>
      <c r="AA11" s="201"/>
    </row>
    <row r="12" spans="1:27" ht="24" customHeight="1" x14ac:dyDescent="0.25">
      <c r="A12" s="200"/>
      <c r="B12" s="293"/>
      <c r="C12" s="332"/>
      <c r="D12" s="213">
        <v>0.41736111111111113</v>
      </c>
      <c r="E12" s="214">
        <v>0.4284722222222222</v>
      </c>
      <c r="F12" s="214">
        <v>0.45069444444444445</v>
      </c>
      <c r="G12" s="215">
        <f t="shared" si="4"/>
        <v>3.3333333333333326E-2</v>
      </c>
      <c r="H12" s="216">
        <v>111</v>
      </c>
      <c r="I12" s="217">
        <v>1</v>
      </c>
      <c r="J12" s="213">
        <v>0.4777777777777778</v>
      </c>
      <c r="K12" s="214">
        <v>0.48680555555555555</v>
      </c>
      <c r="L12" s="214">
        <v>0.51041666666666663</v>
      </c>
      <c r="M12" s="215">
        <f t="shared" si="5"/>
        <v>3.2638888888888828E-2</v>
      </c>
      <c r="N12" s="216">
        <v>111</v>
      </c>
      <c r="O12" s="217">
        <v>2</v>
      </c>
      <c r="P12" s="213">
        <v>0.32083333333333336</v>
      </c>
      <c r="Q12" s="218">
        <f t="shared" si="2"/>
        <v>1.736111111111116E-2</v>
      </c>
      <c r="R12" s="214">
        <v>0.66805555555555562</v>
      </c>
      <c r="S12" s="219">
        <f t="shared" si="3"/>
        <v>2.2916666666666807E-2</v>
      </c>
      <c r="T12" s="201"/>
      <c r="U12" s="201"/>
      <c r="V12" s="201"/>
      <c r="W12" s="200"/>
      <c r="X12" s="200"/>
      <c r="Y12" s="200"/>
      <c r="Z12" s="200"/>
      <c r="AA12" s="201"/>
    </row>
    <row r="13" spans="1:27" ht="24" customHeight="1" x14ac:dyDescent="0.25">
      <c r="A13" s="200"/>
      <c r="B13" s="293"/>
      <c r="C13" s="332"/>
      <c r="D13" s="213">
        <v>0.45763888888888887</v>
      </c>
      <c r="E13" s="214">
        <v>0.46875</v>
      </c>
      <c r="F13" s="214">
        <v>0.49236111111111108</v>
      </c>
      <c r="G13" s="215">
        <f t="shared" si="4"/>
        <v>3.472222222222221E-2</v>
      </c>
      <c r="H13" s="216">
        <v>111</v>
      </c>
      <c r="I13" s="217">
        <v>1</v>
      </c>
      <c r="J13" s="213">
        <v>0.5180555555555556</v>
      </c>
      <c r="K13" s="214">
        <v>0.52708333333333335</v>
      </c>
      <c r="L13" s="214">
        <v>0.54791666666666672</v>
      </c>
      <c r="M13" s="215">
        <f t="shared" si="5"/>
        <v>2.9861111111111116E-2</v>
      </c>
      <c r="N13" s="216">
        <v>111</v>
      </c>
      <c r="O13" s="217">
        <v>2</v>
      </c>
      <c r="P13" s="213">
        <v>0.35486111111111113</v>
      </c>
      <c r="Q13" s="218">
        <f t="shared" si="2"/>
        <v>3.4027777777777768E-2</v>
      </c>
      <c r="R13" s="214">
        <v>0.69097222222222221</v>
      </c>
      <c r="S13" s="219">
        <f t="shared" si="3"/>
        <v>2.2916666666666585E-2</v>
      </c>
      <c r="T13" s="201"/>
      <c r="U13" s="201"/>
      <c r="V13" s="201"/>
      <c r="W13" s="200"/>
      <c r="X13" s="200"/>
      <c r="Y13" s="200"/>
      <c r="Z13" s="200"/>
      <c r="AA13" s="201"/>
    </row>
    <row r="14" spans="1:27" ht="24" customHeight="1" thickBot="1" x14ac:dyDescent="0.3">
      <c r="A14" s="200"/>
      <c r="B14" s="293"/>
      <c r="C14" s="332"/>
      <c r="D14" s="220">
        <v>0.49791666666666662</v>
      </c>
      <c r="E14" s="221">
        <v>0.50694444444444442</v>
      </c>
      <c r="F14" s="221">
        <v>0.52777777777777779</v>
      </c>
      <c r="G14" s="222">
        <f t="shared" si="4"/>
        <v>2.9861111111111172E-2</v>
      </c>
      <c r="H14" s="223">
        <v>111</v>
      </c>
      <c r="I14" s="224">
        <v>1</v>
      </c>
      <c r="J14" s="225"/>
      <c r="K14" s="226"/>
      <c r="L14" s="226"/>
      <c r="M14" s="226"/>
      <c r="N14" s="226"/>
      <c r="O14" s="227"/>
      <c r="P14" s="213">
        <v>0.37916666666666665</v>
      </c>
      <c r="Q14" s="218">
        <f t="shared" si="2"/>
        <v>2.4305555555555525E-2</v>
      </c>
      <c r="R14" s="214">
        <v>0.71527777777777779</v>
      </c>
      <c r="S14" s="219">
        <f t="shared" si="3"/>
        <v>2.430555555555558E-2</v>
      </c>
      <c r="T14" s="201"/>
      <c r="U14" s="201"/>
      <c r="V14" s="201"/>
      <c r="W14" s="200"/>
      <c r="X14" s="200"/>
      <c r="Y14" s="200"/>
      <c r="Z14" s="200"/>
      <c r="AA14" s="201"/>
    </row>
    <row r="15" spans="1:27" ht="24" customHeight="1" thickBot="1" x14ac:dyDescent="0.3">
      <c r="A15" s="200"/>
      <c r="B15" s="293"/>
      <c r="C15" s="332"/>
      <c r="D15" s="297" t="s">
        <v>100</v>
      </c>
      <c r="E15" s="287"/>
      <c r="F15" s="287"/>
      <c r="G15" s="287"/>
      <c r="H15" s="287"/>
      <c r="I15" s="284"/>
      <c r="J15" s="297" t="s">
        <v>100</v>
      </c>
      <c r="K15" s="287"/>
      <c r="L15" s="287"/>
      <c r="M15" s="287"/>
      <c r="N15" s="287"/>
      <c r="O15" s="284"/>
      <c r="P15" s="228">
        <v>0.41736111111111113</v>
      </c>
      <c r="Q15" s="218">
        <f t="shared" si="2"/>
        <v>3.8194444444444475E-2</v>
      </c>
      <c r="R15" s="214">
        <v>0.73958333333333337</v>
      </c>
      <c r="S15" s="219">
        <f t="shared" si="3"/>
        <v>2.430555555555558E-2</v>
      </c>
      <c r="T15" s="201"/>
      <c r="U15" s="201"/>
      <c r="V15" s="201"/>
      <c r="W15" s="200"/>
      <c r="X15" s="200"/>
      <c r="Y15" s="200"/>
      <c r="Z15" s="200"/>
      <c r="AA15" s="201"/>
    </row>
    <row r="16" spans="1:27" ht="24" customHeight="1" thickBot="1" x14ac:dyDescent="0.3">
      <c r="A16" s="200"/>
      <c r="B16" s="293"/>
      <c r="C16" s="229" t="s">
        <v>17</v>
      </c>
      <c r="D16" s="323">
        <f>MAX(E6:F15)-IF(D6="",E6,D6)-MIN(H6:H14)+$C3</f>
        <v>0.28472222222222221</v>
      </c>
      <c r="E16" s="324"/>
      <c r="F16" s="324"/>
      <c r="G16" s="282"/>
      <c r="H16" s="281">
        <f ca="1">OFFSET(H5,MATCH(MIN(H6:H14),H6:H14,0),-4)-IF(D6="",E6,D6)+$C3</f>
        <v>0.1361111111111111</v>
      </c>
      <c r="I16" s="282"/>
      <c r="J16" s="323">
        <f>MAX(K6:L15)-IF(J6="",K6,J6)-MIN(N6:N14)+$C3</f>
        <v>0.25625000000000003</v>
      </c>
      <c r="K16" s="324"/>
      <c r="L16" s="324"/>
      <c r="M16" s="282"/>
      <c r="N16" s="281">
        <f ca="1">OFFSET(N5,MATCH(MIN(N6:N14),N6:N14,0),-4)-IF(J6="",K6,J6)+$C3</f>
        <v>0.14583333333333331</v>
      </c>
      <c r="O16" s="282"/>
      <c r="P16" s="213">
        <v>0.4375</v>
      </c>
      <c r="Q16" s="218">
        <f t="shared" si="2"/>
        <v>2.0138888888888873E-2</v>
      </c>
      <c r="R16" s="214">
        <v>0.77777777777777779</v>
      </c>
      <c r="S16" s="219">
        <f t="shared" si="3"/>
        <v>3.819444444444442E-2</v>
      </c>
      <c r="T16" s="201"/>
      <c r="U16" s="201"/>
      <c r="V16" s="201"/>
      <c r="W16" s="200"/>
      <c r="X16" s="200"/>
      <c r="Y16" s="200"/>
      <c r="Z16" s="200"/>
      <c r="AA16" s="201"/>
    </row>
    <row r="17" spans="1:27" ht="24" customHeight="1" thickBot="1" x14ac:dyDescent="0.3">
      <c r="A17" s="200"/>
      <c r="B17" s="293"/>
      <c r="C17" s="325">
        <v>1.3888888888888888E-2</v>
      </c>
      <c r="D17" s="291" t="s">
        <v>18</v>
      </c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4"/>
      <c r="P17" s="213">
        <v>0.45763888888888887</v>
      </c>
      <c r="Q17" s="218">
        <f t="shared" si="2"/>
        <v>2.0138888888888873E-2</v>
      </c>
      <c r="R17" s="214">
        <v>0.81597222222222221</v>
      </c>
      <c r="S17" s="219">
        <f t="shared" si="3"/>
        <v>3.819444444444442E-2</v>
      </c>
      <c r="T17" s="201"/>
      <c r="U17" s="201"/>
      <c r="V17" s="201"/>
      <c r="W17" s="200"/>
      <c r="X17" s="200"/>
      <c r="Y17" s="200"/>
      <c r="Z17" s="200"/>
      <c r="AA17" s="201"/>
    </row>
    <row r="18" spans="1:27" ht="24" customHeight="1" thickBot="1" x14ac:dyDescent="0.3">
      <c r="A18" s="200"/>
      <c r="B18" s="293"/>
      <c r="C18" s="290"/>
      <c r="D18" s="291" t="s">
        <v>19</v>
      </c>
      <c r="E18" s="287"/>
      <c r="F18" s="287"/>
      <c r="G18" s="287"/>
      <c r="H18" s="287"/>
      <c r="I18" s="284"/>
      <c r="J18" s="291" t="s">
        <v>20</v>
      </c>
      <c r="K18" s="287"/>
      <c r="L18" s="287"/>
      <c r="M18" s="287"/>
      <c r="N18" s="287"/>
      <c r="O18" s="284"/>
      <c r="P18" s="213">
        <v>0.4777777777777778</v>
      </c>
      <c r="Q18" s="218">
        <f t="shared" si="2"/>
        <v>2.0138888888888928E-2</v>
      </c>
      <c r="R18" s="214">
        <v>0.86597222222222225</v>
      </c>
      <c r="S18" s="219">
        <f t="shared" si="3"/>
        <v>5.0000000000000044E-2</v>
      </c>
      <c r="T18" s="201"/>
      <c r="U18" s="201"/>
      <c r="V18" s="201"/>
      <c r="W18" s="200"/>
      <c r="X18" s="200"/>
      <c r="Y18" s="200"/>
      <c r="Z18" s="200"/>
      <c r="AA18" s="201"/>
    </row>
    <row r="19" spans="1:27" ht="24" customHeight="1" thickBot="1" x14ac:dyDescent="0.3">
      <c r="A19" s="200"/>
      <c r="B19" s="293"/>
      <c r="C19" s="331" t="s">
        <v>7</v>
      </c>
      <c r="D19" s="203" t="s">
        <v>8</v>
      </c>
      <c r="E19" s="204" t="s">
        <v>9</v>
      </c>
      <c r="F19" s="205" t="s">
        <v>10</v>
      </c>
      <c r="G19" s="204" t="s">
        <v>11</v>
      </c>
      <c r="H19" s="205" t="s">
        <v>12</v>
      </c>
      <c r="I19" s="204" t="s">
        <v>13</v>
      </c>
      <c r="J19" s="203" t="s">
        <v>8</v>
      </c>
      <c r="K19" s="204" t="s">
        <v>9</v>
      </c>
      <c r="L19" s="205" t="s">
        <v>10</v>
      </c>
      <c r="M19" s="204" t="s">
        <v>11</v>
      </c>
      <c r="N19" s="205" t="s">
        <v>12</v>
      </c>
      <c r="O19" s="204" t="s">
        <v>13</v>
      </c>
      <c r="P19" s="230">
        <v>0.49791666666666662</v>
      </c>
      <c r="Q19" s="231">
        <f t="shared" si="2"/>
        <v>2.0138888888888817E-2</v>
      </c>
      <c r="R19" s="232">
        <v>0.91666666666666663</v>
      </c>
      <c r="S19" s="233">
        <f t="shared" si="3"/>
        <v>5.0694444444444375E-2</v>
      </c>
      <c r="T19" s="201"/>
      <c r="U19" s="201"/>
      <c r="V19" s="201"/>
      <c r="W19" s="200"/>
      <c r="X19" s="200"/>
      <c r="Y19" s="200"/>
      <c r="Z19" s="200"/>
      <c r="AA19" s="201"/>
    </row>
    <row r="20" spans="1:27" ht="24" customHeight="1" x14ac:dyDescent="0.25">
      <c r="A20" s="200"/>
      <c r="B20" s="293"/>
      <c r="C20" s="332"/>
      <c r="D20" s="206">
        <v>0.54236111111111118</v>
      </c>
      <c r="E20" s="207">
        <v>0.55138888888888882</v>
      </c>
      <c r="F20" s="207">
        <v>0.57152777777777775</v>
      </c>
      <c r="G20" s="208">
        <f t="shared" ref="G20:G24" si="6">F20-D20</f>
        <v>2.9166666666666563E-2</v>
      </c>
      <c r="H20" s="209">
        <v>111</v>
      </c>
      <c r="I20" s="210">
        <v>1</v>
      </c>
      <c r="J20" s="206">
        <v>0.59930555555555554</v>
      </c>
      <c r="K20" s="207">
        <v>0.60902777777777783</v>
      </c>
      <c r="L20" s="207">
        <v>0.62986111111111109</v>
      </c>
      <c r="M20" s="208">
        <f t="shared" ref="M20:M24" si="7">L20-J20</f>
        <v>3.0555555555555558E-2</v>
      </c>
      <c r="N20" s="209">
        <v>111</v>
      </c>
      <c r="O20" s="210">
        <v>2</v>
      </c>
      <c r="P20" s="234"/>
      <c r="Q20" s="234"/>
      <c r="R20" s="201"/>
      <c r="S20" s="201"/>
      <c r="T20" s="201"/>
      <c r="U20" s="201"/>
      <c r="V20" s="201"/>
      <c r="W20" s="200"/>
      <c r="X20" s="200"/>
      <c r="Y20" s="200"/>
      <c r="Z20" s="200"/>
      <c r="AA20" s="201"/>
    </row>
    <row r="21" spans="1:27" ht="24" customHeight="1" x14ac:dyDescent="0.25">
      <c r="A21" s="200"/>
      <c r="B21" s="293"/>
      <c r="C21" s="332"/>
      <c r="D21" s="213">
        <v>0.57638888888888895</v>
      </c>
      <c r="E21" s="214">
        <v>0.5854166666666667</v>
      </c>
      <c r="F21" s="214">
        <v>0.60625000000000007</v>
      </c>
      <c r="G21" s="215">
        <f t="shared" si="6"/>
        <v>2.9861111111111116E-2</v>
      </c>
      <c r="H21" s="216">
        <v>111</v>
      </c>
      <c r="I21" s="217">
        <v>1</v>
      </c>
      <c r="J21" s="213">
        <v>0.64513888888888882</v>
      </c>
      <c r="K21" s="214">
        <v>0.65416666666666667</v>
      </c>
      <c r="L21" s="214">
        <v>0.67499999999999993</v>
      </c>
      <c r="M21" s="215">
        <f t="shared" si="7"/>
        <v>2.9861111111111116E-2</v>
      </c>
      <c r="N21" s="216">
        <v>111</v>
      </c>
      <c r="O21" s="217">
        <v>2</v>
      </c>
      <c r="P21" s="234"/>
      <c r="Q21" s="234"/>
      <c r="R21" s="201"/>
      <c r="S21" s="201"/>
      <c r="T21" s="201"/>
      <c r="U21" s="201"/>
      <c r="V21" s="201"/>
      <c r="W21" s="200"/>
      <c r="X21" s="200"/>
      <c r="Y21" s="200"/>
      <c r="Z21" s="200"/>
      <c r="AA21" s="201"/>
    </row>
    <row r="22" spans="1:27" ht="24" customHeight="1" x14ac:dyDescent="0.25">
      <c r="A22" s="200"/>
      <c r="B22" s="293"/>
      <c r="C22" s="332"/>
      <c r="D22" s="213">
        <v>0.62222222222222223</v>
      </c>
      <c r="E22" s="214">
        <v>0.63194444444444442</v>
      </c>
      <c r="F22" s="214">
        <v>0.65277777777777779</v>
      </c>
      <c r="G22" s="215">
        <f t="shared" si="6"/>
        <v>3.0555555555555558E-2</v>
      </c>
      <c r="H22" s="216">
        <v>111</v>
      </c>
      <c r="I22" s="217">
        <v>1</v>
      </c>
      <c r="J22" s="213">
        <v>0.69097222222222221</v>
      </c>
      <c r="K22" s="214">
        <v>0.7006944444444444</v>
      </c>
      <c r="L22" s="214">
        <v>0.72083333333333333</v>
      </c>
      <c r="M22" s="215">
        <f t="shared" si="7"/>
        <v>2.9861111111111116E-2</v>
      </c>
      <c r="N22" s="216">
        <v>111</v>
      </c>
      <c r="O22" s="217">
        <v>2</v>
      </c>
      <c r="P22" s="234"/>
      <c r="Q22" s="234"/>
      <c r="R22" s="201"/>
      <c r="S22" s="201"/>
      <c r="T22" s="201"/>
      <c r="U22" s="201"/>
      <c r="V22" s="201"/>
      <c r="W22" s="200"/>
      <c r="X22" s="200"/>
      <c r="Y22" s="200"/>
      <c r="Z22" s="200"/>
      <c r="AA22" s="201"/>
    </row>
    <row r="23" spans="1:27" ht="24" customHeight="1" x14ac:dyDescent="0.25">
      <c r="A23" s="200"/>
      <c r="B23" s="293"/>
      <c r="C23" s="332"/>
      <c r="D23" s="213">
        <v>0.66805555555555562</v>
      </c>
      <c r="E23" s="214">
        <v>0.6777777777777777</v>
      </c>
      <c r="F23" s="214">
        <v>0.69791666666666663</v>
      </c>
      <c r="G23" s="215">
        <f t="shared" si="6"/>
        <v>2.9861111111111005E-2</v>
      </c>
      <c r="H23" s="216">
        <v>111</v>
      </c>
      <c r="I23" s="217">
        <v>1</v>
      </c>
      <c r="J23" s="213">
        <v>0.73958333333333337</v>
      </c>
      <c r="K23" s="214">
        <v>0.74861111111111101</v>
      </c>
      <c r="L23" s="214">
        <v>0.7680555555555556</v>
      </c>
      <c r="M23" s="215">
        <f t="shared" si="7"/>
        <v>2.8472222222222232E-2</v>
      </c>
      <c r="N23" s="216">
        <v>111</v>
      </c>
      <c r="O23" s="217">
        <v>2</v>
      </c>
      <c r="P23" s="234"/>
      <c r="Q23" s="234"/>
      <c r="R23" s="201"/>
      <c r="S23" s="201"/>
      <c r="T23" s="201"/>
      <c r="U23" s="201"/>
      <c r="V23" s="201"/>
      <c r="W23" s="200"/>
      <c r="X23" s="200"/>
      <c r="Y23" s="200"/>
      <c r="Z23" s="200"/>
      <c r="AA23" s="201"/>
    </row>
    <row r="24" spans="1:27" ht="24" customHeight="1" thickBot="1" x14ac:dyDescent="0.3">
      <c r="A24" s="200"/>
      <c r="B24" s="293"/>
      <c r="C24" s="332"/>
      <c r="D24" s="213">
        <v>0.71527777777777779</v>
      </c>
      <c r="E24" s="214">
        <v>0.72430555555555554</v>
      </c>
      <c r="F24" s="214">
        <v>0.74375000000000002</v>
      </c>
      <c r="G24" s="215">
        <f t="shared" si="6"/>
        <v>2.8472222222222232E-2</v>
      </c>
      <c r="H24" s="216">
        <v>111</v>
      </c>
      <c r="I24" s="217">
        <v>1</v>
      </c>
      <c r="J24" s="213">
        <v>0.77777777777777779</v>
      </c>
      <c r="K24" s="214">
        <v>0.78749999999999998</v>
      </c>
      <c r="L24" s="214">
        <v>0.80833333333333324</v>
      </c>
      <c r="M24" s="215">
        <f t="shared" si="7"/>
        <v>3.0555555555555447E-2</v>
      </c>
      <c r="N24" s="216">
        <v>111</v>
      </c>
      <c r="O24" s="217">
        <v>2</v>
      </c>
      <c r="P24" s="234"/>
      <c r="Q24" s="234"/>
      <c r="R24" s="201"/>
      <c r="S24" s="201"/>
      <c r="T24" s="201"/>
      <c r="U24" s="201"/>
      <c r="V24" s="201"/>
      <c r="W24" s="200"/>
      <c r="X24" s="200"/>
      <c r="Y24" s="200"/>
      <c r="Z24" s="200"/>
      <c r="AA24" s="201"/>
    </row>
    <row r="25" spans="1:27" ht="24" customHeight="1" thickBot="1" x14ac:dyDescent="0.3">
      <c r="A25" s="200"/>
      <c r="B25" s="293"/>
      <c r="C25" s="332"/>
      <c r="D25" s="283">
        <f>F24</f>
        <v>0.74375000000000002</v>
      </c>
      <c r="E25" s="284"/>
      <c r="F25" s="283">
        <f>D26</f>
        <v>0.81597222222222221</v>
      </c>
      <c r="G25" s="284"/>
      <c r="H25" s="285">
        <f>F25-D25</f>
        <v>7.2222222222222188E-2</v>
      </c>
      <c r="I25" s="284"/>
      <c r="J25" s="283">
        <f>L24</f>
        <v>0.80833333333333324</v>
      </c>
      <c r="K25" s="284"/>
      <c r="L25" s="283">
        <f>J26</f>
        <v>0.86597222222222225</v>
      </c>
      <c r="M25" s="284"/>
      <c r="N25" s="285">
        <f>L25-J25</f>
        <v>5.7638888888889017E-2</v>
      </c>
      <c r="O25" s="284"/>
      <c r="P25" s="234"/>
      <c r="Q25" s="234"/>
      <c r="R25" s="201"/>
      <c r="S25" s="201"/>
      <c r="T25" s="201"/>
      <c r="U25" s="201"/>
      <c r="V25" s="201"/>
      <c r="W25" s="200"/>
      <c r="X25" s="200"/>
      <c r="Y25" s="200"/>
      <c r="Z25" s="200"/>
      <c r="AA25" s="201"/>
    </row>
    <row r="26" spans="1:27" ht="24" customHeight="1" x14ac:dyDescent="0.25">
      <c r="A26" s="200"/>
      <c r="B26" s="293"/>
      <c r="C26" s="332"/>
      <c r="D26" s="213">
        <v>0.81597222222222221</v>
      </c>
      <c r="E26" s="214">
        <v>0.82430555555555562</v>
      </c>
      <c r="F26" s="214">
        <v>0.84305555555555556</v>
      </c>
      <c r="G26" s="215">
        <f>F26-D26</f>
        <v>2.7083333333333348E-2</v>
      </c>
      <c r="H26" s="216">
        <v>111</v>
      </c>
      <c r="I26" s="217">
        <v>1</v>
      </c>
      <c r="J26" s="213">
        <v>0.86597222222222225</v>
      </c>
      <c r="K26" s="214">
        <v>0.87569444444444444</v>
      </c>
      <c r="L26" s="214">
        <v>0.89236111111111116</v>
      </c>
      <c r="M26" s="215">
        <f t="shared" ref="M26:M27" si="8">L26-J26</f>
        <v>2.6388888888888906E-2</v>
      </c>
      <c r="N26" s="216">
        <v>111</v>
      </c>
      <c r="O26" s="217">
        <v>2</v>
      </c>
      <c r="P26" s="234"/>
      <c r="Q26" s="234"/>
      <c r="R26" s="201"/>
      <c r="S26" s="201"/>
      <c r="T26" s="201"/>
      <c r="U26" s="201"/>
      <c r="V26" s="201"/>
      <c r="W26" s="200"/>
      <c r="X26" s="200"/>
      <c r="Y26" s="200"/>
      <c r="Z26" s="200"/>
      <c r="AA26" s="201"/>
    </row>
    <row r="27" spans="1:27" ht="24" customHeight="1" thickBot="1" x14ac:dyDescent="0.3">
      <c r="A27" s="200"/>
      <c r="B27" s="293"/>
      <c r="C27" s="332"/>
      <c r="D27" s="225"/>
      <c r="E27" s="226"/>
      <c r="F27" s="226"/>
      <c r="G27" s="226"/>
      <c r="H27" s="226"/>
      <c r="I27" s="227"/>
      <c r="J27" s="220">
        <v>0.91666666666666663</v>
      </c>
      <c r="K27" s="221">
        <v>0.9243055555555556</v>
      </c>
      <c r="L27" s="221">
        <v>0.93888888888888899</v>
      </c>
      <c r="M27" s="222">
        <f t="shared" si="8"/>
        <v>2.2222222222222365E-2</v>
      </c>
      <c r="N27" s="223">
        <v>111</v>
      </c>
      <c r="O27" s="224">
        <v>2</v>
      </c>
      <c r="P27" s="234"/>
      <c r="Q27" s="234"/>
      <c r="R27" s="201"/>
      <c r="S27" s="201"/>
      <c r="T27" s="201"/>
      <c r="U27" s="201"/>
      <c r="V27" s="201"/>
      <c r="W27" s="200"/>
      <c r="X27" s="200"/>
      <c r="Y27" s="200"/>
      <c r="Z27" s="200"/>
      <c r="AA27" s="201"/>
    </row>
    <row r="28" spans="1:27" ht="24" customHeight="1" thickBot="1" x14ac:dyDescent="0.3">
      <c r="A28" s="200"/>
      <c r="B28" s="293"/>
      <c r="C28" s="332"/>
      <c r="D28" s="297" t="s">
        <v>100</v>
      </c>
      <c r="E28" s="287"/>
      <c r="F28" s="287"/>
      <c r="G28" s="287"/>
      <c r="H28" s="287"/>
      <c r="I28" s="284"/>
      <c r="J28" s="297" t="s">
        <v>100</v>
      </c>
      <c r="K28" s="287"/>
      <c r="L28" s="287"/>
      <c r="M28" s="287"/>
      <c r="N28" s="287"/>
      <c r="O28" s="284"/>
      <c r="P28" s="234"/>
      <c r="Q28" s="234"/>
      <c r="R28" s="201"/>
      <c r="S28" s="201"/>
      <c r="T28" s="201"/>
      <c r="U28" s="201"/>
      <c r="V28" s="201"/>
      <c r="W28" s="200"/>
      <c r="X28" s="200"/>
      <c r="Y28" s="200"/>
      <c r="Z28" s="200"/>
      <c r="AA28" s="201"/>
    </row>
    <row r="29" spans="1:27" ht="24" customHeight="1" thickBot="1" x14ac:dyDescent="0.3">
      <c r="A29" s="200"/>
      <c r="B29" s="290"/>
      <c r="C29" s="229" t="s">
        <v>17</v>
      </c>
      <c r="D29" s="323">
        <f>MAX(E20:F28)-IF(D20="",E20,D20)-MIN(H20:H28)+$C17</f>
        <v>0.24236111111111108</v>
      </c>
      <c r="E29" s="324"/>
      <c r="F29" s="324"/>
      <c r="G29" s="282"/>
      <c r="H29" s="281">
        <f ca="1">OFFSET(H19,MATCH(MIN(H20:H26),H20:H26,0),-4)-IF(D20="",E20,D20)</f>
        <v>0.20138888888888884</v>
      </c>
      <c r="I29" s="282"/>
      <c r="J29" s="323">
        <f>MAX(K20:L28)-IF(J20="",K20,J20)-MIN(N20:N28)+$C3</f>
        <v>0.29583333333333334</v>
      </c>
      <c r="K29" s="324"/>
      <c r="L29" s="324"/>
      <c r="M29" s="282"/>
      <c r="N29" s="281">
        <f ca="1">OFFSET(N19,MATCH(MIN(N20:N27),N20:N27,0),-4)-IF(J20="",K20,J20)</f>
        <v>0.2090277777777777</v>
      </c>
      <c r="O29" s="282"/>
      <c r="P29" s="234"/>
      <c r="Q29" s="234"/>
      <c r="R29" s="201"/>
      <c r="S29" s="201"/>
      <c r="T29" s="200"/>
      <c r="U29" s="200"/>
      <c r="V29" s="235"/>
      <c r="W29" s="200"/>
      <c r="X29" s="200"/>
      <c r="Y29" s="200"/>
      <c r="Z29" s="200"/>
      <c r="AA29" s="201"/>
    </row>
    <row r="30" spans="1:27" ht="24" customHeight="1" x14ac:dyDescent="0.25">
      <c r="A30" s="200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35"/>
      <c r="W30" s="200"/>
      <c r="X30" s="200"/>
      <c r="Y30" s="200"/>
      <c r="Z30" s="200"/>
      <c r="AA30" s="201"/>
    </row>
    <row r="31" spans="1:27" ht="24" customHeight="1" x14ac:dyDescent="0.25">
      <c r="A31" s="200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35"/>
      <c r="W31" s="200"/>
      <c r="X31" s="200"/>
      <c r="Y31" s="200"/>
      <c r="Z31" s="200"/>
      <c r="AA31" s="201"/>
    </row>
    <row r="32" spans="1:27" ht="24" customHeight="1" x14ac:dyDescent="0.25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35"/>
      <c r="W32" s="200"/>
      <c r="X32" s="200"/>
      <c r="Y32" s="200"/>
      <c r="Z32" s="200"/>
      <c r="AA32" s="201"/>
    </row>
    <row r="33" spans="1:27" ht="24" customHeight="1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35"/>
      <c r="W33" s="200"/>
      <c r="X33" s="200"/>
      <c r="Y33" s="200"/>
      <c r="Z33" s="200"/>
      <c r="AA33" s="201"/>
    </row>
    <row r="34" spans="1:27" ht="24" customHeight="1" x14ac:dyDescent="0.25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35"/>
      <c r="W34" s="200"/>
      <c r="X34" s="200"/>
      <c r="Y34" s="200"/>
      <c r="Z34" s="200"/>
      <c r="AA34" s="201"/>
    </row>
    <row r="35" spans="1:27" ht="24" customHeight="1" x14ac:dyDescent="0.25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35"/>
      <c r="W35" s="200"/>
      <c r="X35" s="200"/>
      <c r="Y35" s="200"/>
      <c r="Z35" s="200"/>
      <c r="AA35" s="201"/>
    </row>
    <row r="36" spans="1:27" ht="24" customHeight="1" x14ac:dyDescent="0.25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35"/>
      <c r="W36" s="200"/>
      <c r="X36" s="200"/>
      <c r="Y36" s="200"/>
      <c r="Z36" s="200"/>
      <c r="AA36" s="201"/>
    </row>
    <row r="37" spans="1:27" ht="24" customHeight="1" x14ac:dyDescent="0.25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35"/>
      <c r="W37" s="200"/>
      <c r="X37" s="200"/>
      <c r="Y37" s="200"/>
      <c r="Z37" s="200"/>
      <c r="AA37" s="201"/>
    </row>
    <row r="38" spans="1:27" ht="24" customHeight="1" x14ac:dyDescent="0.25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35"/>
      <c r="W38" s="200"/>
      <c r="X38" s="200"/>
      <c r="Y38" s="200"/>
      <c r="Z38" s="200"/>
      <c r="AA38" s="201"/>
    </row>
    <row r="39" spans="1:27" ht="24" customHeight="1" x14ac:dyDescent="0.25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35"/>
      <c r="W39" s="200"/>
      <c r="X39" s="200"/>
      <c r="Y39" s="200"/>
      <c r="Z39" s="200"/>
      <c r="AA39" s="201"/>
    </row>
    <row r="40" spans="1:27" ht="24" customHeight="1" x14ac:dyDescent="0.25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35"/>
      <c r="W40" s="200"/>
      <c r="X40" s="200"/>
      <c r="Y40" s="200"/>
      <c r="Z40" s="200"/>
      <c r="AA40" s="201"/>
    </row>
    <row r="41" spans="1:27" ht="24" customHeight="1" x14ac:dyDescent="0.25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35"/>
      <c r="W41" s="200"/>
      <c r="X41" s="200"/>
      <c r="Y41" s="200"/>
      <c r="Z41" s="200"/>
      <c r="AA41" s="201"/>
    </row>
    <row r="42" spans="1:27" ht="24" customHeight="1" x14ac:dyDescent="0.25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35"/>
      <c r="W42" s="200"/>
      <c r="X42" s="200"/>
      <c r="Y42" s="200"/>
      <c r="Z42" s="200"/>
      <c r="AA42" s="201"/>
    </row>
    <row r="43" spans="1:27" ht="24" customHeight="1" x14ac:dyDescent="0.25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35"/>
      <c r="W43" s="200"/>
      <c r="X43" s="200"/>
      <c r="Y43" s="200"/>
      <c r="Z43" s="200"/>
      <c r="AA43" s="201"/>
    </row>
    <row r="44" spans="1:27" ht="24" customHeight="1" x14ac:dyDescent="0.25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35"/>
      <c r="W44" s="200"/>
      <c r="X44" s="200"/>
      <c r="Y44" s="200"/>
      <c r="Z44" s="200"/>
      <c r="AA44" s="201"/>
    </row>
    <row r="45" spans="1:27" ht="24" customHeight="1" x14ac:dyDescent="0.25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35"/>
      <c r="W45" s="200"/>
      <c r="X45" s="200"/>
      <c r="Y45" s="200"/>
      <c r="Z45" s="200"/>
      <c r="AA45" s="201"/>
    </row>
    <row r="46" spans="1:27" ht="24" customHeight="1" x14ac:dyDescent="0.25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35"/>
      <c r="W46" s="200"/>
      <c r="X46" s="200"/>
      <c r="Y46" s="200"/>
      <c r="Z46" s="200"/>
      <c r="AA46" s="201"/>
    </row>
    <row r="47" spans="1:27" ht="24" customHeight="1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35"/>
      <c r="W47" s="200"/>
      <c r="X47" s="200"/>
      <c r="Y47" s="200"/>
      <c r="Z47" s="200"/>
      <c r="AA47" s="201"/>
    </row>
    <row r="48" spans="1:27" ht="24" customHeight="1" x14ac:dyDescent="0.25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35"/>
      <c r="W48" s="200"/>
      <c r="X48" s="200"/>
      <c r="Y48" s="200"/>
      <c r="Z48" s="200"/>
      <c r="AA48" s="201"/>
    </row>
    <row r="49" spans="1:27" ht="24" customHeight="1" x14ac:dyDescent="0.25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35"/>
      <c r="W49" s="200"/>
      <c r="X49" s="200"/>
      <c r="Y49" s="200"/>
      <c r="Z49" s="200"/>
      <c r="AA49" s="201"/>
    </row>
    <row r="50" spans="1:27" ht="24" customHeight="1" x14ac:dyDescent="0.25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35"/>
      <c r="W50" s="200"/>
      <c r="X50" s="200"/>
      <c r="Y50" s="200"/>
      <c r="Z50" s="200"/>
      <c r="AA50" s="201"/>
    </row>
    <row r="51" spans="1:27" ht="24" customHeight="1" x14ac:dyDescent="0.25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35"/>
      <c r="W51" s="200"/>
      <c r="X51" s="200"/>
      <c r="Y51" s="200"/>
      <c r="Z51" s="200"/>
      <c r="AA51" s="201"/>
    </row>
    <row r="52" spans="1:27" ht="24" customHeight="1" x14ac:dyDescent="0.25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35"/>
      <c r="W52" s="200"/>
      <c r="X52" s="200"/>
      <c r="Y52" s="200"/>
      <c r="Z52" s="200"/>
      <c r="AA52" s="201"/>
    </row>
    <row r="53" spans="1:27" ht="24" customHeight="1" x14ac:dyDescent="0.25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35"/>
      <c r="W53" s="200"/>
      <c r="X53" s="200"/>
      <c r="Y53" s="200"/>
      <c r="Z53" s="200"/>
      <c r="AA53" s="201"/>
    </row>
    <row r="54" spans="1:27" ht="24" customHeight="1" x14ac:dyDescent="0.25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35"/>
      <c r="W54" s="200"/>
      <c r="X54" s="200"/>
      <c r="Y54" s="200"/>
      <c r="Z54" s="200"/>
      <c r="AA54" s="201"/>
    </row>
    <row r="55" spans="1:27" ht="24" customHeight="1" x14ac:dyDescent="0.25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35"/>
      <c r="W55" s="200"/>
      <c r="X55" s="200"/>
      <c r="Y55" s="200"/>
      <c r="Z55" s="200"/>
      <c r="AA55" s="201"/>
    </row>
    <row r="56" spans="1:27" ht="24" customHeight="1" x14ac:dyDescent="0.25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35"/>
      <c r="W56" s="200"/>
      <c r="X56" s="200"/>
      <c r="Y56" s="200"/>
      <c r="Z56" s="200"/>
      <c r="AA56" s="201"/>
    </row>
    <row r="57" spans="1:27" ht="24" customHeight="1" x14ac:dyDescent="0.25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35"/>
      <c r="W57" s="200"/>
      <c r="X57" s="200"/>
      <c r="Y57" s="200"/>
      <c r="Z57" s="200"/>
      <c r="AA57" s="201"/>
    </row>
    <row r="58" spans="1:27" ht="24" customHeight="1" x14ac:dyDescent="0.25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35"/>
      <c r="W58" s="200"/>
      <c r="X58" s="200"/>
      <c r="Y58" s="200"/>
      <c r="Z58" s="200"/>
      <c r="AA58" s="201"/>
    </row>
    <row r="59" spans="1:27" ht="24" customHeight="1" x14ac:dyDescent="0.25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35"/>
      <c r="W59" s="200"/>
      <c r="X59" s="200"/>
      <c r="Y59" s="200"/>
      <c r="Z59" s="200"/>
      <c r="AA59" s="201"/>
    </row>
    <row r="60" spans="1:27" ht="24" customHeight="1" x14ac:dyDescent="0.25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35"/>
      <c r="W60" s="200"/>
      <c r="X60" s="200"/>
      <c r="Y60" s="200"/>
      <c r="Z60" s="200"/>
      <c r="AA60" s="201"/>
    </row>
    <row r="61" spans="1:27" ht="24" customHeight="1" x14ac:dyDescent="0.25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35"/>
      <c r="W61" s="200"/>
      <c r="X61" s="200"/>
      <c r="Y61" s="200"/>
      <c r="Z61" s="200"/>
      <c r="AA61" s="201"/>
    </row>
    <row r="62" spans="1:27" ht="24" customHeight="1" x14ac:dyDescent="0.25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35"/>
      <c r="W62" s="200"/>
      <c r="X62" s="200"/>
      <c r="Y62" s="200"/>
      <c r="Z62" s="200"/>
      <c r="AA62" s="201"/>
    </row>
    <row r="63" spans="1:27" ht="24" customHeight="1" x14ac:dyDescent="0.25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35"/>
      <c r="W63" s="200"/>
      <c r="X63" s="200"/>
      <c r="Y63" s="200"/>
      <c r="Z63" s="200"/>
      <c r="AA63" s="201"/>
    </row>
    <row r="64" spans="1:27" ht="24" customHeight="1" x14ac:dyDescent="0.25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35"/>
      <c r="W64" s="200"/>
      <c r="X64" s="200"/>
      <c r="Y64" s="200"/>
      <c r="Z64" s="200"/>
      <c r="AA64" s="201"/>
    </row>
    <row r="65" spans="1:27" ht="24" customHeight="1" x14ac:dyDescent="0.25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35"/>
      <c r="W65" s="200"/>
      <c r="X65" s="200"/>
      <c r="Y65" s="200"/>
      <c r="Z65" s="200"/>
      <c r="AA65" s="201"/>
    </row>
    <row r="66" spans="1:27" ht="24" customHeight="1" x14ac:dyDescent="0.25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35"/>
      <c r="W66" s="200"/>
      <c r="X66" s="200"/>
      <c r="Y66" s="200"/>
      <c r="Z66" s="200"/>
      <c r="AA66" s="201"/>
    </row>
    <row r="67" spans="1:27" ht="24" customHeight="1" x14ac:dyDescent="0.25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35"/>
      <c r="W67" s="200"/>
      <c r="X67" s="200"/>
      <c r="Y67" s="200"/>
      <c r="Z67" s="200"/>
      <c r="AA67" s="201"/>
    </row>
    <row r="68" spans="1:27" ht="24" customHeight="1" x14ac:dyDescent="0.25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35"/>
      <c r="W68" s="200"/>
      <c r="X68" s="200"/>
      <c r="Y68" s="200"/>
      <c r="Z68" s="200"/>
      <c r="AA68" s="201"/>
    </row>
    <row r="69" spans="1:27" ht="24" customHeight="1" x14ac:dyDescent="0.25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35"/>
      <c r="W69" s="200"/>
      <c r="X69" s="200"/>
      <c r="Y69" s="200"/>
      <c r="Z69" s="200"/>
      <c r="AA69" s="201"/>
    </row>
    <row r="70" spans="1:27" ht="24" customHeight="1" x14ac:dyDescent="0.25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35"/>
      <c r="W70" s="200"/>
      <c r="X70" s="200"/>
      <c r="Y70" s="200"/>
      <c r="Z70" s="200"/>
      <c r="AA70" s="201"/>
    </row>
    <row r="71" spans="1:27" ht="24" customHeight="1" x14ac:dyDescent="0.25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35"/>
      <c r="W71" s="200"/>
      <c r="X71" s="200"/>
      <c r="Y71" s="200"/>
      <c r="Z71" s="200"/>
      <c r="AA71" s="201"/>
    </row>
    <row r="72" spans="1:27" ht="24" customHeight="1" x14ac:dyDescent="0.25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35"/>
      <c r="W72" s="200"/>
      <c r="X72" s="200"/>
      <c r="Y72" s="200"/>
      <c r="Z72" s="200"/>
      <c r="AA72" s="201"/>
    </row>
    <row r="73" spans="1:27" ht="24" customHeight="1" x14ac:dyDescent="0.25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35"/>
      <c r="W73" s="200"/>
      <c r="X73" s="200"/>
      <c r="Y73" s="200"/>
      <c r="Z73" s="200"/>
      <c r="AA73" s="201"/>
    </row>
    <row r="74" spans="1:27" ht="24" customHeight="1" x14ac:dyDescent="0.25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5"/>
      <c r="W74" s="200"/>
      <c r="X74" s="200"/>
      <c r="Y74" s="200"/>
      <c r="Z74" s="200"/>
      <c r="AA74" s="201"/>
    </row>
    <row r="75" spans="1:27" ht="24" customHeight="1" x14ac:dyDescent="0.25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35"/>
      <c r="W75" s="200"/>
      <c r="X75" s="200"/>
      <c r="Y75" s="200"/>
      <c r="Z75" s="200"/>
      <c r="AA75" s="201"/>
    </row>
    <row r="76" spans="1:27" ht="24" customHeight="1" x14ac:dyDescent="0.25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35"/>
      <c r="W76" s="200"/>
      <c r="X76" s="200"/>
      <c r="Y76" s="200"/>
      <c r="Z76" s="200"/>
      <c r="AA76" s="201"/>
    </row>
    <row r="77" spans="1:27" ht="24" customHeight="1" x14ac:dyDescent="0.25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35"/>
      <c r="W77" s="200"/>
      <c r="X77" s="200"/>
      <c r="Y77" s="200"/>
      <c r="Z77" s="200"/>
      <c r="AA77" s="201"/>
    </row>
    <row r="78" spans="1:27" ht="24" customHeight="1" x14ac:dyDescent="0.25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35"/>
      <c r="W78" s="200"/>
      <c r="X78" s="200"/>
      <c r="Y78" s="200"/>
      <c r="Z78" s="200"/>
      <c r="AA78" s="201"/>
    </row>
    <row r="79" spans="1:27" ht="24" customHeight="1" x14ac:dyDescent="0.25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35"/>
      <c r="W79" s="200"/>
      <c r="X79" s="200"/>
      <c r="Y79" s="200"/>
      <c r="Z79" s="200"/>
      <c r="AA79" s="201"/>
    </row>
    <row r="80" spans="1:27" ht="24" customHeight="1" x14ac:dyDescent="0.25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35"/>
      <c r="W80" s="200"/>
      <c r="X80" s="200"/>
      <c r="Y80" s="200"/>
      <c r="Z80" s="200"/>
      <c r="AA80" s="201"/>
    </row>
    <row r="81" spans="1:27" ht="24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35"/>
      <c r="W81" s="200"/>
      <c r="X81" s="200"/>
      <c r="Y81" s="200"/>
      <c r="Z81" s="200"/>
      <c r="AA81" s="201"/>
    </row>
    <row r="82" spans="1:27" ht="24" customHeight="1" x14ac:dyDescent="0.25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35"/>
      <c r="W82" s="200"/>
      <c r="X82" s="200"/>
      <c r="Y82" s="200"/>
      <c r="Z82" s="200"/>
      <c r="AA82" s="201"/>
    </row>
    <row r="83" spans="1:27" ht="24" customHeight="1" x14ac:dyDescent="0.25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35"/>
      <c r="W83" s="200"/>
      <c r="X83" s="200"/>
      <c r="Y83" s="200"/>
      <c r="Z83" s="200"/>
      <c r="AA83" s="201"/>
    </row>
    <row r="84" spans="1:27" ht="24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35"/>
      <c r="W84" s="200"/>
      <c r="X84" s="200"/>
      <c r="Y84" s="200"/>
      <c r="Z84" s="200"/>
      <c r="AA84" s="201"/>
    </row>
    <row r="85" spans="1:27" ht="24" customHeight="1" x14ac:dyDescent="0.25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35"/>
      <c r="W85" s="200"/>
      <c r="X85" s="200"/>
      <c r="Y85" s="200"/>
      <c r="Z85" s="200"/>
      <c r="AA85" s="201"/>
    </row>
    <row r="86" spans="1:27" ht="24" customHeight="1" x14ac:dyDescent="0.25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35"/>
      <c r="W86" s="200"/>
      <c r="X86" s="200"/>
      <c r="Y86" s="200"/>
      <c r="Z86" s="200"/>
      <c r="AA86" s="201"/>
    </row>
    <row r="87" spans="1:27" ht="24" customHeight="1" x14ac:dyDescent="0.25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35"/>
      <c r="W87" s="200"/>
      <c r="X87" s="200"/>
      <c r="Y87" s="200"/>
      <c r="Z87" s="200"/>
      <c r="AA87" s="201"/>
    </row>
    <row r="88" spans="1:27" ht="24" customHeight="1" x14ac:dyDescent="0.25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35"/>
      <c r="W88" s="200"/>
      <c r="X88" s="200"/>
      <c r="Y88" s="200"/>
      <c r="Z88" s="200"/>
      <c r="AA88" s="201"/>
    </row>
    <row r="89" spans="1:27" ht="24" customHeight="1" x14ac:dyDescent="0.25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35"/>
      <c r="W89" s="200"/>
      <c r="X89" s="200"/>
      <c r="Y89" s="200"/>
      <c r="Z89" s="200"/>
      <c r="AA89" s="201"/>
    </row>
    <row r="90" spans="1:27" ht="24" customHeight="1" x14ac:dyDescent="0.25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35"/>
      <c r="W90" s="200"/>
      <c r="X90" s="200"/>
      <c r="Y90" s="200"/>
      <c r="Z90" s="200"/>
      <c r="AA90" s="201"/>
    </row>
    <row r="91" spans="1:27" ht="24" customHeight="1" x14ac:dyDescent="0.25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35"/>
      <c r="W91" s="200"/>
      <c r="X91" s="200"/>
      <c r="Y91" s="200"/>
      <c r="Z91" s="200"/>
      <c r="AA91" s="201"/>
    </row>
    <row r="92" spans="1:27" ht="24" customHeight="1" x14ac:dyDescent="0.25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35"/>
      <c r="W92" s="200"/>
      <c r="X92" s="200"/>
      <c r="Y92" s="200"/>
      <c r="Z92" s="200"/>
      <c r="AA92" s="201"/>
    </row>
    <row r="93" spans="1:27" ht="24" customHeight="1" x14ac:dyDescent="0.25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35"/>
      <c r="W93" s="200"/>
      <c r="X93" s="200"/>
      <c r="Y93" s="200"/>
      <c r="Z93" s="200"/>
      <c r="AA93" s="201"/>
    </row>
    <row r="94" spans="1:27" ht="24" customHeight="1" x14ac:dyDescent="0.25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35"/>
      <c r="W94" s="200"/>
      <c r="X94" s="200"/>
      <c r="Y94" s="200"/>
      <c r="Z94" s="200"/>
      <c r="AA94" s="201"/>
    </row>
    <row r="95" spans="1:27" ht="24" customHeight="1" x14ac:dyDescent="0.25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  <c r="V95" s="235"/>
      <c r="W95" s="200"/>
      <c r="X95" s="200"/>
      <c r="Y95" s="200"/>
      <c r="Z95" s="200"/>
      <c r="AA95" s="201"/>
    </row>
    <row r="96" spans="1:27" ht="24" customHeight="1" x14ac:dyDescent="0.25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  <c r="V96" s="235"/>
      <c r="W96" s="200"/>
      <c r="X96" s="200"/>
      <c r="Y96" s="200"/>
      <c r="Z96" s="200"/>
      <c r="AA96" s="201"/>
    </row>
    <row r="97" spans="1:27" ht="24" customHeight="1" x14ac:dyDescent="0.25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  <c r="V97" s="235"/>
      <c r="W97" s="200"/>
      <c r="X97" s="200"/>
      <c r="Y97" s="200"/>
      <c r="Z97" s="200"/>
      <c r="AA97" s="201"/>
    </row>
    <row r="98" spans="1:27" ht="24" customHeight="1" x14ac:dyDescent="0.25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35"/>
      <c r="W98" s="200"/>
      <c r="X98" s="200"/>
      <c r="Y98" s="200"/>
      <c r="Z98" s="200"/>
      <c r="AA98" s="201"/>
    </row>
    <row r="99" spans="1:27" ht="24" customHeight="1" x14ac:dyDescent="0.25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  <c r="V99" s="235"/>
      <c r="W99" s="200"/>
      <c r="X99" s="200"/>
      <c r="Y99" s="200"/>
      <c r="Z99" s="200"/>
      <c r="AA99" s="201"/>
    </row>
    <row r="100" spans="1:27" ht="24" customHeight="1" x14ac:dyDescent="0.25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35"/>
      <c r="W100" s="200"/>
      <c r="X100" s="200"/>
      <c r="Y100" s="200"/>
      <c r="Z100" s="200"/>
      <c r="AA100" s="201"/>
    </row>
    <row r="101" spans="1:27" ht="24" customHeight="1" x14ac:dyDescent="0.25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35"/>
      <c r="W101" s="200"/>
      <c r="X101" s="200"/>
      <c r="Y101" s="200"/>
      <c r="Z101" s="200"/>
      <c r="AA101" s="201"/>
    </row>
    <row r="102" spans="1:27" ht="24" customHeight="1" x14ac:dyDescent="0.25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35"/>
      <c r="W102" s="200"/>
      <c r="X102" s="200"/>
      <c r="Y102" s="200"/>
      <c r="Z102" s="200"/>
      <c r="AA102" s="201"/>
    </row>
    <row r="103" spans="1:27" ht="24" customHeight="1" x14ac:dyDescent="0.25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  <c r="V103" s="235"/>
      <c r="W103" s="200"/>
      <c r="X103" s="200"/>
      <c r="Y103" s="200"/>
      <c r="Z103" s="200"/>
      <c r="AA103" s="201"/>
    </row>
    <row r="104" spans="1:27" ht="24" customHeight="1" x14ac:dyDescent="0.25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35"/>
      <c r="W104" s="200"/>
      <c r="X104" s="200"/>
      <c r="Y104" s="200"/>
      <c r="Z104" s="200"/>
      <c r="AA104" s="201"/>
    </row>
    <row r="105" spans="1:27" ht="24" customHeight="1" x14ac:dyDescent="0.25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35"/>
      <c r="W105" s="200"/>
      <c r="X105" s="200"/>
      <c r="Y105" s="200"/>
      <c r="Z105" s="200"/>
      <c r="AA105" s="201"/>
    </row>
    <row r="106" spans="1:27" ht="24" customHeight="1" x14ac:dyDescent="0.25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35"/>
      <c r="W106" s="200"/>
      <c r="X106" s="200"/>
      <c r="Y106" s="200"/>
      <c r="Z106" s="200"/>
      <c r="AA106" s="201"/>
    </row>
    <row r="107" spans="1:27" ht="24" customHeight="1" x14ac:dyDescent="0.25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35"/>
      <c r="W107" s="200"/>
      <c r="X107" s="200"/>
      <c r="Y107" s="200"/>
      <c r="Z107" s="200"/>
      <c r="AA107" s="201"/>
    </row>
    <row r="108" spans="1:27" ht="24" customHeight="1" x14ac:dyDescent="0.25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35"/>
      <c r="W108" s="200"/>
      <c r="X108" s="200"/>
      <c r="Y108" s="200"/>
      <c r="Z108" s="200"/>
      <c r="AA108" s="201"/>
    </row>
    <row r="109" spans="1:27" ht="24" customHeight="1" x14ac:dyDescent="0.25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35"/>
      <c r="W109" s="200"/>
      <c r="X109" s="200"/>
      <c r="Y109" s="200"/>
      <c r="Z109" s="200"/>
      <c r="AA109" s="201"/>
    </row>
    <row r="110" spans="1:27" ht="24" customHeight="1" x14ac:dyDescent="0.25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35"/>
      <c r="W110" s="200"/>
      <c r="X110" s="200"/>
      <c r="Y110" s="200"/>
      <c r="Z110" s="200"/>
      <c r="AA110" s="201"/>
    </row>
    <row r="111" spans="1:27" ht="24" customHeight="1" x14ac:dyDescent="0.25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35"/>
      <c r="W111" s="200"/>
      <c r="X111" s="200"/>
      <c r="Y111" s="200"/>
      <c r="Z111" s="200"/>
      <c r="AA111" s="201"/>
    </row>
    <row r="112" spans="1:27" ht="24" customHeight="1" x14ac:dyDescent="0.25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35"/>
      <c r="W112" s="200"/>
      <c r="X112" s="200"/>
      <c r="Y112" s="200"/>
      <c r="Z112" s="200"/>
      <c r="AA112" s="201"/>
    </row>
    <row r="113" spans="1:27" ht="24" customHeight="1" x14ac:dyDescent="0.25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35"/>
      <c r="W113" s="200"/>
      <c r="X113" s="200"/>
      <c r="Y113" s="200"/>
      <c r="Z113" s="200"/>
      <c r="AA113" s="201"/>
    </row>
    <row r="114" spans="1:27" ht="24" customHeight="1" x14ac:dyDescent="0.25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35"/>
      <c r="W114" s="200"/>
      <c r="X114" s="200"/>
      <c r="Y114" s="200"/>
      <c r="Z114" s="200"/>
      <c r="AA114" s="201"/>
    </row>
    <row r="115" spans="1:27" ht="24" customHeight="1" x14ac:dyDescent="0.25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35"/>
      <c r="W115" s="200"/>
      <c r="X115" s="200"/>
      <c r="Y115" s="200"/>
      <c r="Z115" s="200"/>
      <c r="AA115" s="201"/>
    </row>
    <row r="116" spans="1:27" ht="24" customHeight="1" x14ac:dyDescent="0.25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35"/>
      <c r="W116" s="200"/>
      <c r="X116" s="200"/>
      <c r="Y116" s="200"/>
      <c r="Z116" s="200"/>
      <c r="AA116" s="201"/>
    </row>
    <row r="117" spans="1:27" ht="24" customHeight="1" x14ac:dyDescent="0.25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35"/>
      <c r="W117" s="200"/>
      <c r="X117" s="200"/>
      <c r="Y117" s="200"/>
      <c r="Z117" s="200"/>
      <c r="AA117" s="201"/>
    </row>
    <row r="118" spans="1:27" ht="24" customHeight="1" x14ac:dyDescent="0.25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35"/>
      <c r="W118" s="200"/>
      <c r="X118" s="200"/>
      <c r="Y118" s="200"/>
      <c r="Z118" s="200"/>
      <c r="AA118" s="201"/>
    </row>
    <row r="119" spans="1:27" ht="24" customHeight="1" x14ac:dyDescent="0.25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35"/>
      <c r="W119" s="200"/>
      <c r="X119" s="200"/>
      <c r="Y119" s="200"/>
      <c r="Z119" s="200"/>
      <c r="AA119" s="201"/>
    </row>
    <row r="120" spans="1:27" ht="24" customHeight="1" x14ac:dyDescent="0.25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35"/>
      <c r="W120" s="200"/>
      <c r="X120" s="200"/>
      <c r="Y120" s="200"/>
      <c r="Z120" s="200"/>
      <c r="AA120" s="201"/>
    </row>
    <row r="121" spans="1:27" ht="24" customHeight="1" x14ac:dyDescent="0.25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35"/>
      <c r="W121" s="200"/>
      <c r="X121" s="200"/>
      <c r="Y121" s="200"/>
      <c r="Z121" s="200"/>
      <c r="AA121" s="201"/>
    </row>
    <row r="122" spans="1:27" ht="24" customHeight="1" x14ac:dyDescent="0.25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35"/>
      <c r="W122" s="200"/>
      <c r="X122" s="200"/>
      <c r="Y122" s="200"/>
      <c r="Z122" s="200"/>
      <c r="AA122" s="201"/>
    </row>
    <row r="123" spans="1:27" ht="24" customHeight="1" x14ac:dyDescent="0.25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35"/>
      <c r="W123" s="200"/>
      <c r="X123" s="200"/>
      <c r="Y123" s="200"/>
      <c r="Z123" s="200"/>
      <c r="AA123" s="201"/>
    </row>
    <row r="124" spans="1:27" ht="24" customHeight="1" x14ac:dyDescent="0.25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35"/>
      <c r="W124" s="200"/>
      <c r="X124" s="200"/>
      <c r="Y124" s="200"/>
      <c r="Z124" s="200"/>
      <c r="AA124" s="201"/>
    </row>
    <row r="125" spans="1:27" ht="24" customHeight="1" x14ac:dyDescent="0.25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35"/>
      <c r="W125" s="200"/>
      <c r="X125" s="200"/>
      <c r="Y125" s="200"/>
      <c r="Z125" s="200"/>
      <c r="AA125" s="201"/>
    </row>
    <row r="126" spans="1:27" ht="24" customHeight="1" x14ac:dyDescent="0.25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35"/>
      <c r="W126" s="200"/>
      <c r="X126" s="200"/>
      <c r="Y126" s="200"/>
      <c r="Z126" s="200"/>
      <c r="AA126" s="201"/>
    </row>
    <row r="127" spans="1:27" ht="24" customHeight="1" x14ac:dyDescent="0.25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35"/>
      <c r="W127" s="200"/>
      <c r="X127" s="200"/>
      <c r="Y127" s="200"/>
      <c r="Z127" s="200"/>
      <c r="AA127" s="201"/>
    </row>
    <row r="128" spans="1:27" ht="24" customHeight="1" x14ac:dyDescent="0.25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35"/>
      <c r="W128" s="200"/>
      <c r="X128" s="200"/>
      <c r="Y128" s="200"/>
      <c r="Z128" s="200"/>
      <c r="AA128" s="201"/>
    </row>
    <row r="129" spans="1:27" ht="24" customHeight="1" x14ac:dyDescent="0.25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35"/>
      <c r="W129" s="200"/>
      <c r="X129" s="200"/>
      <c r="Y129" s="200"/>
      <c r="Z129" s="200"/>
      <c r="AA129" s="201"/>
    </row>
    <row r="130" spans="1:27" ht="24" customHeight="1" x14ac:dyDescent="0.25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35"/>
      <c r="W130" s="200"/>
      <c r="X130" s="200"/>
      <c r="Y130" s="200"/>
      <c r="Z130" s="200"/>
      <c r="AA130" s="201"/>
    </row>
    <row r="131" spans="1:27" ht="24" customHeight="1" x14ac:dyDescent="0.25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35"/>
      <c r="W131" s="200"/>
      <c r="X131" s="200"/>
      <c r="Y131" s="200"/>
      <c r="Z131" s="200"/>
      <c r="AA131" s="201"/>
    </row>
    <row r="132" spans="1:27" ht="24" customHeight="1" x14ac:dyDescent="0.25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35"/>
      <c r="W132" s="200"/>
      <c r="X132" s="200"/>
      <c r="Y132" s="200"/>
      <c r="Z132" s="200"/>
      <c r="AA132" s="201"/>
    </row>
    <row r="133" spans="1:27" ht="24" customHeight="1" x14ac:dyDescent="0.25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35"/>
      <c r="W133" s="200"/>
      <c r="X133" s="200"/>
      <c r="Y133" s="200"/>
      <c r="Z133" s="200"/>
      <c r="AA133" s="201"/>
    </row>
    <row r="134" spans="1:27" ht="24" customHeight="1" x14ac:dyDescent="0.25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35"/>
      <c r="W134" s="200"/>
      <c r="X134" s="200"/>
      <c r="Y134" s="200"/>
      <c r="Z134" s="200"/>
      <c r="AA134" s="201"/>
    </row>
    <row r="135" spans="1:27" ht="24" customHeight="1" x14ac:dyDescent="0.25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35"/>
      <c r="W135" s="200"/>
      <c r="X135" s="200"/>
      <c r="Y135" s="200"/>
      <c r="Z135" s="200"/>
      <c r="AA135" s="201"/>
    </row>
    <row r="136" spans="1:27" ht="24" customHeight="1" x14ac:dyDescent="0.25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35"/>
      <c r="W136" s="200"/>
      <c r="X136" s="200"/>
      <c r="Y136" s="200"/>
      <c r="Z136" s="200"/>
      <c r="AA136" s="201"/>
    </row>
    <row r="137" spans="1:27" ht="24" customHeight="1" x14ac:dyDescent="0.25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35"/>
      <c r="W137" s="200"/>
      <c r="X137" s="200"/>
      <c r="Y137" s="200"/>
      <c r="Z137" s="200"/>
      <c r="AA137" s="201"/>
    </row>
    <row r="138" spans="1:27" ht="24" customHeight="1" x14ac:dyDescent="0.25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35"/>
      <c r="W138" s="200"/>
      <c r="X138" s="200"/>
      <c r="Y138" s="200"/>
      <c r="Z138" s="200"/>
      <c r="AA138" s="201"/>
    </row>
    <row r="139" spans="1:27" ht="24" customHeight="1" x14ac:dyDescent="0.25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35"/>
      <c r="W139" s="200"/>
      <c r="X139" s="200"/>
      <c r="Y139" s="200"/>
      <c r="Z139" s="200"/>
      <c r="AA139" s="201"/>
    </row>
    <row r="140" spans="1:27" ht="24" customHeight="1" x14ac:dyDescent="0.25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35"/>
      <c r="W140" s="200"/>
      <c r="X140" s="200"/>
      <c r="Y140" s="200"/>
      <c r="Z140" s="200"/>
      <c r="AA140" s="201"/>
    </row>
    <row r="141" spans="1:27" ht="24" customHeight="1" x14ac:dyDescent="0.25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35"/>
      <c r="W141" s="200"/>
      <c r="X141" s="200"/>
      <c r="Y141" s="200"/>
      <c r="Z141" s="200"/>
      <c r="AA141" s="201"/>
    </row>
    <row r="142" spans="1:27" ht="24" customHeight="1" x14ac:dyDescent="0.25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35"/>
      <c r="W142" s="200"/>
      <c r="X142" s="200"/>
      <c r="Y142" s="200"/>
      <c r="Z142" s="200"/>
      <c r="AA142" s="201"/>
    </row>
    <row r="143" spans="1:27" ht="24" customHeight="1" x14ac:dyDescent="0.25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35"/>
      <c r="W143" s="200"/>
      <c r="X143" s="200"/>
      <c r="Y143" s="200"/>
      <c r="Z143" s="200"/>
      <c r="AA143" s="201"/>
    </row>
    <row r="144" spans="1:27" ht="24" customHeight="1" x14ac:dyDescent="0.25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35"/>
      <c r="W144" s="200"/>
      <c r="X144" s="200"/>
      <c r="Y144" s="200"/>
      <c r="Z144" s="200"/>
      <c r="AA144" s="201"/>
    </row>
    <row r="145" spans="1:27" ht="24" customHeight="1" x14ac:dyDescent="0.25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35"/>
      <c r="W145" s="200"/>
      <c r="X145" s="200"/>
      <c r="Y145" s="200"/>
      <c r="Z145" s="200"/>
      <c r="AA145" s="201"/>
    </row>
    <row r="146" spans="1:27" ht="24" customHeight="1" x14ac:dyDescent="0.25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35"/>
      <c r="W146" s="200"/>
      <c r="X146" s="200"/>
      <c r="Y146" s="200"/>
      <c r="Z146" s="200"/>
      <c r="AA146" s="201"/>
    </row>
    <row r="147" spans="1:27" ht="24" customHeight="1" x14ac:dyDescent="0.25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35"/>
      <c r="W147" s="200"/>
      <c r="X147" s="200"/>
      <c r="Y147" s="200"/>
      <c r="Z147" s="200"/>
      <c r="AA147" s="201"/>
    </row>
    <row r="148" spans="1:27" ht="24" customHeight="1" x14ac:dyDescent="0.25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35"/>
      <c r="W148" s="200"/>
      <c r="X148" s="200"/>
      <c r="Y148" s="200"/>
      <c r="Z148" s="200"/>
      <c r="AA148" s="201"/>
    </row>
    <row r="149" spans="1:27" ht="24" customHeight="1" x14ac:dyDescent="0.25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35"/>
      <c r="W149" s="200"/>
      <c r="X149" s="200"/>
      <c r="Y149" s="200"/>
      <c r="Z149" s="200"/>
      <c r="AA149" s="201"/>
    </row>
    <row r="150" spans="1:27" ht="24" customHeight="1" x14ac:dyDescent="0.25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35"/>
      <c r="W150" s="200"/>
      <c r="X150" s="200"/>
      <c r="Y150" s="200"/>
      <c r="Z150" s="200"/>
      <c r="AA150" s="201"/>
    </row>
    <row r="151" spans="1:27" ht="24" customHeight="1" x14ac:dyDescent="0.25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35"/>
      <c r="W151" s="200"/>
      <c r="X151" s="200"/>
      <c r="Y151" s="200"/>
      <c r="Z151" s="200"/>
      <c r="AA151" s="201"/>
    </row>
    <row r="152" spans="1:27" ht="24" customHeight="1" x14ac:dyDescent="0.25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35"/>
      <c r="W152" s="200"/>
      <c r="X152" s="200"/>
      <c r="Y152" s="200"/>
      <c r="Z152" s="200"/>
      <c r="AA152" s="201"/>
    </row>
    <row r="153" spans="1:27" ht="24" customHeight="1" x14ac:dyDescent="0.25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35"/>
      <c r="W153" s="200"/>
      <c r="X153" s="200"/>
      <c r="Y153" s="200"/>
      <c r="Z153" s="200"/>
      <c r="AA153" s="201"/>
    </row>
    <row r="154" spans="1:27" ht="24" customHeight="1" x14ac:dyDescent="0.25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35"/>
      <c r="W154" s="200"/>
      <c r="X154" s="200"/>
      <c r="Y154" s="200"/>
      <c r="Z154" s="200"/>
      <c r="AA154" s="201"/>
    </row>
    <row r="155" spans="1:27" ht="24" customHeight="1" x14ac:dyDescent="0.25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35"/>
      <c r="W155" s="200"/>
      <c r="X155" s="200"/>
      <c r="Y155" s="200"/>
      <c r="Z155" s="200"/>
      <c r="AA155" s="201"/>
    </row>
    <row r="156" spans="1:27" ht="24" customHeight="1" x14ac:dyDescent="0.25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35"/>
      <c r="W156" s="200"/>
      <c r="X156" s="200"/>
      <c r="Y156" s="200"/>
      <c r="Z156" s="200"/>
      <c r="AA156" s="201"/>
    </row>
    <row r="157" spans="1:27" ht="24" customHeight="1" x14ac:dyDescent="0.25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35"/>
      <c r="W157" s="200"/>
      <c r="X157" s="200"/>
      <c r="Y157" s="200"/>
      <c r="Z157" s="200"/>
      <c r="AA157" s="201"/>
    </row>
    <row r="158" spans="1:27" ht="24" customHeight="1" x14ac:dyDescent="0.25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35"/>
      <c r="W158" s="200"/>
      <c r="X158" s="200"/>
      <c r="Y158" s="200"/>
      <c r="Z158" s="200"/>
      <c r="AA158" s="201"/>
    </row>
    <row r="159" spans="1:27" ht="24" customHeight="1" x14ac:dyDescent="0.25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35"/>
      <c r="W159" s="200"/>
      <c r="X159" s="200"/>
      <c r="Y159" s="200"/>
      <c r="Z159" s="200"/>
      <c r="AA159" s="201"/>
    </row>
    <row r="160" spans="1:27" ht="24" customHeight="1" x14ac:dyDescent="0.25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35"/>
      <c r="W160" s="200"/>
      <c r="X160" s="200"/>
      <c r="Y160" s="200"/>
      <c r="Z160" s="200"/>
      <c r="AA160" s="201"/>
    </row>
    <row r="161" spans="1:27" ht="24" customHeight="1" x14ac:dyDescent="0.25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35"/>
      <c r="W161" s="200"/>
      <c r="X161" s="200"/>
      <c r="Y161" s="200"/>
      <c r="Z161" s="200"/>
      <c r="AA161" s="201"/>
    </row>
    <row r="162" spans="1:27" ht="24" customHeight="1" x14ac:dyDescent="0.25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35"/>
      <c r="W162" s="200"/>
      <c r="X162" s="200"/>
      <c r="Y162" s="200"/>
      <c r="Z162" s="200"/>
      <c r="AA162" s="201"/>
    </row>
    <row r="163" spans="1:27" ht="24" customHeight="1" x14ac:dyDescent="0.25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35"/>
      <c r="W163" s="200"/>
      <c r="X163" s="200"/>
      <c r="Y163" s="200"/>
      <c r="Z163" s="200"/>
      <c r="AA163" s="201"/>
    </row>
    <row r="164" spans="1:27" ht="24" customHeight="1" x14ac:dyDescent="0.25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35"/>
      <c r="W164" s="200"/>
      <c r="X164" s="200"/>
      <c r="Y164" s="200"/>
      <c r="Z164" s="200"/>
      <c r="AA164" s="201"/>
    </row>
    <row r="165" spans="1:27" ht="24" customHeight="1" x14ac:dyDescent="0.25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35"/>
      <c r="W165" s="200"/>
      <c r="X165" s="200"/>
      <c r="Y165" s="200"/>
      <c r="Z165" s="200"/>
      <c r="AA165" s="201"/>
    </row>
    <row r="166" spans="1:27" ht="24" customHeight="1" x14ac:dyDescent="0.25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35"/>
      <c r="W166" s="200"/>
      <c r="X166" s="200"/>
      <c r="Y166" s="200"/>
      <c r="Z166" s="200"/>
      <c r="AA166" s="201"/>
    </row>
    <row r="167" spans="1:27" ht="24" customHeight="1" x14ac:dyDescent="0.25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35"/>
      <c r="W167" s="200"/>
      <c r="X167" s="200"/>
      <c r="Y167" s="200"/>
      <c r="Z167" s="200"/>
      <c r="AA167" s="201"/>
    </row>
    <row r="168" spans="1:27" ht="24" customHeight="1" x14ac:dyDescent="0.25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35"/>
      <c r="W168" s="200"/>
      <c r="X168" s="200"/>
      <c r="Y168" s="200"/>
      <c r="Z168" s="200"/>
      <c r="AA168" s="201"/>
    </row>
    <row r="169" spans="1:27" ht="24" customHeight="1" x14ac:dyDescent="0.25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35"/>
      <c r="W169" s="200"/>
      <c r="X169" s="200"/>
      <c r="Y169" s="200"/>
      <c r="Z169" s="200"/>
      <c r="AA169" s="201"/>
    </row>
    <row r="170" spans="1:27" ht="24" customHeight="1" x14ac:dyDescent="0.25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35"/>
      <c r="W170" s="200"/>
      <c r="X170" s="200"/>
      <c r="Y170" s="200"/>
      <c r="Z170" s="200"/>
      <c r="AA170" s="201"/>
    </row>
    <row r="171" spans="1:27" ht="24" customHeight="1" x14ac:dyDescent="0.25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35"/>
      <c r="W171" s="200"/>
      <c r="X171" s="200"/>
      <c r="Y171" s="200"/>
      <c r="Z171" s="200"/>
      <c r="AA171" s="201"/>
    </row>
    <row r="172" spans="1:27" ht="24" customHeight="1" x14ac:dyDescent="0.25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35"/>
      <c r="W172" s="200"/>
      <c r="X172" s="200"/>
      <c r="Y172" s="200"/>
      <c r="Z172" s="200"/>
      <c r="AA172" s="201"/>
    </row>
    <row r="173" spans="1:27" ht="24" customHeight="1" x14ac:dyDescent="0.25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35"/>
      <c r="W173" s="200"/>
      <c r="X173" s="200"/>
      <c r="Y173" s="200"/>
      <c r="Z173" s="200"/>
      <c r="AA173" s="201"/>
    </row>
    <row r="174" spans="1:27" ht="24" customHeight="1" x14ac:dyDescent="0.25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35"/>
      <c r="W174" s="200"/>
      <c r="X174" s="200"/>
      <c r="Y174" s="200"/>
      <c r="Z174" s="200"/>
      <c r="AA174" s="201"/>
    </row>
    <row r="175" spans="1:27" ht="24" customHeight="1" x14ac:dyDescent="0.25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35"/>
      <c r="W175" s="200"/>
      <c r="X175" s="200"/>
      <c r="Y175" s="200"/>
      <c r="Z175" s="200"/>
      <c r="AA175" s="201"/>
    </row>
    <row r="176" spans="1:27" ht="24" customHeight="1" x14ac:dyDescent="0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35"/>
      <c r="W176" s="200"/>
      <c r="X176" s="200"/>
      <c r="Y176" s="200"/>
      <c r="Z176" s="200"/>
      <c r="AA176" s="201"/>
    </row>
    <row r="177" spans="1:27" ht="24" customHeight="1" x14ac:dyDescent="0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35"/>
      <c r="W177" s="200"/>
      <c r="X177" s="200"/>
      <c r="Y177" s="200"/>
      <c r="Z177" s="200"/>
      <c r="AA177" s="201"/>
    </row>
    <row r="178" spans="1:27" ht="24" customHeight="1" x14ac:dyDescent="0.2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35"/>
      <c r="W178" s="200"/>
      <c r="X178" s="200"/>
      <c r="Y178" s="200"/>
      <c r="Z178" s="200"/>
      <c r="AA178" s="201"/>
    </row>
    <row r="179" spans="1:27" ht="24" customHeight="1" x14ac:dyDescent="0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35"/>
      <c r="W179" s="200"/>
      <c r="X179" s="200"/>
      <c r="Y179" s="200"/>
      <c r="Z179" s="200"/>
      <c r="AA179" s="201"/>
    </row>
    <row r="180" spans="1:27" ht="24" customHeight="1" x14ac:dyDescent="0.25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35"/>
      <c r="W180" s="200"/>
      <c r="X180" s="200"/>
      <c r="Y180" s="200"/>
      <c r="Z180" s="200"/>
      <c r="AA180" s="201"/>
    </row>
    <row r="181" spans="1:27" ht="24" customHeight="1" x14ac:dyDescent="0.25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35"/>
      <c r="W181" s="200"/>
      <c r="X181" s="200"/>
      <c r="Y181" s="200"/>
      <c r="Z181" s="200"/>
      <c r="AA181" s="201"/>
    </row>
    <row r="182" spans="1:27" ht="24" customHeight="1" x14ac:dyDescent="0.25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35"/>
      <c r="W182" s="200"/>
      <c r="X182" s="200"/>
      <c r="Y182" s="200"/>
      <c r="Z182" s="200"/>
      <c r="AA182" s="201"/>
    </row>
    <row r="183" spans="1:27" ht="24" customHeight="1" x14ac:dyDescent="0.25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35"/>
      <c r="W183" s="200"/>
      <c r="X183" s="200"/>
      <c r="Y183" s="200"/>
      <c r="Z183" s="200"/>
      <c r="AA183" s="201"/>
    </row>
    <row r="184" spans="1:27" ht="24" customHeight="1" x14ac:dyDescent="0.25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35"/>
      <c r="W184" s="200"/>
      <c r="X184" s="200"/>
      <c r="Y184" s="200"/>
      <c r="Z184" s="200"/>
      <c r="AA184" s="201"/>
    </row>
    <row r="185" spans="1:27" ht="24" customHeight="1" x14ac:dyDescent="0.25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35"/>
      <c r="W185" s="200"/>
      <c r="X185" s="200"/>
      <c r="Y185" s="200"/>
      <c r="Z185" s="200"/>
      <c r="AA185" s="201"/>
    </row>
    <row r="186" spans="1:27" ht="24" customHeight="1" x14ac:dyDescent="0.25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35"/>
      <c r="W186" s="200"/>
      <c r="X186" s="200"/>
      <c r="Y186" s="200"/>
      <c r="Z186" s="200"/>
      <c r="AA186" s="201"/>
    </row>
    <row r="187" spans="1:27" ht="24" customHeight="1" x14ac:dyDescent="0.25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35"/>
      <c r="W187" s="200"/>
      <c r="X187" s="200"/>
      <c r="Y187" s="200"/>
      <c r="Z187" s="200"/>
      <c r="AA187" s="201"/>
    </row>
    <row r="188" spans="1:27" ht="24" customHeight="1" x14ac:dyDescent="0.25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35"/>
      <c r="W188" s="200"/>
      <c r="X188" s="200"/>
      <c r="Y188" s="200"/>
      <c r="Z188" s="200"/>
      <c r="AA188" s="201"/>
    </row>
    <row r="189" spans="1:27" ht="24" customHeight="1" x14ac:dyDescent="0.25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35"/>
      <c r="W189" s="200"/>
      <c r="X189" s="200"/>
      <c r="Y189" s="200"/>
      <c r="Z189" s="200"/>
      <c r="AA189" s="201"/>
    </row>
    <row r="190" spans="1:27" ht="24" customHeight="1" x14ac:dyDescent="0.25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35"/>
      <c r="W190" s="200"/>
      <c r="X190" s="200"/>
      <c r="Y190" s="200"/>
      <c r="Z190" s="200"/>
      <c r="AA190" s="201"/>
    </row>
    <row r="191" spans="1:27" ht="24" customHeight="1" x14ac:dyDescent="0.25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35"/>
      <c r="W191" s="200"/>
      <c r="X191" s="200"/>
      <c r="Y191" s="200"/>
      <c r="Z191" s="200"/>
      <c r="AA191" s="201"/>
    </row>
    <row r="192" spans="1:27" ht="24" customHeight="1" x14ac:dyDescent="0.25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35"/>
      <c r="W192" s="200"/>
      <c r="X192" s="200"/>
      <c r="Y192" s="200"/>
      <c r="Z192" s="200"/>
      <c r="AA192" s="201"/>
    </row>
    <row r="193" spans="1:27" ht="24" customHeight="1" x14ac:dyDescent="0.25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35"/>
      <c r="W193" s="200"/>
      <c r="X193" s="200"/>
      <c r="Y193" s="200"/>
      <c r="Z193" s="200"/>
      <c r="AA193" s="201"/>
    </row>
    <row r="194" spans="1:27" ht="24" customHeight="1" x14ac:dyDescent="0.25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35"/>
      <c r="W194" s="200"/>
      <c r="X194" s="200"/>
      <c r="Y194" s="200"/>
      <c r="Z194" s="200"/>
      <c r="AA194" s="201"/>
    </row>
    <row r="195" spans="1:27" ht="24" customHeight="1" x14ac:dyDescent="0.25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35"/>
      <c r="W195" s="200"/>
      <c r="X195" s="200"/>
      <c r="Y195" s="200"/>
      <c r="Z195" s="200"/>
      <c r="AA195" s="201"/>
    </row>
    <row r="196" spans="1:27" ht="24" customHeight="1" x14ac:dyDescent="0.25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35"/>
      <c r="W196" s="200"/>
      <c r="X196" s="200"/>
      <c r="Y196" s="200"/>
      <c r="Z196" s="200"/>
      <c r="AA196" s="201"/>
    </row>
    <row r="197" spans="1:27" ht="24" customHeight="1" x14ac:dyDescent="0.25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35"/>
      <c r="W197" s="200"/>
      <c r="X197" s="200"/>
      <c r="Y197" s="200"/>
      <c r="Z197" s="200"/>
      <c r="AA197" s="201"/>
    </row>
    <row r="198" spans="1:27" ht="24" customHeight="1" x14ac:dyDescent="0.25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35"/>
      <c r="W198" s="200"/>
      <c r="X198" s="200"/>
      <c r="Y198" s="200"/>
      <c r="Z198" s="200"/>
      <c r="AA198" s="201"/>
    </row>
    <row r="199" spans="1:27" ht="24" customHeight="1" x14ac:dyDescent="0.25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35"/>
      <c r="W199" s="200"/>
      <c r="X199" s="200"/>
      <c r="Y199" s="200"/>
      <c r="Z199" s="200"/>
      <c r="AA199" s="201"/>
    </row>
    <row r="200" spans="1:27" ht="24" customHeight="1" x14ac:dyDescent="0.25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35"/>
      <c r="W200" s="200"/>
      <c r="X200" s="200"/>
      <c r="Y200" s="200"/>
      <c r="Z200" s="200"/>
      <c r="AA200" s="201"/>
    </row>
    <row r="201" spans="1:27" ht="24" customHeight="1" x14ac:dyDescent="0.25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35"/>
      <c r="W201" s="200"/>
      <c r="X201" s="200"/>
      <c r="Y201" s="200"/>
      <c r="Z201" s="200"/>
      <c r="AA201" s="201"/>
    </row>
    <row r="202" spans="1:27" ht="24" customHeight="1" x14ac:dyDescent="0.25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35"/>
      <c r="W202" s="200"/>
      <c r="X202" s="200"/>
      <c r="Y202" s="200"/>
      <c r="Z202" s="200"/>
      <c r="AA202" s="201"/>
    </row>
    <row r="203" spans="1:27" ht="24" customHeight="1" x14ac:dyDescent="0.25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35"/>
      <c r="W203" s="200"/>
      <c r="X203" s="200"/>
      <c r="Y203" s="200"/>
      <c r="Z203" s="200"/>
      <c r="AA203" s="201"/>
    </row>
    <row r="204" spans="1:27" ht="24" customHeight="1" x14ac:dyDescent="0.25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35"/>
      <c r="W204" s="200"/>
      <c r="X204" s="200"/>
      <c r="Y204" s="200"/>
      <c r="Z204" s="200"/>
      <c r="AA204" s="201"/>
    </row>
    <row r="205" spans="1:27" ht="24" customHeight="1" x14ac:dyDescent="0.25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35"/>
      <c r="W205" s="200"/>
      <c r="X205" s="200"/>
      <c r="Y205" s="200"/>
      <c r="Z205" s="200"/>
      <c r="AA205" s="201"/>
    </row>
    <row r="206" spans="1:27" ht="24" customHeight="1" x14ac:dyDescent="0.25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35"/>
      <c r="W206" s="200"/>
      <c r="X206" s="200"/>
      <c r="Y206" s="200"/>
      <c r="Z206" s="200"/>
      <c r="AA206" s="201"/>
    </row>
    <row r="207" spans="1:27" ht="24" customHeight="1" x14ac:dyDescent="0.25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35"/>
      <c r="W207" s="200"/>
      <c r="X207" s="200"/>
      <c r="Y207" s="200"/>
      <c r="Z207" s="200"/>
      <c r="AA207" s="201"/>
    </row>
    <row r="208" spans="1:27" ht="24" customHeight="1" x14ac:dyDescent="0.25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35"/>
      <c r="W208" s="200"/>
      <c r="X208" s="200"/>
      <c r="Y208" s="200"/>
      <c r="Z208" s="200"/>
      <c r="AA208" s="201"/>
    </row>
    <row r="209" spans="1:27" ht="24" customHeight="1" x14ac:dyDescent="0.25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35"/>
      <c r="W209" s="200"/>
      <c r="X209" s="200"/>
      <c r="Y209" s="200"/>
      <c r="Z209" s="200"/>
      <c r="AA209" s="201"/>
    </row>
    <row r="210" spans="1:27" ht="24" customHeight="1" x14ac:dyDescent="0.25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35"/>
      <c r="W210" s="200"/>
      <c r="X210" s="200"/>
      <c r="Y210" s="200"/>
      <c r="Z210" s="200"/>
      <c r="AA210" s="201"/>
    </row>
    <row r="211" spans="1:27" ht="24" customHeight="1" x14ac:dyDescent="0.25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35"/>
      <c r="W211" s="200"/>
      <c r="X211" s="200"/>
      <c r="Y211" s="200"/>
      <c r="Z211" s="200"/>
      <c r="AA211" s="201"/>
    </row>
    <row r="212" spans="1:27" ht="24" customHeight="1" x14ac:dyDescent="0.25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35"/>
      <c r="W212" s="200"/>
      <c r="X212" s="200"/>
      <c r="Y212" s="200"/>
      <c r="Z212" s="200"/>
      <c r="AA212" s="201"/>
    </row>
    <row r="213" spans="1:27" ht="24" customHeight="1" x14ac:dyDescent="0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35"/>
      <c r="W213" s="200"/>
      <c r="X213" s="200"/>
      <c r="Y213" s="200"/>
      <c r="Z213" s="200"/>
      <c r="AA213" s="201"/>
    </row>
    <row r="214" spans="1:27" ht="24" customHeight="1" x14ac:dyDescent="0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35"/>
      <c r="W214" s="200"/>
      <c r="X214" s="200"/>
      <c r="Y214" s="200"/>
      <c r="Z214" s="200"/>
      <c r="AA214" s="201"/>
    </row>
    <row r="215" spans="1:27" ht="24" customHeight="1" x14ac:dyDescent="0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35"/>
      <c r="W215" s="200"/>
      <c r="X215" s="200"/>
      <c r="Y215" s="200"/>
      <c r="Z215" s="200"/>
      <c r="AA215" s="201"/>
    </row>
    <row r="216" spans="1:27" ht="24" customHeight="1" x14ac:dyDescent="0.25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35"/>
      <c r="W216" s="200"/>
      <c r="X216" s="200"/>
      <c r="Y216" s="200"/>
      <c r="Z216" s="200"/>
      <c r="AA216" s="201"/>
    </row>
    <row r="217" spans="1:27" ht="24" customHeight="1" x14ac:dyDescent="0.25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35"/>
      <c r="W217" s="200"/>
      <c r="X217" s="200"/>
      <c r="Y217" s="200"/>
      <c r="Z217" s="200"/>
      <c r="AA217" s="201"/>
    </row>
    <row r="218" spans="1:27" ht="24" customHeight="1" x14ac:dyDescent="0.25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35"/>
      <c r="W218" s="200"/>
      <c r="X218" s="200"/>
      <c r="Y218" s="200"/>
      <c r="Z218" s="200"/>
      <c r="AA218" s="201"/>
    </row>
    <row r="219" spans="1:27" ht="24" customHeight="1" x14ac:dyDescent="0.25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35"/>
      <c r="W219" s="200"/>
      <c r="X219" s="200"/>
      <c r="Y219" s="200"/>
      <c r="Z219" s="200"/>
      <c r="AA219" s="201"/>
    </row>
    <row r="220" spans="1:27" ht="24" customHeight="1" x14ac:dyDescent="0.25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35"/>
      <c r="W220" s="200"/>
      <c r="X220" s="200"/>
      <c r="Y220" s="200"/>
      <c r="Z220" s="200"/>
      <c r="AA220" s="201"/>
    </row>
    <row r="221" spans="1:27" ht="24" customHeight="1" x14ac:dyDescent="0.25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35"/>
      <c r="W221" s="200"/>
      <c r="X221" s="200"/>
      <c r="Y221" s="200"/>
      <c r="Z221" s="200"/>
      <c r="AA221" s="201"/>
    </row>
    <row r="222" spans="1:27" ht="24" customHeight="1" x14ac:dyDescent="0.25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35"/>
      <c r="W222" s="200"/>
      <c r="X222" s="200"/>
      <c r="Y222" s="200"/>
      <c r="Z222" s="200"/>
      <c r="AA222" s="201"/>
    </row>
    <row r="223" spans="1:27" ht="24" customHeight="1" x14ac:dyDescent="0.25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35"/>
      <c r="W223" s="200"/>
      <c r="X223" s="200"/>
      <c r="Y223" s="200"/>
      <c r="Z223" s="200"/>
      <c r="AA223" s="201"/>
    </row>
    <row r="224" spans="1:27" ht="24" customHeight="1" x14ac:dyDescent="0.25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35"/>
      <c r="W224" s="200"/>
      <c r="X224" s="200"/>
      <c r="Y224" s="200"/>
      <c r="Z224" s="200"/>
      <c r="AA224" s="201"/>
    </row>
    <row r="225" spans="1:27" ht="24" customHeight="1" x14ac:dyDescent="0.25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35"/>
      <c r="W225" s="200"/>
      <c r="X225" s="200"/>
      <c r="Y225" s="200"/>
      <c r="Z225" s="200"/>
      <c r="AA225" s="201"/>
    </row>
    <row r="226" spans="1:27" ht="24" customHeight="1" x14ac:dyDescent="0.25">
      <c r="A226" s="200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35"/>
      <c r="W226" s="200"/>
      <c r="X226" s="200"/>
      <c r="Y226" s="200"/>
      <c r="Z226" s="200"/>
      <c r="AA226" s="201"/>
    </row>
    <row r="227" spans="1:27" ht="24" customHeight="1" x14ac:dyDescent="0.25">
      <c r="A227" s="200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35"/>
      <c r="W227" s="200"/>
      <c r="X227" s="200"/>
      <c r="Y227" s="200"/>
      <c r="Z227" s="200"/>
      <c r="AA227" s="201"/>
    </row>
    <row r="228" spans="1:27" ht="24" customHeight="1" x14ac:dyDescent="0.25">
      <c r="A228" s="200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35"/>
      <c r="W228" s="200"/>
      <c r="X228" s="200"/>
      <c r="Y228" s="200"/>
      <c r="Z228" s="200"/>
      <c r="AA228" s="201"/>
    </row>
    <row r="229" spans="1:27" ht="24" customHeight="1" x14ac:dyDescent="0.25">
      <c r="A229" s="200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35"/>
      <c r="W229" s="200"/>
      <c r="X229" s="200"/>
      <c r="Y229" s="200"/>
      <c r="Z229" s="200"/>
      <c r="AA229" s="201"/>
    </row>
    <row r="230" spans="1:27" ht="24" customHeight="1" x14ac:dyDescent="0.25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</row>
    <row r="231" spans="1:27" ht="24" customHeight="1" x14ac:dyDescent="0.25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</row>
    <row r="232" spans="1:27" ht="24" customHeight="1" x14ac:dyDescent="0.25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</row>
    <row r="233" spans="1:27" ht="24" customHeight="1" x14ac:dyDescent="0.25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</row>
    <row r="234" spans="1:27" ht="24" customHeight="1" x14ac:dyDescent="0.25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</row>
    <row r="235" spans="1:27" ht="24" customHeight="1" x14ac:dyDescent="0.25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</row>
    <row r="236" spans="1:27" ht="24" customHeight="1" x14ac:dyDescent="0.25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</row>
    <row r="237" spans="1:27" ht="24" customHeight="1" x14ac:dyDescent="0.25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</row>
    <row r="238" spans="1:27" ht="24" customHeight="1" x14ac:dyDescent="0.25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</row>
    <row r="239" spans="1:27" ht="24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</row>
    <row r="240" spans="1:27" ht="24" customHeight="1" x14ac:dyDescent="0.25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</row>
    <row r="241" spans="1:27" ht="24" customHeight="1" x14ac:dyDescent="0.25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</row>
    <row r="242" spans="1:27" ht="24" customHeight="1" x14ac:dyDescent="0.25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</row>
    <row r="243" spans="1:27" ht="24" customHeight="1" x14ac:dyDescent="0.25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</row>
    <row r="244" spans="1:27" ht="24" customHeight="1" x14ac:dyDescent="0.25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</row>
    <row r="245" spans="1:27" ht="24" customHeight="1" x14ac:dyDescent="0.25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</row>
    <row r="246" spans="1:27" ht="24" customHeight="1" x14ac:dyDescent="0.25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</row>
    <row r="247" spans="1:27" ht="24" customHeight="1" x14ac:dyDescent="0.25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</row>
    <row r="248" spans="1:27" ht="24" customHeight="1" x14ac:dyDescent="0.25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</row>
    <row r="249" spans="1:27" ht="24" customHeight="1" x14ac:dyDescent="0.25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</row>
    <row r="250" spans="1:27" ht="24" customHeight="1" x14ac:dyDescent="0.25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</row>
    <row r="251" spans="1:27" ht="24" customHeight="1" x14ac:dyDescent="0.25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</row>
    <row r="252" spans="1:27" ht="24" customHeight="1" x14ac:dyDescent="0.25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</row>
    <row r="253" spans="1:27" ht="24" customHeight="1" x14ac:dyDescent="0.25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</row>
    <row r="254" spans="1:27" ht="24" customHeight="1" x14ac:dyDescent="0.25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</row>
    <row r="255" spans="1:27" ht="24" customHeight="1" x14ac:dyDescent="0.25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</row>
    <row r="256" spans="1:27" ht="24" customHeight="1" x14ac:dyDescent="0.25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</row>
    <row r="257" spans="1:27" ht="24" customHeight="1" x14ac:dyDescent="0.25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</row>
    <row r="258" spans="1:27" ht="24" customHeight="1" x14ac:dyDescent="0.25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</row>
    <row r="259" spans="1:27" ht="24" customHeight="1" x14ac:dyDescent="0.25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</row>
    <row r="260" spans="1:27" ht="24" customHeight="1" x14ac:dyDescent="0.25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</row>
    <row r="261" spans="1:27" ht="24" customHeight="1" x14ac:dyDescent="0.25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</row>
    <row r="262" spans="1:27" ht="24" customHeight="1" x14ac:dyDescent="0.25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</row>
    <row r="263" spans="1:27" ht="24" customHeight="1" x14ac:dyDescent="0.25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</row>
    <row r="264" spans="1:27" ht="24" customHeight="1" x14ac:dyDescent="0.25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</row>
    <row r="265" spans="1:27" ht="24" customHeight="1" x14ac:dyDescent="0.25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</row>
    <row r="266" spans="1:27" ht="24" customHeight="1" x14ac:dyDescent="0.25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</row>
    <row r="267" spans="1:27" ht="24" customHeight="1" x14ac:dyDescent="0.25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</row>
    <row r="268" spans="1:27" ht="24" customHeight="1" x14ac:dyDescent="0.25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</row>
    <row r="269" spans="1:27" ht="24" customHeight="1" x14ac:dyDescent="0.25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</row>
    <row r="270" spans="1:27" ht="24" customHeight="1" x14ac:dyDescent="0.25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</row>
    <row r="271" spans="1:27" ht="24" customHeight="1" x14ac:dyDescent="0.25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</row>
    <row r="272" spans="1:27" ht="24" customHeight="1" x14ac:dyDescent="0.25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</row>
    <row r="273" spans="1:27" ht="24" customHeight="1" x14ac:dyDescent="0.25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</row>
    <row r="274" spans="1:27" ht="24" customHeight="1" x14ac:dyDescent="0.25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</row>
    <row r="275" spans="1:27" ht="24" customHeight="1" x14ac:dyDescent="0.25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</row>
    <row r="276" spans="1:27" ht="24" customHeight="1" x14ac:dyDescent="0.25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</row>
    <row r="277" spans="1:27" ht="24" customHeight="1" x14ac:dyDescent="0.25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</row>
    <row r="278" spans="1:27" ht="24" customHeight="1" x14ac:dyDescent="0.25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</row>
    <row r="279" spans="1:27" ht="24" customHeight="1" x14ac:dyDescent="0.25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</row>
    <row r="280" spans="1:27" ht="24" customHeight="1" x14ac:dyDescent="0.25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</row>
    <row r="281" spans="1:27" ht="24" customHeight="1" x14ac:dyDescent="0.25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</row>
    <row r="282" spans="1:27" ht="24" customHeight="1" x14ac:dyDescent="0.25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</row>
    <row r="283" spans="1:27" ht="24" customHeight="1" x14ac:dyDescent="0.25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</row>
    <row r="284" spans="1:27" ht="24" customHeight="1" x14ac:dyDescent="0.25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</row>
    <row r="285" spans="1:27" ht="24" customHeight="1" x14ac:dyDescent="0.25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</row>
    <row r="286" spans="1:27" ht="24" customHeight="1" x14ac:dyDescent="0.25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</row>
    <row r="287" spans="1:27" ht="24" customHeight="1" x14ac:dyDescent="0.25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</row>
    <row r="288" spans="1:27" ht="24" customHeight="1" x14ac:dyDescent="0.25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</row>
    <row r="289" spans="1:27" ht="24" customHeight="1" x14ac:dyDescent="0.25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</row>
    <row r="290" spans="1:27" ht="24" customHeight="1" x14ac:dyDescent="0.25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</row>
    <row r="291" spans="1:27" ht="24" customHeight="1" x14ac:dyDescent="0.25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</row>
    <row r="292" spans="1:27" ht="24" customHeight="1" x14ac:dyDescent="0.25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</row>
    <row r="293" spans="1:27" ht="24" customHeight="1" x14ac:dyDescent="0.25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</row>
    <row r="294" spans="1:27" ht="24" customHeight="1" x14ac:dyDescent="0.25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</row>
    <row r="295" spans="1:27" ht="24" customHeight="1" x14ac:dyDescent="0.25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</row>
    <row r="296" spans="1:27" ht="24" customHeight="1" x14ac:dyDescent="0.25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</row>
    <row r="297" spans="1:27" ht="24" customHeight="1" x14ac:dyDescent="0.25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</row>
    <row r="298" spans="1:27" ht="24" customHeight="1" x14ac:dyDescent="0.25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</row>
    <row r="299" spans="1:27" ht="24" customHeight="1" x14ac:dyDescent="0.25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</row>
    <row r="300" spans="1:27" ht="24" customHeight="1" x14ac:dyDescent="0.25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</row>
    <row r="301" spans="1:27" ht="24" customHeight="1" x14ac:dyDescent="0.25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</row>
    <row r="302" spans="1:27" ht="24" customHeight="1" x14ac:dyDescent="0.25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</row>
    <row r="303" spans="1:27" ht="24" customHeight="1" x14ac:dyDescent="0.25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</row>
    <row r="304" spans="1:27" ht="24" customHeight="1" x14ac:dyDescent="0.25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</row>
    <row r="305" spans="1:27" ht="24" customHeight="1" x14ac:dyDescent="0.25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</row>
    <row r="306" spans="1:27" ht="24" customHeight="1" x14ac:dyDescent="0.25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</row>
    <row r="307" spans="1:27" ht="24" customHeight="1" x14ac:dyDescent="0.25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</row>
    <row r="308" spans="1:27" ht="24" customHeight="1" x14ac:dyDescent="0.25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</row>
    <row r="309" spans="1:27" ht="24" customHeight="1" x14ac:dyDescent="0.25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</row>
    <row r="310" spans="1:27" ht="24" customHeight="1" x14ac:dyDescent="0.25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</row>
    <row r="311" spans="1:27" ht="24" customHeight="1" x14ac:dyDescent="0.25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</row>
    <row r="312" spans="1:27" ht="24" customHeight="1" x14ac:dyDescent="0.25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</row>
    <row r="313" spans="1:27" ht="24" customHeight="1" x14ac:dyDescent="0.25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</row>
    <row r="314" spans="1:27" ht="24" customHeight="1" x14ac:dyDescent="0.25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</row>
    <row r="315" spans="1:27" ht="24" customHeight="1" x14ac:dyDescent="0.25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</row>
    <row r="316" spans="1:27" ht="24" customHeight="1" x14ac:dyDescent="0.25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</row>
    <row r="317" spans="1:27" ht="24" customHeight="1" x14ac:dyDescent="0.25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</row>
    <row r="318" spans="1:27" ht="24" customHeight="1" x14ac:dyDescent="0.25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</row>
    <row r="319" spans="1:27" ht="24" customHeight="1" x14ac:dyDescent="0.25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</row>
    <row r="320" spans="1:27" ht="24" customHeight="1" x14ac:dyDescent="0.25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</row>
    <row r="321" spans="1:27" ht="24" customHeight="1" x14ac:dyDescent="0.25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</row>
    <row r="322" spans="1:27" ht="24" customHeight="1" x14ac:dyDescent="0.25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</row>
    <row r="323" spans="1:27" ht="24" customHeight="1" x14ac:dyDescent="0.25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</row>
    <row r="324" spans="1:27" ht="24" customHeight="1" x14ac:dyDescent="0.25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</row>
    <row r="325" spans="1:27" ht="24" customHeight="1" x14ac:dyDescent="0.25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</row>
    <row r="326" spans="1:27" ht="24" customHeight="1" x14ac:dyDescent="0.25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</row>
    <row r="327" spans="1:27" ht="24" customHeight="1" x14ac:dyDescent="0.25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</row>
    <row r="328" spans="1:27" ht="24" customHeight="1" x14ac:dyDescent="0.25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</row>
    <row r="329" spans="1:27" ht="24" customHeight="1" x14ac:dyDescent="0.25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</row>
    <row r="330" spans="1:27" ht="24" customHeight="1" x14ac:dyDescent="0.25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</row>
    <row r="331" spans="1:27" ht="24" customHeight="1" x14ac:dyDescent="0.25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</row>
    <row r="332" spans="1:27" ht="24" customHeight="1" x14ac:dyDescent="0.25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</row>
    <row r="333" spans="1:27" ht="24" customHeight="1" x14ac:dyDescent="0.25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</row>
    <row r="334" spans="1:27" ht="24" customHeight="1" x14ac:dyDescent="0.25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</row>
    <row r="335" spans="1:27" ht="24" customHeight="1" x14ac:dyDescent="0.25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</row>
    <row r="336" spans="1:27" ht="24" customHeight="1" x14ac:dyDescent="0.25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</row>
    <row r="337" spans="1:27" ht="24" customHeight="1" x14ac:dyDescent="0.25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</row>
    <row r="338" spans="1:27" ht="24" customHeight="1" x14ac:dyDescent="0.25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</row>
    <row r="339" spans="1:27" ht="24" customHeight="1" x14ac:dyDescent="0.25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</row>
    <row r="340" spans="1:27" ht="24" customHeight="1" x14ac:dyDescent="0.25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</row>
    <row r="341" spans="1:27" ht="24" customHeight="1" x14ac:dyDescent="0.25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</row>
    <row r="342" spans="1:27" ht="24" customHeight="1" x14ac:dyDescent="0.25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</row>
    <row r="343" spans="1:27" ht="24" customHeight="1" x14ac:dyDescent="0.25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</row>
    <row r="344" spans="1:27" ht="24" customHeight="1" x14ac:dyDescent="0.25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</row>
    <row r="345" spans="1:27" ht="24" customHeight="1" x14ac:dyDescent="0.25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</row>
    <row r="346" spans="1:27" ht="24" customHeight="1" x14ac:dyDescent="0.25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</row>
    <row r="347" spans="1:27" ht="24" customHeight="1" x14ac:dyDescent="0.25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</row>
    <row r="348" spans="1:27" ht="24" customHeight="1" x14ac:dyDescent="0.25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</row>
    <row r="349" spans="1:27" ht="24" customHeight="1" x14ac:dyDescent="0.25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</row>
    <row r="350" spans="1:27" ht="24" customHeight="1" x14ac:dyDescent="0.25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</row>
    <row r="351" spans="1:27" ht="24" customHeight="1" x14ac:dyDescent="0.25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</row>
    <row r="352" spans="1:27" ht="24" customHeight="1" x14ac:dyDescent="0.25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</row>
    <row r="353" spans="1:27" ht="24" customHeight="1" x14ac:dyDescent="0.25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</row>
    <row r="354" spans="1:27" ht="24" customHeight="1" x14ac:dyDescent="0.25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</row>
    <row r="355" spans="1:27" ht="24" customHeight="1" x14ac:dyDescent="0.25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</row>
    <row r="356" spans="1:27" ht="24" customHeight="1" x14ac:dyDescent="0.25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</row>
    <row r="357" spans="1:27" ht="24" customHeight="1" x14ac:dyDescent="0.25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</row>
    <row r="358" spans="1:27" ht="24" customHeight="1" x14ac:dyDescent="0.25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</row>
    <row r="359" spans="1:27" ht="24" customHeight="1" x14ac:dyDescent="0.25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</row>
    <row r="360" spans="1:27" ht="24" customHeight="1" x14ac:dyDescent="0.25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</row>
    <row r="361" spans="1:27" ht="24" customHeight="1" x14ac:dyDescent="0.25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</row>
    <row r="362" spans="1:27" ht="24" customHeight="1" x14ac:dyDescent="0.25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</row>
    <row r="363" spans="1:27" ht="24" customHeight="1" x14ac:dyDescent="0.25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</row>
    <row r="364" spans="1:27" ht="24" customHeight="1" x14ac:dyDescent="0.25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</row>
    <row r="365" spans="1:27" ht="24" customHeight="1" x14ac:dyDescent="0.25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</row>
    <row r="366" spans="1:27" ht="24" customHeight="1" x14ac:dyDescent="0.25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</row>
    <row r="367" spans="1:27" ht="24" customHeight="1" x14ac:dyDescent="0.25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</row>
    <row r="368" spans="1:27" ht="24" customHeight="1" x14ac:dyDescent="0.25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</row>
    <row r="369" spans="1:27" ht="24" customHeight="1" x14ac:dyDescent="0.25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</row>
    <row r="370" spans="1:27" ht="24" customHeight="1" x14ac:dyDescent="0.25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</row>
    <row r="371" spans="1:27" ht="24" customHeight="1" x14ac:dyDescent="0.25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</row>
    <row r="372" spans="1:27" ht="24" customHeight="1" x14ac:dyDescent="0.25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</row>
    <row r="373" spans="1:27" ht="24" customHeight="1" x14ac:dyDescent="0.25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</row>
    <row r="374" spans="1:27" ht="24" customHeight="1" x14ac:dyDescent="0.25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</row>
    <row r="375" spans="1:27" ht="24" customHeight="1" x14ac:dyDescent="0.25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</row>
    <row r="376" spans="1:27" ht="24" customHeight="1" x14ac:dyDescent="0.25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</row>
    <row r="377" spans="1:27" ht="24" customHeight="1" x14ac:dyDescent="0.25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</row>
    <row r="378" spans="1:27" ht="24" customHeight="1" x14ac:dyDescent="0.25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</row>
    <row r="379" spans="1:27" ht="24" customHeight="1" x14ac:dyDescent="0.25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</row>
    <row r="380" spans="1:27" ht="24" customHeight="1" x14ac:dyDescent="0.25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</row>
    <row r="381" spans="1:27" ht="24" customHeight="1" x14ac:dyDescent="0.25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</row>
    <row r="382" spans="1:27" ht="24" customHeight="1" x14ac:dyDescent="0.25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</row>
    <row r="383" spans="1:27" ht="24" customHeight="1" x14ac:dyDescent="0.25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</row>
    <row r="384" spans="1:27" ht="24" customHeight="1" x14ac:dyDescent="0.25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</row>
    <row r="385" spans="1:27" ht="24" customHeight="1" x14ac:dyDescent="0.25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</row>
    <row r="386" spans="1:27" ht="24" customHeight="1" x14ac:dyDescent="0.25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</row>
    <row r="387" spans="1:27" ht="24" customHeight="1" x14ac:dyDescent="0.25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</row>
    <row r="388" spans="1:27" ht="24" customHeight="1" x14ac:dyDescent="0.25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</row>
    <row r="389" spans="1:27" ht="24" customHeight="1" x14ac:dyDescent="0.25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</row>
    <row r="390" spans="1:27" ht="24" customHeight="1" x14ac:dyDescent="0.25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</row>
    <row r="391" spans="1:27" ht="24" customHeight="1" x14ac:dyDescent="0.25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</row>
    <row r="392" spans="1:27" ht="24" customHeight="1" x14ac:dyDescent="0.25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</row>
    <row r="393" spans="1:27" ht="24" customHeight="1" x14ac:dyDescent="0.25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</row>
    <row r="394" spans="1:27" ht="24" customHeight="1" x14ac:dyDescent="0.25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</row>
    <row r="395" spans="1:27" ht="24" customHeight="1" x14ac:dyDescent="0.25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</row>
    <row r="396" spans="1:27" ht="24" customHeight="1" x14ac:dyDescent="0.25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</row>
    <row r="397" spans="1:27" ht="24" customHeight="1" x14ac:dyDescent="0.25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</row>
    <row r="398" spans="1:27" ht="24" customHeight="1" x14ac:dyDescent="0.25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</row>
    <row r="399" spans="1:27" ht="24" customHeight="1" x14ac:dyDescent="0.25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</row>
    <row r="400" spans="1:27" ht="24" customHeight="1" x14ac:dyDescent="0.25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</row>
    <row r="401" spans="1:27" ht="24" customHeight="1" x14ac:dyDescent="0.25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</row>
    <row r="402" spans="1:27" ht="24" customHeight="1" x14ac:dyDescent="0.25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</row>
    <row r="403" spans="1:27" ht="24" customHeight="1" x14ac:dyDescent="0.25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</row>
    <row r="404" spans="1:27" ht="24" customHeight="1" x14ac:dyDescent="0.25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</row>
    <row r="405" spans="1:27" ht="24" customHeight="1" x14ac:dyDescent="0.25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</row>
    <row r="406" spans="1:27" ht="24" customHeight="1" x14ac:dyDescent="0.25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</row>
    <row r="407" spans="1:27" ht="24" customHeight="1" x14ac:dyDescent="0.25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</row>
    <row r="408" spans="1:27" ht="24" customHeight="1" x14ac:dyDescent="0.25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</row>
    <row r="409" spans="1:27" ht="24" customHeight="1" x14ac:dyDescent="0.25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</row>
    <row r="410" spans="1:27" ht="24" customHeight="1" x14ac:dyDescent="0.25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</row>
    <row r="411" spans="1:27" ht="24" customHeight="1" x14ac:dyDescent="0.25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</row>
    <row r="412" spans="1:27" ht="24" customHeight="1" x14ac:dyDescent="0.25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</row>
    <row r="413" spans="1:27" ht="24" customHeight="1" x14ac:dyDescent="0.25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</row>
    <row r="414" spans="1:27" ht="24" customHeight="1" x14ac:dyDescent="0.25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</row>
    <row r="415" spans="1:27" ht="24" customHeight="1" x14ac:dyDescent="0.25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</row>
    <row r="416" spans="1:27" ht="24" customHeight="1" x14ac:dyDescent="0.25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</row>
    <row r="417" spans="1:27" ht="24" customHeight="1" x14ac:dyDescent="0.25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</row>
    <row r="418" spans="1:27" ht="24" customHeight="1" x14ac:dyDescent="0.25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</row>
    <row r="419" spans="1:27" ht="24" customHeight="1" x14ac:dyDescent="0.25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</row>
    <row r="420" spans="1:27" ht="24" customHeight="1" x14ac:dyDescent="0.25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</row>
    <row r="421" spans="1:27" ht="24" customHeight="1" x14ac:dyDescent="0.25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</row>
    <row r="422" spans="1:27" ht="24" customHeight="1" x14ac:dyDescent="0.25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</row>
    <row r="423" spans="1:27" ht="24" customHeight="1" x14ac:dyDescent="0.25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</row>
    <row r="424" spans="1:27" ht="24" customHeight="1" x14ac:dyDescent="0.25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</row>
    <row r="425" spans="1:27" ht="24" customHeight="1" x14ac:dyDescent="0.25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</row>
    <row r="426" spans="1:27" ht="24" customHeight="1" x14ac:dyDescent="0.25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</row>
    <row r="427" spans="1:27" ht="24" customHeight="1" x14ac:dyDescent="0.25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</row>
    <row r="428" spans="1:27" ht="24" customHeight="1" x14ac:dyDescent="0.25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</row>
    <row r="429" spans="1:27" ht="24" customHeight="1" x14ac:dyDescent="0.25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</row>
    <row r="430" spans="1:27" ht="24" customHeight="1" x14ac:dyDescent="0.25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</row>
    <row r="431" spans="1:27" ht="24" customHeight="1" x14ac:dyDescent="0.25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</row>
    <row r="432" spans="1:27" ht="24" customHeight="1" x14ac:dyDescent="0.25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</row>
    <row r="433" spans="1:27" ht="24" customHeight="1" x14ac:dyDescent="0.25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</row>
    <row r="434" spans="1:27" ht="24" customHeight="1" x14ac:dyDescent="0.25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</row>
    <row r="435" spans="1:27" ht="24" customHeight="1" x14ac:dyDescent="0.25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</row>
    <row r="436" spans="1:27" ht="24" customHeight="1" x14ac:dyDescent="0.25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</row>
    <row r="437" spans="1:27" ht="24" customHeight="1" x14ac:dyDescent="0.25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</row>
    <row r="438" spans="1:27" ht="24" customHeight="1" x14ac:dyDescent="0.25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</row>
    <row r="439" spans="1:27" ht="24" customHeight="1" x14ac:dyDescent="0.25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</row>
    <row r="440" spans="1:27" ht="24" customHeight="1" x14ac:dyDescent="0.25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</row>
    <row r="441" spans="1:27" ht="24" customHeight="1" x14ac:dyDescent="0.25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</row>
    <row r="442" spans="1:27" ht="24" customHeight="1" x14ac:dyDescent="0.25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</row>
    <row r="443" spans="1:27" ht="24" customHeight="1" x14ac:dyDescent="0.25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</row>
    <row r="444" spans="1:27" ht="24" customHeight="1" x14ac:dyDescent="0.25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</row>
    <row r="445" spans="1:27" ht="24" customHeight="1" x14ac:dyDescent="0.25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</row>
    <row r="446" spans="1:27" ht="24" customHeight="1" x14ac:dyDescent="0.25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</row>
    <row r="447" spans="1:27" ht="24" customHeight="1" x14ac:dyDescent="0.25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</row>
    <row r="448" spans="1:27" ht="24" customHeight="1" x14ac:dyDescent="0.25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</row>
    <row r="449" spans="1:27" ht="24" customHeight="1" x14ac:dyDescent="0.25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</row>
    <row r="450" spans="1:27" ht="24" customHeight="1" x14ac:dyDescent="0.25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</row>
    <row r="451" spans="1:27" ht="24" customHeight="1" x14ac:dyDescent="0.25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</row>
    <row r="452" spans="1:27" ht="24" customHeight="1" x14ac:dyDescent="0.25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</row>
    <row r="453" spans="1:27" ht="24" customHeight="1" x14ac:dyDescent="0.25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</row>
    <row r="454" spans="1:27" ht="24" customHeight="1" x14ac:dyDescent="0.25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</row>
    <row r="455" spans="1:27" ht="24" customHeight="1" x14ac:dyDescent="0.25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</row>
    <row r="456" spans="1:27" ht="24" customHeight="1" x14ac:dyDescent="0.25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</row>
    <row r="457" spans="1:27" ht="24" customHeight="1" x14ac:dyDescent="0.25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</row>
    <row r="458" spans="1:27" ht="24" customHeight="1" x14ac:dyDescent="0.25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</row>
    <row r="459" spans="1:27" ht="24" customHeight="1" x14ac:dyDescent="0.25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</row>
    <row r="460" spans="1:27" ht="24" customHeight="1" x14ac:dyDescent="0.25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</row>
    <row r="461" spans="1:27" ht="24" customHeight="1" x14ac:dyDescent="0.25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</row>
    <row r="462" spans="1:27" ht="24" customHeight="1" x14ac:dyDescent="0.25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</row>
    <row r="463" spans="1:27" ht="24" customHeight="1" x14ac:dyDescent="0.25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</row>
    <row r="464" spans="1:27" ht="24" customHeight="1" x14ac:dyDescent="0.25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</row>
    <row r="465" spans="1:27" ht="24" customHeight="1" x14ac:dyDescent="0.25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</row>
    <row r="466" spans="1:27" ht="24" customHeight="1" x14ac:dyDescent="0.25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</row>
    <row r="467" spans="1:27" ht="24" customHeight="1" x14ac:dyDescent="0.25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</row>
    <row r="468" spans="1:27" ht="24" customHeight="1" x14ac:dyDescent="0.25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</row>
    <row r="469" spans="1:27" ht="24" customHeight="1" x14ac:dyDescent="0.25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</row>
    <row r="470" spans="1:27" ht="24" customHeight="1" x14ac:dyDescent="0.25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</row>
    <row r="471" spans="1:27" ht="24" customHeight="1" x14ac:dyDescent="0.25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</row>
    <row r="472" spans="1:27" ht="24" customHeight="1" x14ac:dyDescent="0.25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</row>
    <row r="473" spans="1:27" ht="24" customHeight="1" x14ac:dyDescent="0.25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</row>
    <row r="474" spans="1:27" ht="24" customHeight="1" x14ac:dyDescent="0.25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</row>
    <row r="475" spans="1:27" ht="24" customHeight="1" x14ac:dyDescent="0.25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</row>
    <row r="476" spans="1:27" ht="24" customHeight="1" x14ac:dyDescent="0.25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</row>
    <row r="477" spans="1:27" ht="24" customHeight="1" x14ac:dyDescent="0.25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</row>
    <row r="478" spans="1:27" ht="24" customHeight="1" x14ac:dyDescent="0.25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</row>
    <row r="479" spans="1:27" ht="24" customHeight="1" x14ac:dyDescent="0.25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</row>
    <row r="480" spans="1:27" ht="24" customHeight="1" x14ac:dyDescent="0.25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</row>
    <row r="481" spans="1:27" ht="24" customHeight="1" x14ac:dyDescent="0.25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</row>
    <row r="482" spans="1:27" ht="24" customHeight="1" x14ac:dyDescent="0.25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</row>
    <row r="483" spans="1:27" ht="24" customHeight="1" x14ac:dyDescent="0.25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</row>
    <row r="484" spans="1:27" ht="24" customHeight="1" x14ac:dyDescent="0.25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</row>
    <row r="485" spans="1:27" ht="24" customHeight="1" x14ac:dyDescent="0.25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</row>
    <row r="486" spans="1:27" ht="24" customHeight="1" x14ac:dyDescent="0.25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</row>
    <row r="487" spans="1:27" ht="24" customHeight="1" x14ac:dyDescent="0.25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</row>
    <row r="488" spans="1:27" ht="24" customHeight="1" x14ac:dyDescent="0.25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</row>
    <row r="489" spans="1:27" ht="24" customHeight="1" x14ac:dyDescent="0.25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</row>
    <row r="490" spans="1:27" ht="24" customHeight="1" x14ac:dyDescent="0.25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</row>
    <row r="491" spans="1:27" ht="24" customHeight="1" x14ac:dyDescent="0.25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</row>
    <row r="492" spans="1:27" ht="24" customHeight="1" x14ac:dyDescent="0.25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</row>
    <row r="493" spans="1:27" ht="24" customHeight="1" x14ac:dyDescent="0.25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</row>
    <row r="494" spans="1:27" ht="24" customHeight="1" x14ac:dyDescent="0.25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</row>
    <row r="495" spans="1:27" ht="24" customHeight="1" x14ac:dyDescent="0.25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</row>
    <row r="496" spans="1:27" ht="24" customHeight="1" x14ac:dyDescent="0.25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</row>
    <row r="497" spans="1:27" ht="24" customHeight="1" x14ac:dyDescent="0.25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</row>
    <row r="498" spans="1:27" ht="24" customHeight="1" x14ac:dyDescent="0.25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</row>
    <row r="499" spans="1:27" ht="24" customHeight="1" x14ac:dyDescent="0.25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</row>
    <row r="500" spans="1:27" ht="24" customHeight="1" x14ac:dyDescent="0.25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</row>
    <row r="501" spans="1:27" ht="24" customHeight="1" x14ac:dyDescent="0.25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</row>
    <row r="502" spans="1:27" ht="24" customHeight="1" x14ac:dyDescent="0.25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</row>
    <row r="503" spans="1:27" ht="24" customHeight="1" x14ac:dyDescent="0.25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</row>
    <row r="504" spans="1:27" ht="24" customHeight="1" x14ac:dyDescent="0.25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</row>
    <row r="505" spans="1:27" ht="24" customHeight="1" x14ac:dyDescent="0.25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</row>
    <row r="506" spans="1:27" ht="24" customHeight="1" x14ac:dyDescent="0.25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</row>
    <row r="507" spans="1:27" ht="24" customHeight="1" x14ac:dyDescent="0.25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</row>
    <row r="508" spans="1:27" ht="24" customHeight="1" x14ac:dyDescent="0.25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</row>
    <row r="509" spans="1:27" ht="24" customHeight="1" x14ac:dyDescent="0.25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</row>
    <row r="510" spans="1:27" ht="24" customHeight="1" x14ac:dyDescent="0.25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</row>
    <row r="511" spans="1:27" ht="24" customHeight="1" x14ac:dyDescent="0.25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</row>
    <row r="512" spans="1:27" ht="24" customHeight="1" x14ac:dyDescent="0.25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</row>
    <row r="513" spans="1:27" ht="24" customHeight="1" x14ac:dyDescent="0.25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</row>
    <row r="514" spans="1:27" ht="24" customHeight="1" x14ac:dyDescent="0.25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</row>
    <row r="515" spans="1:27" ht="24" customHeight="1" x14ac:dyDescent="0.25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</row>
    <row r="516" spans="1:27" ht="24" customHeight="1" x14ac:dyDescent="0.25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</row>
    <row r="517" spans="1:27" ht="24" customHeight="1" x14ac:dyDescent="0.25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</row>
    <row r="518" spans="1:27" ht="24" customHeight="1" x14ac:dyDescent="0.25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</row>
    <row r="519" spans="1:27" ht="24" customHeight="1" x14ac:dyDescent="0.25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</row>
    <row r="520" spans="1:27" ht="24" customHeight="1" x14ac:dyDescent="0.25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</row>
    <row r="521" spans="1:27" ht="24" customHeight="1" x14ac:dyDescent="0.25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</row>
    <row r="522" spans="1:27" ht="24" customHeight="1" x14ac:dyDescent="0.25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</row>
    <row r="523" spans="1:27" ht="24" customHeight="1" x14ac:dyDescent="0.25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</row>
    <row r="524" spans="1:27" ht="24" customHeight="1" x14ac:dyDescent="0.25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</row>
    <row r="525" spans="1:27" ht="24" customHeight="1" x14ac:dyDescent="0.25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</row>
    <row r="526" spans="1:27" ht="24" customHeight="1" x14ac:dyDescent="0.25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</row>
    <row r="527" spans="1:27" ht="24" customHeight="1" x14ac:dyDescent="0.25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</row>
    <row r="528" spans="1:27" ht="24" customHeight="1" x14ac:dyDescent="0.25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</row>
    <row r="529" spans="1:27" ht="24" customHeight="1" x14ac:dyDescent="0.25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</row>
    <row r="530" spans="1:27" ht="24" customHeight="1" x14ac:dyDescent="0.25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</row>
    <row r="531" spans="1:27" ht="24" customHeight="1" x14ac:dyDescent="0.25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</row>
    <row r="532" spans="1:27" ht="24" customHeight="1" x14ac:dyDescent="0.25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</row>
    <row r="533" spans="1:27" ht="24" customHeight="1" x14ac:dyDescent="0.25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</row>
    <row r="534" spans="1:27" ht="24" customHeight="1" x14ac:dyDescent="0.25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</row>
    <row r="535" spans="1:27" ht="24" customHeight="1" x14ac:dyDescent="0.25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</row>
    <row r="536" spans="1:27" ht="24" customHeight="1" x14ac:dyDescent="0.25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</row>
    <row r="537" spans="1:27" ht="24" customHeight="1" x14ac:dyDescent="0.25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</row>
    <row r="538" spans="1:27" ht="24" customHeight="1" x14ac:dyDescent="0.25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</row>
    <row r="539" spans="1:27" ht="24" customHeight="1" x14ac:dyDescent="0.25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</row>
    <row r="540" spans="1:27" ht="24" customHeight="1" x14ac:dyDescent="0.25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</row>
    <row r="541" spans="1:27" ht="24" customHeight="1" x14ac:dyDescent="0.25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</row>
    <row r="542" spans="1:27" ht="24" customHeight="1" x14ac:dyDescent="0.25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</row>
    <row r="543" spans="1:27" ht="24" customHeight="1" x14ac:dyDescent="0.25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</row>
    <row r="544" spans="1:27" ht="24" customHeight="1" x14ac:dyDescent="0.25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</row>
    <row r="545" spans="1:27" ht="24" customHeight="1" x14ac:dyDescent="0.25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</row>
    <row r="546" spans="1:27" ht="24" customHeight="1" x14ac:dyDescent="0.25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</row>
    <row r="547" spans="1:27" ht="24" customHeight="1" x14ac:dyDescent="0.25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</row>
    <row r="548" spans="1:27" ht="24" customHeight="1" x14ac:dyDescent="0.25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</row>
    <row r="549" spans="1:27" ht="24" customHeight="1" x14ac:dyDescent="0.25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</row>
    <row r="550" spans="1:27" ht="24" customHeight="1" x14ac:dyDescent="0.25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</row>
    <row r="551" spans="1:27" ht="24" customHeight="1" x14ac:dyDescent="0.25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</row>
    <row r="552" spans="1:27" ht="24" customHeight="1" x14ac:dyDescent="0.25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</row>
    <row r="553" spans="1:27" ht="24" customHeight="1" x14ac:dyDescent="0.25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</row>
    <row r="554" spans="1:27" ht="24" customHeight="1" x14ac:dyDescent="0.25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</row>
    <row r="555" spans="1:27" ht="24" customHeight="1" x14ac:dyDescent="0.25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</row>
    <row r="556" spans="1:27" ht="24" customHeight="1" x14ac:dyDescent="0.25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</row>
    <row r="557" spans="1:27" ht="24" customHeight="1" x14ac:dyDescent="0.25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</row>
    <row r="558" spans="1:27" ht="24" customHeight="1" x14ac:dyDescent="0.25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</row>
    <row r="559" spans="1:27" ht="24" customHeight="1" x14ac:dyDescent="0.25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</row>
    <row r="560" spans="1:27" ht="24" customHeight="1" x14ac:dyDescent="0.25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</row>
    <row r="561" spans="1:27" ht="24" customHeight="1" x14ac:dyDescent="0.25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</row>
    <row r="562" spans="1:27" ht="24" customHeight="1" x14ac:dyDescent="0.25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</row>
    <row r="563" spans="1:27" ht="24" customHeight="1" x14ac:dyDescent="0.25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</row>
    <row r="564" spans="1:27" ht="24" customHeight="1" x14ac:dyDescent="0.25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</row>
    <row r="565" spans="1:27" ht="24" customHeight="1" x14ac:dyDescent="0.25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</row>
    <row r="566" spans="1:27" ht="24" customHeight="1" x14ac:dyDescent="0.25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</row>
    <row r="567" spans="1:27" ht="24" customHeight="1" x14ac:dyDescent="0.25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</row>
    <row r="568" spans="1:27" ht="24" customHeight="1" x14ac:dyDescent="0.25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</row>
    <row r="569" spans="1:27" ht="24" customHeight="1" x14ac:dyDescent="0.25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</row>
    <row r="570" spans="1:27" ht="24" customHeight="1" x14ac:dyDescent="0.25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</row>
    <row r="571" spans="1:27" ht="24" customHeight="1" x14ac:dyDescent="0.25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</row>
    <row r="572" spans="1:27" ht="24" customHeight="1" x14ac:dyDescent="0.25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</row>
    <row r="573" spans="1:27" ht="24" customHeight="1" x14ac:dyDescent="0.25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</row>
    <row r="574" spans="1:27" ht="24" customHeight="1" x14ac:dyDescent="0.25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</row>
    <row r="575" spans="1:27" ht="24" customHeight="1" x14ac:dyDescent="0.25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</row>
    <row r="576" spans="1:27" ht="24" customHeight="1" x14ac:dyDescent="0.25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</row>
    <row r="577" spans="1:27" ht="24" customHeight="1" x14ac:dyDescent="0.25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</row>
    <row r="578" spans="1:27" ht="24" customHeight="1" x14ac:dyDescent="0.25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</row>
    <row r="579" spans="1:27" ht="24" customHeight="1" x14ac:dyDescent="0.25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</row>
    <row r="580" spans="1:27" ht="24" customHeight="1" x14ac:dyDescent="0.25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</row>
    <row r="581" spans="1:27" ht="24" customHeight="1" x14ac:dyDescent="0.25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</row>
    <row r="582" spans="1:27" ht="24" customHeight="1" x14ac:dyDescent="0.25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</row>
    <row r="583" spans="1:27" ht="24" customHeight="1" x14ac:dyDescent="0.25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</row>
    <row r="584" spans="1:27" ht="24" customHeight="1" x14ac:dyDescent="0.25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</row>
    <row r="585" spans="1:27" ht="24" customHeight="1" x14ac:dyDescent="0.25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</row>
    <row r="586" spans="1:27" ht="24" customHeight="1" x14ac:dyDescent="0.25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</row>
    <row r="587" spans="1:27" ht="24" customHeight="1" x14ac:dyDescent="0.25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</row>
    <row r="588" spans="1:27" ht="24" customHeight="1" x14ac:dyDescent="0.25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</row>
    <row r="589" spans="1:27" ht="24" customHeight="1" x14ac:dyDescent="0.25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</row>
    <row r="590" spans="1:27" ht="24" customHeight="1" x14ac:dyDescent="0.25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</row>
    <row r="591" spans="1:27" ht="24" customHeight="1" x14ac:dyDescent="0.25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</row>
    <row r="592" spans="1:27" ht="24" customHeight="1" x14ac:dyDescent="0.25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</row>
    <row r="593" spans="1:27" ht="24" customHeight="1" x14ac:dyDescent="0.25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</row>
    <row r="594" spans="1:27" ht="24" customHeight="1" x14ac:dyDescent="0.25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</row>
    <row r="595" spans="1:27" ht="24" customHeight="1" x14ac:dyDescent="0.25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</row>
    <row r="596" spans="1:27" ht="24" customHeight="1" x14ac:dyDescent="0.25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</row>
    <row r="597" spans="1:27" ht="24" customHeight="1" x14ac:dyDescent="0.25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</row>
    <row r="598" spans="1:27" ht="24" customHeight="1" x14ac:dyDescent="0.25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</row>
    <row r="599" spans="1:27" ht="24" customHeight="1" x14ac:dyDescent="0.25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</row>
    <row r="600" spans="1:27" ht="24" customHeight="1" x14ac:dyDescent="0.25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</row>
    <row r="601" spans="1:27" ht="24" customHeight="1" x14ac:dyDescent="0.25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</row>
    <row r="602" spans="1:27" ht="24" customHeight="1" x14ac:dyDescent="0.25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</row>
    <row r="603" spans="1:27" ht="24" customHeight="1" x14ac:dyDescent="0.25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</row>
    <row r="604" spans="1:27" ht="24" customHeight="1" x14ac:dyDescent="0.25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</row>
    <row r="605" spans="1:27" ht="24" customHeight="1" x14ac:dyDescent="0.25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</row>
    <row r="606" spans="1:27" ht="24" customHeight="1" x14ac:dyDescent="0.25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</row>
    <row r="607" spans="1:27" ht="24" customHeight="1" x14ac:dyDescent="0.25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</row>
    <row r="608" spans="1:27" ht="24" customHeight="1" x14ac:dyDescent="0.25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</row>
    <row r="609" spans="1:27" ht="24" customHeight="1" x14ac:dyDescent="0.25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</row>
    <row r="610" spans="1:27" ht="24" customHeight="1" x14ac:dyDescent="0.25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  <c r="AA610" s="201"/>
    </row>
    <row r="611" spans="1:27" ht="24" customHeight="1" x14ac:dyDescent="0.25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</row>
    <row r="612" spans="1:27" ht="24" customHeight="1" x14ac:dyDescent="0.25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</row>
    <row r="613" spans="1:27" ht="24" customHeight="1" x14ac:dyDescent="0.25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  <c r="AA613" s="201"/>
    </row>
    <row r="614" spans="1:27" ht="24" customHeight="1" x14ac:dyDescent="0.25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  <c r="AA614" s="201"/>
    </row>
    <row r="615" spans="1:27" ht="24" customHeight="1" x14ac:dyDescent="0.25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  <c r="AA615" s="201"/>
    </row>
    <row r="616" spans="1:27" ht="24" customHeight="1" x14ac:dyDescent="0.25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  <c r="AA616" s="201"/>
    </row>
    <row r="617" spans="1:27" ht="24" customHeight="1" x14ac:dyDescent="0.25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  <c r="AA617" s="201"/>
    </row>
    <row r="618" spans="1:27" ht="24" customHeight="1" x14ac:dyDescent="0.25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</row>
    <row r="619" spans="1:27" ht="24" customHeight="1" x14ac:dyDescent="0.25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  <c r="AA619" s="201"/>
    </row>
    <row r="620" spans="1:27" ht="24" customHeight="1" x14ac:dyDescent="0.25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  <c r="AA620" s="201"/>
    </row>
    <row r="621" spans="1:27" ht="24" customHeight="1" x14ac:dyDescent="0.25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  <c r="AA621" s="201"/>
    </row>
    <row r="622" spans="1:27" ht="24" customHeight="1" x14ac:dyDescent="0.25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  <c r="AA622" s="201"/>
    </row>
    <row r="623" spans="1:27" ht="24" customHeight="1" x14ac:dyDescent="0.25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  <c r="AA623" s="201"/>
    </row>
    <row r="624" spans="1:27" ht="24" customHeight="1" x14ac:dyDescent="0.25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  <c r="AA624" s="201"/>
    </row>
    <row r="625" spans="1:27" ht="24" customHeight="1" x14ac:dyDescent="0.25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  <c r="AA625" s="201"/>
    </row>
    <row r="626" spans="1:27" ht="24" customHeight="1" x14ac:dyDescent="0.25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  <c r="AA626" s="201"/>
    </row>
    <row r="627" spans="1:27" ht="24" customHeight="1" x14ac:dyDescent="0.25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  <c r="AA627" s="201"/>
    </row>
    <row r="628" spans="1:27" ht="24" customHeight="1" x14ac:dyDescent="0.25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  <c r="AA628" s="201"/>
    </row>
    <row r="629" spans="1:27" ht="24" customHeight="1" x14ac:dyDescent="0.25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  <c r="AA629" s="201"/>
    </row>
    <row r="630" spans="1:27" ht="24" customHeight="1" x14ac:dyDescent="0.25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</row>
    <row r="631" spans="1:27" ht="24" customHeight="1" x14ac:dyDescent="0.25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  <c r="AA631" s="201"/>
    </row>
    <row r="632" spans="1:27" ht="24" customHeight="1" x14ac:dyDescent="0.25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  <c r="AA632" s="201"/>
    </row>
    <row r="633" spans="1:27" ht="24" customHeight="1" x14ac:dyDescent="0.25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  <c r="AA633" s="201"/>
    </row>
    <row r="634" spans="1:27" ht="24" customHeight="1" x14ac:dyDescent="0.25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  <c r="AA634" s="201"/>
    </row>
    <row r="635" spans="1:27" ht="24" customHeight="1" x14ac:dyDescent="0.25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  <c r="AA635" s="201"/>
    </row>
    <row r="636" spans="1:27" ht="24" customHeight="1" x14ac:dyDescent="0.25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  <c r="AA636" s="201"/>
    </row>
    <row r="637" spans="1:27" ht="24" customHeight="1" x14ac:dyDescent="0.25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  <c r="AA637" s="201"/>
    </row>
    <row r="638" spans="1:27" ht="24" customHeight="1" x14ac:dyDescent="0.25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  <c r="AA638" s="201"/>
    </row>
    <row r="639" spans="1:27" ht="24" customHeight="1" x14ac:dyDescent="0.25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  <c r="AA639" s="201"/>
    </row>
    <row r="640" spans="1:27" ht="24" customHeight="1" x14ac:dyDescent="0.25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  <c r="AA640" s="201"/>
    </row>
    <row r="641" spans="1:27" ht="24" customHeight="1" x14ac:dyDescent="0.25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  <c r="AA641" s="201"/>
    </row>
    <row r="642" spans="1:27" ht="24" customHeight="1" x14ac:dyDescent="0.25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</row>
    <row r="643" spans="1:27" ht="24" customHeight="1" x14ac:dyDescent="0.25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  <c r="AA643" s="201"/>
    </row>
    <row r="644" spans="1:27" ht="24" customHeight="1" x14ac:dyDescent="0.25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  <c r="AA644" s="201"/>
    </row>
    <row r="645" spans="1:27" ht="24" customHeight="1" x14ac:dyDescent="0.25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  <c r="AA645" s="201"/>
    </row>
    <row r="646" spans="1:27" ht="24" customHeight="1" x14ac:dyDescent="0.25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  <c r="AA646" s="201"/>
    </row>
    <row r="647" spans="1:27" ht="24" customHeight="1" x14ac:dyDescent="0.25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</row>
    <row r="648" spans="1:27" ht="24" customHeight="1" x14ac:dyDescent="0.25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  <c r="AA648" s="201"/>
    </row>
    <row r="649" spans="1:27" ht="24" customHeight="1" x14ac:dyDescent="0.25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  <c r="AA649" s="201"/>
    </row>
    <row r="650" spans="1:27" ht="24" customHeight="1" x14ac:dyDescent="0.25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  <c r="AA650" s="201"/>
    </row>
    <row r="651" spans="1:27" ht="24" customHeight="1" x14ac:dyDescent="0.25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  <c r="AA651" s="201"/>
    </row>
    <row r="652" spans="1:27" ht="24" customHeight="1" x14ac:dyDescent="0.25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  <c r="AA652" s="201"/>
    </row>
    <row r="653" spans="1:27" ht="24" customHeight="1" x14ac:dyDescent="0.25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  <c r="AA653" s="201"/>
    </row>
    <row r="654" spans="1:27" ht="24" customHeight="1" x14ac:dyDescent="0.25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  <c r="AA654" s="201"/>
    </row>
    <row r="655" spans="1:27" ht="24" customHeight="1" x14ac:dyDescent="0.25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  <c r="AA655" s="201"/>
    </row>
    <row r="656" spans="1:27" ht="24" customHeight="1" x14ac:dyDescent="0.25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  <c r="AA656" s="201"/>
    </row>
    <row r="657" spans="1:27" ht="24" customHeight="1" x14ac:dyDescent="0.25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  <c r="AA657" s="201"/>
    </row>
    <row r="658" spans="1:27" ht="24" customHeight="1" x14ac:dyDescent="0.25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  <c r="AA658" s="201"/>
    </row>
    <row r="659" spans="1:27" ht="24" customHeight="1" x14ac:dyDescent="0.25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  <c r="AA659" s="201"/>
    </row>
    <row r="660" spans="1:27" ht="24" customHeight="1" x14ac:dyDescent="0.25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  <c r="AA660" s="201"/>
    </row>
    <row r="661" spans="1:27" ht="24" customHeight="1" x14ac:dyDescent="0.25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  <c r="AA661" s="201"/>
    </row>
    <row r="662" spans="1:27" ht="24" customHeight="1" x14ac:dyDescent="0.25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  <c r="AA662" s="201"/>
    </row>
    <row r="663" spans="1:27" ht="24" customHeight="1" x14ac:dyDescent="0.25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  <c r="AA663" s="201"/>
    </row>
    <row r="664" spans="1:27" ht="24" customHeight="1" x14ac:dyDescent="0.25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  <c r="AA664" s="201"/>
    </row>
    <row r="665" spans="1:27" ht="24" customHeight="1" x14ac:dyDescent="0.25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  <c r="AA665" s="201"/>
    </row>
    <row r="666" spans="1:27" ht="24" customHeight="1" x14ac:dyDescent="0.25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  <c r="AA666" s="201"/>
    </row>
    <row r="667" spans="1:27" ht="24" customHeight="1" x14ac:dyDescent="0.25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  <c r="AA667" s="201"/>
    </row>
    <row r="668" spans="1:27" ht="24" customHeight="1" x14ac:dyDescent="0.25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  <c r="AA668" s="201"/>
    </row>
    <row r="669" spans="1:27" ht="24" customHeight="1" x14ac:dyDescent="0.25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  <c r="AA669" s="201"/>
    </row>
    <row r="670" spans="1:27" ht="24" customHeight="1" x14ac:dyDescent="0.25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  <c r="AA670" s="201"/>
    </row>
    <row r="671" spans="1:27" ht="24" customHeight="1" x14ac:dyDescent="0.25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  <c r="AA671" s="201"/>
    </row>
    <row r="672" spans="1:27" ht="24" customHeight="1" x14ac:dyDescent="0.25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  <c r="AA672" s="201"/>
    </row>
    <row r="673" spans="1:27" ht="24" customHeight="1" x14ac:dyDescent="0.25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  <c r="AA673" s="201"/>
    </row>
    <row r="674" spans="1:27" ht="24" customHeight="1" x14ac:dyDescent="0.25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  <c r="AA674" s="201"/>
    </row>
    <row r="675" spans="1:27" ht="24" customHeight="1" x14ac:dyDescent="0.25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  <c r="AA675" s="201"/>
    </row>
    <row r="676" spans="1:27" ht="24" customHeight="1" x14ac:dyDescent="0.25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  <c r="AA676" s="201"/>
    </row>
    <row r="677" spans="1:27" ht="24" customHeight="1" x14ac:dyDescent="0.25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  <c r="AA677" s="201"/>
    </row>
    <row r="678" spans="1:27" ht="24" customHeight="1" x14ac:dyDescent="0.25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  <c r="AA678" s="201"/>
    </row>
    <row r="679" spans="1:27" ht="24" customHeight="1" x14ac:dyDescent="0.25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  <c r="AA679" s="201"/>
    </row>
    <row r="680" spans="1:27" ht="24" customHeight="1" x14ac:dyDescent="0.25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  <c r="AA680" s="201"/>
    </row>
    <row r="681" spans="1:27" ht="24" customHeight="1" x14ac:dyDescent="0.25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  <c r="AA681" s="201"/>
    </row>
    <row r="682" spans="1:27" ht="24" customHeight="1" x14ac:dyDescent="0.25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  <c r="AA682" s="201"/>
    </row>
    <row r="683" spans="1:27" ht="24" customHeight="1" x14ac:dyDescent="0.25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  <c r="AA683" s="201"/>
    </row>
    <row r="684" spans="1:27" ht="24" customHeight="1" x14ac:dyDescent="0.25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  <c r="AA684" s="201"/>
    </row>
    <row r="685" spans="1:27" ht="24" customHeight="1" x14ac:dyDescent="0.25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  <c r="AA685" s="201"/>
    </row>
    <row r="686" spans="1:27" ht="24" customHeight="1" x14ac:dyDescent="0.25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  <c r="AA686" s="201"/>
    </row>
    <row r="687" spans="1:27" ht="24" customHeight="1" x14ac:dyDescent="0.25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  <c r="AA687" s="201"/>
    </row>
    <row r="688" spans="1:27" ht="24" customHeight="1" x14ac:dyDescent="0.25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  <c r="AA688" s="201"/>
    </row>
    <row r="689" spans="1:27" ht="24" customHeight="1" x14ac:dyDescent="0.25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  <c r="AA689" s="201"/>
    </row>
    <row r="690" spans="1:27" ht="24" customHeight="1" x14ac:dyDescent="0.25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  <c r="AA690" s="201"/>
    </row>
    <row r="691" spans="1:27" ht="24" customHeight="1" x14ac:dyDescent="0.25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  <c r="AA691" s="201"/>
    </row>
    <row r="692" spans="1:27" ht="24" customHeight="1" x14ac:dyDescent="0.25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  <c r="AA692" s="201"/>
    </row>
    <row r="693" spans="1:27" ht="24" customHeight="1" x14ac:dyDescent="0.25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</row>
    <row r="694" spans="1:27" ht="24" customHeight="1" x14ac:dyDescent="0.25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</row>
    <row r="695" spans="1:27" ht="24" customHeight="1" x14ac:dyDescent="0.25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</row>
    <row r="696" spans="1:27" ht="24" customHeight="1" x14ac:dyDescent="0.25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</row>
    <row r="697" spans="1:27" ht="24" customHeight="1" x14ac:dyDescent="0.25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</row>
    <row r="698" spans="1:27" ht="24" customHeight="1" x14ac:dyDescent="0.25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</row>
    <row r="699" spans="1:27" ht="24" customHeight="1" x14ac:dyDescent="0.25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  <c r="AA699" s="201"/>
    </row>
    <row r="700" spans="1:27" ht="24" customHeight="1" x14ac:dyDescent="0.25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</row>
    <row r="701" spans="1:27" ht="24" customHeight="1" x14ac:dyDescent="0.25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</row>
    <row r="702" spans="1:27" ht="24" customHeight="1" x14ac:dyDescent="0.25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</row>
    <row r="703" spans="1:27" ht="24" customHeight="1" x14ac:dyDescent="0.25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</row>
    <row r="704" spans="1:27" ht="24" customHeight="1" x14ac:dyDescent="0.25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</row>
    <row r="705" spans="1:27" ht="24" customHeight="1" x14ac:dyDescent="0.25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</row>
    <row r="706" spans="1:27" ht="24" customHeight="1" x14ac:dyDescent="0.25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</row>
    <row r="707" spans="1:27" ht="24" customHeight="1" x14ac:dyDescent="0.25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  <c r="AA707" s="201"/>
    </row>
    <row r="708" spans="1:27" ht="24" customHeight="1" x14ac:dyDescent="0.25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</row>
    <row r="709" spans="1:27" ht="24" customHeight="1" x14ac:dyDescent="0.25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  <c r="AA709" s="201"/>
    </row>
    <row r="710" spans="1:27" ht="24" customHeight="1" x14ac:dyDescent="0.25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</row>
    <row r="711" spans="1:27" ht="24" customHeight="1" x14ac:dyDescent="0.25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</row>
    <row r="712" spans="1:27" ht="24" customHeight="1" x14ac:dyDescent="0.25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</row>
    <row r="713" spans="1:27" ht="24" customHeight="1" x14ac:dyDescent="0.25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</row>
    <row r="714" spans="1:27" ht="24" customHeight="1" x14ac:dyDescent="0.25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</row>
    <row r="715" spans="1:27" ht="24" customHeight="1" x14ac:dyDescent="0.25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</row>
    <row r="716" spans="1:27" ht="24" customHeight="1" x14ac:dyDescent="0.25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</row>
    <row r="717" spans="1:27" ht="24" customHeight="1" x14ac:dyDescent="0.25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</row>
    <row r="718" spans="1:27" ht="24" customHeight="1" x14ac:dyDescent="0.25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</row>
    <row r="719" spans="1:27" ht="24" customHeight="1" x14ac:dyDescent="0.25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</row>
    <row r="720" spans="1:27" ht="24" customHeight="1" x14ac:dyDescent="0.25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</row>
    <row r="721" spans="1:27" ht="24" customHeight="1" x14ac:dyDescent="0.25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</row>
    <row r="722" spans="1:27" ht="24" customHeight="1" x14ac:dyDescent="0.25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  <c r="AA722" s="201"/>
    </row>
    <row r="723" spans="1:27" ht="24" customHeight="1" x14ac:dyDescent="0.25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  <c r="AA723" s="201"/>
    </row>
    <row r="724" spans="1:27" ht="24" customHeight="1" x14ac:dyDescent="0.25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</row>
    <row r="725" spans="1:27" ht="24" customHeight="1" x14ac:dyDescent="0.25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</row>
    <row r="726" spans="1:27" ht="24" customHeight="1" x14ac:dyDescent="0.25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</row>
    <row r="727" spans="1:27" ht="24" customHeight="1" x14ac:dyDescent="0.25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</row>
    <row r="728" spans="1:27" ht="24" customHeight="1" x14ac:dyDescent="0.25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</row>
    <row r="729" spans="1:27" ht="24" customHeight="1" x14ac:dyDescent="0.25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</row>
    <row r="730" spans="1:27" ht="24" customHeight="1" x14ac:dyDescent="0.25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</row>
    <row r="731" spans="1:27" ht="24" customHeight="1" x14ac:dyDescent="0.25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</row>
    <row r="732" spans="1:27" ht="24" customHeight="1" x14ac:dyDescent="0.25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</row>
    <row r="733" spans="1:27" ht="24" customHeight="1" x14ac:dyDescent="0.25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</row>
    <row r="734" spans="1:27" ht="24" customHeight="1" x14ac:dyDescent="0.25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</row>
    <row r="735" spans="1:27" ht="24" customHeight="1" x14ac:dyDescent="0.25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</row>
    <row r="736" spans="1:27" ht="24" customHeight="1" x14ac:dyDescent="0.25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</row>
    <row r="737" spans="1:27" ht="24" customHeight="1" x14ac:dyDescent="0.25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  <c r="AA737" s="201"/>
    </row>
    <row r="738" spans="1:27" ht="24" customHeight="1" x14ac:dyDescent="0.25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  <c r="AA738" s="201"/>
    </row>
    <row r="739" spans="1:27" ht="24" customHeight="1" x14ac:dyDescent="0.25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  <c r="AA739" s="201"/>
    </row>
    <row r="740" spans="1:27" ht="24" customHeight="1" x14ac:dyDescent="0.25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</row>
    <row r="741" spans="1:27" ht="24" customHeight="1" x14ac:dyDescent="0.25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</row>
    <row r="742" spans="1:27" ht="24" customHeight="1" x14ac:dyDescent="0.25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</row>
    <row r="743" spans="1:27" ht="24" customHeight="1" x14ac:dyDescent="0.25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  <c r="AA743" s="201"/>
    </row>
    <row r="744" spans="1:27" ht="24" customHeight="1" x14ac:dyDescent="0.25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</row>
    <row r="745" spans="1:27" ht="24" customHeight="1" x14ac:dyDescent="0.25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</row>
    <row r="746" spans="1:27" ht="24" customHeight="1" x14ac:dyDescent="0.25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  <c r="AA746" s="201"/>
    </row>
    <row r="747" spans="1:27" ht="24" customHeight="1" x14ac:dyDescent="0.25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  <c r="AA747" s="201"/>
    </row>
    <row r="748" spans="1:27" ht="24" customHeight="1" x14ac:dyDescent="0.25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</row>
    <row r="749" spans="1:27" ht="24" customHeight="1" x14ac:dyDescent="0.25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</row>
    <row r="750" spans="1:27" ht="24" customHeight="1" x14ac:dyDescent="0.25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</row>
    <row r="751" spans="1:27" ht="24" customHeight="1" x14ac:dyDescent="0.25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</row>
    <row r="752" spans="1:27" ht="24" customHeight="1" x14ac:dyDescent="0.25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</row>
    <row r="753" spans="1:27" ht="24" customHeight="1" x14ac:dyDescent="0.25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</row>
    <row r="754" spans="1:27" ht="24" customHeight="1" x14ac:dyDescent="0.25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</row>
    <row r="755" spans="1:27" ht="24" customHeight="1" x14ac:dyDescent="0.25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  <c r="AA755" s="201"/>
    </row>
    <row r="756" spans="1:27" ht="24" customHeight="1" x14ac:dyDescent="0.25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  <c r="AA756" s="201"/>
    </row>
    <row r="757" spans="1:27" ht="24" customHeight="1" x14ac:dyDescent="0.25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</row>
    <row r="758" spans="1:27" ht="24" customHeight="1" x14ac:dyDescent="0.25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  <c r="AA758" s="201"/>
    </row>
    <row r="759" spans="1:27" ht="24" customHeight="1" x14ac:dyDescent="0.25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  <c r="AA759" s="201"/>
    </row>
    <row r="760" spans="1:27" ht="24" customHeight="1" x14ac:dyDescent="0.25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  <c r="AA760" s="201"/>
    </row>
    <row r="761" spans="1:27" ht="24" customHeight="1" x14ac:dyDescent="0.25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</row>
    <row r="762" spans="1:27" ht="24" customHeight="1" x14ac:dyDescent="0.25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</row>
    <row r="763" spans="1:27" ht="24" customHeight="1" x14ac:dyDescent="0.25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</row>
    <row r="764" spans="1:27" ht="24" customHeight="1" x14ac:dyDescent="0.25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</row>
    <row r="765" spans="1:27" ht="24" customHeight="1" x14ac:dyDescent="0.25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</row>
    <row r="766" spans="1:27" ht="24" customHeight="1" x14ac:dyDescent="0.25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</row>
    <row r="767" spans="1:27" ht="24" customHeight="1" x14ac:dyDescent="0.25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</row>
    <row r="768" spans="1:27" ht="24" customHeight="1" x14ac:dyDescent="0.25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  <c r="AA768" s="201"/>
    </row>
    <row r="769" spans="1:27" ht="24" customHeight="1" x14ac:dyDescent="0.25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  <c r="AA769" s="201"/>
    </row>
    <row r="770" spans="1:27" ht="24" customHeight="1" x14ac:dyDescent="0.25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  <c r="AA770" s="201"/>
    </row>
    <row r="771" spans="1:27" ht="24" customHeight="1" x14ac:dyDescent="0.25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</row>
    <row r="772" spans="1:27" ht="24" customHeight="1" x14ac:dyDescent="0.25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</row>
    <row r="773" spans="1:27" ht="24" customHeight="1" x14ac:dyDescent="0.25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</row>
    <row r="774" spans="1:27" ht="24" customHeight="1" x14ac:dyDescent="0.25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</row>
    <row r="775" spans="1:27" ht="24" customHeight="1" x14ac:dyDescent="0.25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</row>
    <row r="776" spans="1:27" ht="24" customHeight="1" x14ac:dyDescent="0.25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  <c r="AA776" s="201"/>
    </row>
    <row r="777" spans="1:27" ht="24" customHeight="1" x14ac:dyDescent="0.25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  <c r="AA777" s="201"/>
    </row>
    <row r="778" spans="1:27" ht="24" customHeight="1" x14ac:dyDescent="0.25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  <c r="AA778" s="201"/>
    </row>
    <row r="779" spans="1:27" ht="24" customHeight="1" x14ac:dyDescent="0.25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  <c r="AA779" s="201"/>
    </row>
    <row r="780" spans="1:27" ht="24" customHeight="1" x14ac:dyDescent="0.25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  <c r="AA780" s="201"/>
    </row>
    <row r="781" spans="1:27" ht="24" customHeight="1" x14ac:dyDescent="0.25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  <c r="AA781" s="201"/>
    </row>
    <row r="782" spans="1:27" ht="24" customHeight="1" x14ac:dyDescent="0.25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</row>
    <row r="783" spans="1:27" ht="24" customHeight="1" x14ac:dyDescent="0.25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</row>
    <row r="784" spans="1:27" ht="24" customHeight="1" x14ac:dyDescent="0.25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</row>
    <row r="785" spans="1:27" ht="24" customHeight="1" x14ac:dyDescent="0.25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</row>
    <row r="786" spans="1:27" ht="24" customHeight="1" x14ac:dyDescent="0.25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</row>
    <row r="787" spans="1:27" ht="24" customHeight="1" x14ac:dyDescent="0.25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</row>
    <row r="788" spans="1:27" ht="24" customHeight="1" x14ac:dyDescent="0.25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</row>
    <row r="789" spans="1:27" ht="24" customHeight="1" x14ac:dyDescent="0.25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</row>
    <row r="790" spans="1:27" ht="24" customHeight="1" x14ac:dyDescent="0.25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</row>
    <row r="791" spans="1:27" ht="24" customHeight="1" x14ac:dyDescent="0.25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</row>
    <row r="792" spans="1:27" ht="24" customHeight="1" x14ac:dyDescent="0.25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</row>
    <row r="793" spans="1:27" ht="24" customHeight="1" x14ac:dyDescent="0.25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</row>
    <row r="794" spans="1:27" ht="24" customHeight="1" x14ac:dyDescent="0.25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</row>
    <row r="795" spans="1:27" ht="24" customHeight="1" x14ac:dyDescent="0.25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</row>
    <row r="796" spans="1:27" ht="24" customHeight="1" x14ac:dyDescent="0.25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</row>
    <row r="797" spans="1:27" ht="24" customHeight="1" x14ac:dyDescent="0.25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</row>
    <row r="798" spans="1:27" ht="24" customHeight="1" x14ac:dyDescent="0.25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</row>
    <row r="799" spans="1:27" ht="24" customHeight="1" x14ac:dyDescent="0.25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</row>
    <row r="800" spans="1:27" ht="24" customHeight="1" x14ac:dyDescent="0.25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  <c r="AA800" s="201"/>
    </row>
    <row r="801" spans="1:27" ht="24" customHeight="1" x14ac:dyDescent="0.25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  <c r="AA801" s="201"/>
    </row>
    <row r="802" spans="1:27" ht="24" customHeight="1" x14ac:dyDescent="0.25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  <c r="AA802" s="201"/>
    </row>
    <row r="803" spans="1:27" ht="24" customHeight="1" x14ac:dyDescent="0.25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  <c r="AA803" s="201"/>
    </row>
    <row r="804" spans="1:27" ht="24" customHeight="1" x14ac:dyDescent="0.25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  <c r="AA804" s="201"/>
    </row>
    <row r="805" spans="1:27" ht="24" customHeight="1" x14ac:dyDescent="0.25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  <c r="AA805" s="201"/>
    </row>
    <row r="806" spans="1:27" ht="24" customHeight="1" x14ac:dyDescent="0.25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</row>
    <row r="807" spans="1:27" ht="24" customHeight="1" x14ac:dyDescent="0.25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</row>
    <row r="808" spans="1:27" ht="24" customHeight="1" x14ac:dyDescent="0.25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</row>
    <row r="809" spans="1:27" ht="24" customHeight="1" x14ac:dyDescent="0.25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</row>
    <row r="810" spans="1:27" ht="24" customHeight="1" x14ac:dyDescent="0.25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</row>
    <row r="811" spans="1:27" ht="24" customHeight="1" x14ac:dyDescent="0.25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</row>
    <row r="812" spans="1:27" ht="24" customHeight="1" x14ac:dyDescent="0.25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</row>
    <row r="813" spans="1:27" ht="24" customHeight="1" x14ac:dyDescent="0.25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</row>
    <row r="814" spans="1:27" ht="24" customHeight="1" x14ac:dyDescent="0.25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</row>
    <row r="815" spans="1:27" ht="24" customHeight="1" x14ac:dyDescent="0.25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</row>
    <row r="816" spans="1:27" ht="24" customHeight="1" x14ac:dyDescent="0.25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</row>
    <row r="817" spans="1:27" ht="24" customHeight="1" x14ac:dyDescent="0.25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</row>
    <row r="818" spans="1:27" ht="24" customHeight="1" x14ac:dyDescent="0.25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  <c r="AA818" s="201"/>
    </row>
    <row r="819" spans="1:27" ht="24" customHeight="1" x14ac:dyDescent="0.25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  <c r="AA819" s="201"/>
    </row>
    <row r="820" spans="1:27" ht="24" customHeight="1" x14ac:dyDescent="0.25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  <c r="AA820" s="201"/>
    </row>
    <row r="821" spans="1:27" ht="24" customHeight="1" x14ac:dyDescent="0.25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</row>
    <row r="822" spans="1:27" ht="24" customHeight="1" x14ac:dyDescent="0.25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</row>
    <row r="823" spans="1:27" ht="24" customHeight="1" x14ac:dyDescent="0.25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</row>
    <row r="824" spans="1:27" ht="24" customHeight="1" x14ac:dyDescent="0.25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</row>
    <row r="825" spans="1:27" ht="24" customHeight="1" x14ac:dyDescent="0.25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</row>
    <row r="826" spans="1:27" ht="24" customHeight="1" x14ac:dyDescent="0.25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  <c r="AA826" s="201"/>
    </row>
    <row r="827" spans="1:27" ht="24" customHeight="1" x14ac:dyDescent="0.25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  <c r="AA827" s="201"/>
    </row>
    <row r="828" spans="1:27" ht="24" customHeight="1" x14ac:dyDescent="0.25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  <c r="AA828" s="201"/>
    </row>
    <row r="829" spans="1:27" ht="24" customHeight="1" x14ac:dyDescent="0.25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  <c r="AA829" s="201"/>
    </row>
    <row r="830" spans="1:27" ht="24" customHeight="1" x14ac:dyDescent="0.25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  <c r="AA830" s="201"/>
    </row>
    <row r="831" spans="1:27" ht="24" customHeight="1" x14ac:dyDescent="0.25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  <c r="AA831" s="201"/>
    </row>
    <row r="832" spans="1:27" ht="24" customHeight="1" x14ac:dyDescent="0.25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  <c r="AA832" s="201"/>
    </row>
    <row r="833" spans="1:27" ht="24" customHeight="1" x14ac:dyDescent="0.25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  <c r="AA833" s="201"/>
    </row>
    <row r="834" spans="1:27" ht="24" customHeight="1" x14ac:dyDescent="0.25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  <c r="AA834" s="201"/>
    </row>
    <row r="835" spans="1:27" ht="24" customHeight="1" x14ac:dyDescent="0.25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  <c r="AA835" s="201"/>
    </row>
    <row r="836" spans="1:27" ht="24" customHeight="1" x14ac:dyDescent="0.25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  <c r="AA836" s="201"/>
    </row>
    <row r="837" spans="1:27" ht="24" customHeight="1" x14ac:dyDescent="0.25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  <c r="AA837" s="201"/>
    </row>
    <row r="838" spans="1:27" ht="24" customHeight="1" x14ac:dyDescent="0.25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  <c r="AA838" s="201"/>
    </row>
    <row r="839" spans="1:27" ht="24" customHeight="1" x14ac:dyDescent="0.25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  <c r="AA839" s="201"/>
    </row>
    <row r="840" spans="1:27" ht="24" customHeight="1" x14ac:dyDescent="0.25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  <c r="AA840" s="201"/>
    </row>
    <row r="841" spans="1:27" ht="24" customHeight="1" x14ac:dyDescent="0.25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  <c r="AA841" s="201"/>
    </row>
    <row r="842" spans="1:27" ht="24" customHeight="1" x14ac:dyDescent="0.25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  <c r="AA842" s="201"/>
    </row>
    <row r="843" spans="1:27" ht="24" customHeight="1" x14ac:dyDescent="0.25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  <c r="AA843" s="201"/>
    </row>
    <row r="844" spans="1:27" ht="24" customHeight="1" x14ac:dyDescent="0.25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  <c r="AA844" s="201"/>
    </row>
    <row r="845" spans="1:27" ht="24" customHeight="1" x14ac:dyDescent="0.25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  <c r="AA845" s="201"/>
    </row>
    <row r="846" spans="1:27" ht="24" customHeight="1" x14ac:dyDescent="0.25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  <c r="AA846" s="201"/>
    </row>
    <row r="847" spans="1:27" ht="24" customHeight="1" x14ac:dyDescent="0.25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  <c r="AA847" s="201"/>
    </row>
    <row r="848" spans="1:27" ht="24" customHeight="1" x14ac:dyDescent="0.25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  <c r="AA848" s="201"/>
    </row>
    <row r="849" spans="1:27" ht="24" customHeight="1" x14ac:dyDescent="0.25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</row>
    <row r="850" spans="1:27" ht="24" customHeight="1" x14ac:dyDescent="0.25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  <c r="AA850" s="201"/>
    </row>
    <row r="851" spans="1:27" ht="24" customHeight="1" x14ac:dyDescent="0.25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  <c r="AA851" s="201"/>
    </row>
    <row r="852" spans="1:27" ht="24" customHeight="1" x14ac:dyDescent="0.25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  <c r="AA852" s="201"/>
    </row>
    <row r="853" spans="1:27" ht="24" customHeight="1" x14ac:dyDescent="0.25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  <c r="AA853" s="201"/>
    </row>
    <row r="854" spans="1:27" ht="24" customHeight="1" x14ac:dyDescent="0.25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  <c r="AA854" s="201"/>
    </row>
    <row r="855" spans="1:27" ht="24" customHeight="1" x14ac:dyDescent="0.25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  <c r="AA855" s="201"/>
    </row>
    <row r="856" spans="1:27" ht="24" customHeight="1" x14ac:dyDescent="0.25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  <c r="AA856" s="201"/>
    </row>
    <row r="857" spans="1:27" ht="24" customHeight="1" x14ac:dyDescent="0.25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  <c r="AA857" s="201"/>
    </row>
    <row r="858" spans="1:27" ht="24" customHeight="1" x14ac:dyDescent="0.25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  <c r="AA858" s="201"/>
    </row>
    <row r="859" spans="1:27" ht="24" customHeight="1" x14ac:dyDescent="0.25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  <c r="AA859" s="201"/>
    </row>
    <row r="860" spans="1:27" ht="24" customHeight="1" x14ac:dyDescent="0.25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  <c r="AA860" s="201"/>
    </row>
    <row r="861" spans="1:27" ht="24" customHeight="1" x14ac:dyDescent="0.25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  <c r="AA861" s="201"/>
    </row>
    <row r="862" spans="1:27" ht="24" customHeight="1" x14ac:dyDescent="0.25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  <c r="AA862" s="201"/>
    </row>
    <row r="863" spans="1:27" ht="24" customHeight="1" x14ac:dyDescent="0.25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  <c r="AA863" s="201"/>
    </row>
    <row r="864" spans="1:27" ht="24" customHeight="1" x14ac:dyDescent="0.25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  <c r="AA864" s="201"/>
    </row>
    <row r="865" spans="1:27" ht="24" customHeight="1" x14ac:dyDescent="0.25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  <c r="AA865" s="201"/>
    </row>
    <row r="866" spans="1:27" ht="24" customHeight="1" x14ac:dyDescent="0.25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  <c r="AA866" s="201"/>
    </row>
    <row r="867" spans="1:27" ht="24" customHeight="1" x14ac:dyDescent="0.25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  <c r="AA867" s="201"/>
    </row>
    <row r="868" spans="1:27" ht="24" customHeight="1" x14ac:dyDescent="0.25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  <c r="AA868" s="201"/>
    </row>
    <row r="869" spans="1:27" ht="24" customHeight="1" x14ac:dyDescent="0.25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  <c r="AA869" s="201"/>
    </row>
    <row r="870" spans="1:27" ht="24" customHeight="1" x14ac:dyDescent="0.25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  <c r="AA870" s="201"/>
    </row>
    <row r="871" spans="1:27" ht="24" customHeight="1" x14ac:dyDescent="0.25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  <c r="AA871" s="201"/>
    </row>
    <row r="872" spans="1:27" ht="24" customHeight="1" x14ac:dyDescent="0.25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  <c r="AA872" s="201"/>
    </row>
    <row r="873" spans="1:27" ht="24" customHeight="1" x14ac:dyDescent="0.25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  <c r="AA873" s="201"/>
    </row>
    <row r="874" spans="1:27" ht="24" customHeight="1" x14ac:dyDescent="0.25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  <c r="AA874" s="201"/>
    </row>
    <row r="875" spans="1:27" ht="24" customHeight="1" x14ac:dyDescent="0.25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  <c r="AA875" s="201"/>
    </row>
    <row r="876" spans="1:27" ht="24" customHeight="1" x14ac:dyDescent="0.25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  <c r="AA876" s="201"/>
    </row>
    <row r="877" spans="1:27" ht="24" customHeight="1" x14ac:dyDescent="0.25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  <c r="AA877" s="201"/>
    </row>
    <row r="878" spans="1:27" ht="24" customHeight="1" x14ac:dyDescent="0.25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  <c r="AA878" s="201"/>
    </row>
    <row r="879" spans="1:27" ht="24" customHeight="1" x14ac:dyDescent="0.25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  <c r="AA879" s="201"/>
    </row>
    <row r="880" spans="1:27" ht="24" customHeight="1" x14ac:dyDescent="0.25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  <c r="AA880" s="201"/>
    </row>
    <row r="881" spans="1:27" ht="24" customHeight="1" x14ac:dyDescent="0.25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  <c r="AA881" s="201"/>
    </row>
    <row r="882" spans="1:27" ht="24" customHeight="1" x14ac:dyDescent="0.25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  <c r="AA882" s="201"/>
    </row>
    <row r="883" spans="1:27" ht="24" customHeight="1" x14ac:dyDescent="0.25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  <c r="AA883" s="201"/>
    </row>
    <row r="884" spans="1:27" ht="24" customHeight="1" x14ac:dyDescent="0.25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  <c r="AA884" s="201"/>
    </row>
    <row r="885" spans="1:27" ht="24" customHeight="1" x14ac:dyDescent="0.25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  <c r="AA885" s="201"/>
    </row>
    <row r="886" spans="1:27" ht="24" customHeight="1" x14ac:dyDescent="0.25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  <c r="AA886" s="201"/>
    </row>
    <row r="887" spans="1:27" ht="24" customHeight="1" x14ac:dyDescent="0.25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  <c r="AA887" s="201"/>
    </row>
    <row r="888" spans="1:27" ht="24" customHeight="1" x14ac:dyDescent="0.25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  <c r="AA888" s="201"/>
    </row>
    <row r="889" spans="1:27" ht="24" customHeight="1" x14ac:dyDescent="0.25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  <c r="AA889" s="201"/>
    </row>
    <row r="890" spans="1:27" ht="24" customHeight="1" x14ac:dyDescent="0.25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  <c r="AA890" s="201"/>
    </row>
    <row r="891" spans="1:27" ht="24" customHeight="1" x14ac:dyDescent="0.25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  <c r="AA891" s="201"/>
    </row>
    <row r="892" spans="1:27" ht="24" customHeight="1" x14ac:dyDescent="0.25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  <c r="AA892" s="201"/>
    </row>
    <row r="893" spans="1:27" ht="24" customHeight="1" x14ac:dyDescent="0.25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  <c r="AA893" s="201"/>
    </row>
    <row r="894" spans="1:27" ht="24" customHeight="1" x14ac:dyDescent="0.25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  <c r="AA894" s="201"/>
    </row>
    <row r="895" spans="1:27" ht="24" customHeight="1" x14ac:dyDescent="0.25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  <c r="AA895" s="201"/>
    </row>
    <row r="896" spans="1:27" ht="24" customHeight="1" x14ac:dyDescent="0.25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  <c r="AA896" s="201"/>
    </row>
    <row r="897" spans="1:27" ht="24" customHeight="1" x14ac:dyDescent="0.25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  <c r="AA897" s="201"/>
    </row>
    <row r="898" spans="1:27" ht="24" customHeight="1" x14ac:dyDescent="0.25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  <c r="AA898" s="201"/>
    </row>
    <row r="899" spans="1:27" ht="24" customHeight="1" x14ac:dyDescent="0.25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  <c r="AA899" s="201"/>
    </row>
    <row r="900" spans="1:27" ht="24" customHeight="1" x14ac:dyDescent="0.25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  <c r="AA900" s="201"/>
    </row>
    <row r="901" spans="1:27" ht="24" customHeight="1" x14ac:dyDescent="0.25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  <c r="AA901" s="201"/>
    </row>
    <row r="902" spans="1:27" ht="24" customHeight="1" x14ac:dyDescent="0.25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  <c r="AA902" s="201"/>
    </row>
    <row r="903" spans="1:27" ht="24" customHeight="1" x14ac:dyDescent="0.25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  <c r="AA903" s="201"/>
    </row>
    <row r="904" spans="1:27" ht="24" customHeight="1" x14ac:dyDescent="0.25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  <c r="AA904" s="201"/>
    </row>
    <row r="905" spans="1:27" ht="24" customHeight="1" x14ac:dyDescent="0.25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  <c r="AA905" s="201"/>
    </row>
    <row r="906" spans="1:27" ht="24" customHeight="1" x14ac:dyDescent="0.25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  <c r="AA906" s="201"/>
    </row>
    <row r="907" spans="1:27" ht="24" customHeight="1" x14ac:dyDescent="0.25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  <c r="AA907" s="201"/>
    </row>
    <row r="908" spans="1:27" ht="24" customHeight="1" x14ac:dyDescent="0.25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  <c r="AA908" s="201"/>
    </row>
    <row r="909" spans="1:27" ht="24" customHeight="1" x14ac:dyDescent="0.25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  <c r="AA909" s="201"/>
    </row>
    <row r="910" spans="1:27" ht="24" customHeight="1" x14ac:dyDescent="0.25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  <c r="AA910" s="201"/>
    </row>
    <row r="911" spans="1:27" ht="24" customHeight="1" x14ac:dyDescent="0.25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  <c r="AA911" s="201"/>
    </row>
    <row r="912" spans="1:27" ht="24" customHeight="1" x14ac:dyDescent="0.25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  <c r="AA912" s="201"/>
    </row>
    <row r="913" spans="1:27" ht="24" customHeight="1" x14ac:dyDescent="0.25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  <c r="AA913" s="201"/>
    </row>
    <row r="914" spans="1:27" ht="24" customHeight="1" x14ac:dyDescent="0.25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  <c r="AA914" s="201"/>
    </row>
    <row r="915" spans="1:27" ht="24" customHeight="1" x14ac:dyDescent="0.25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  <c r="AA915" s="201"/>
    </row>
    <row r="916" spans="1:27" ht="24" customHeight="1" x14ac:dyDescent="0.25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  <c r="AA916" s="201"/>
    </row>
    <row r="917" spans="1:27" ht="24" customHeight="1" x14ac:dyDescent="0.25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  <c r="AA917" s="201"/>
    </row>
    <row r="918" spans="1:27" ht="24" customHeight="1" x14ac:dyDescent="0.25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  <c r="AA918" s="201"/>
    </row>
    <row r="919" spans="1:27" ht="24" customHeight="1" x14ac:dyDescent="0.25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  <c r="AA919" s="201"/>
    </row>
    <row r="920" spans="1:27" ht="24" customHeight="1" x14ac:dyDescent="0.25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  <c r="AA920" s="201"/>
    </row>
    <row r="921" spans="1:27" ht="24" customHeight="1" x14ac:dyDescent="0.25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  <c r="AA921" s="201"/>
    </row>
    <row r="922" spans="1:27" ht="24" customHeight="1" x14ac:dyDescent="0.25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  <c r="AA922" s="201"/>
    </row>
    <row r="923" spans="1:27" ht="24" customHeight="1" x14ac:dyDescent="0.25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  <c r="AA923" s="201"/>
    </row>
    <row r="924" spans="1:27" ht="24" customHeight="1" x14ac:dyDescent="0.25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  <c r="AA924" s="201"/>
    </row>
    <row r="925" spans="1:27" ht="24" customHeight="1" x14ac:dyDescent="0.25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  <c r="AA925" s="201"/>
    </row>
    <row r="926" spans="1:27" ht="24" customHeight="1" x14ac:dyDescent="0.25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  <c r="AA926" s="201"/>
    </row>
    <row r="927" spans="1:27" ht="24" customHeight="1" x14ac:dyDescent="0.25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  <c r="AA927" s="201"/>
    </row>
    <row r="928" spans="1:27" ht="24" customHeight="1" x14ac:dyDescent="0.25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  <c r="AA928" s="201"/>
    </row>
    <row r="929" spans="1:27" ht="24" customHeight="1" x14ac:dyDescent="0.25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  <c r="AA929" s="201"/>
    </row>
    <row r="930" spans="1:27" ht="24" customHeight="1" x14ac:dyDescent="0.25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  <c r="AA930" s="201"/>
    </row>
    <row r="931" spans="1:27" ht="24" customHeight="1" x14ac:dyDescent="0.25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  <c r="AA931" s="201"/>
    </row>
    <row r="932" spans="1:27" ht="24" customHeight="1" x14ac:dyDescent="0.25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  <c r="AA932" s="201"/>
    </row>
    <row r="933" spans="1:27" ht="24" customHeight="1" x14ac:dyDescent="0.25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  <c r="AA933" s="201"/>
    </row>
    <row r="934" spans="1:27" ht="24" customHeight="1" x14ac:dyDescent="0.25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  <c r="AA934" s="201"/>
    </row>
    <row r="935" spans="1:27" ht="24" customHeight="1" x14ac:dyDescent="0.25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  <c r="AA935" s="201"/>
    </row>
    <row r="936" spans="1:27" ht="24" customHeight="1" x14ac:dyDescent="0.25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  <c r="AA936" s="201"/>
    </row>
    <row r="937" spans="1:27" ht="24" customHeight="1" x14ac:dyDescent="0.25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  <c r="AA937" s="201"/>
    </row>
    <row r="938" spans="1:27" ht="24" customHeight="1" x14ac:dyDescent="0.25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  <c r="AA938" s="201"/>
    </row>
    <row r="939" spans="1:27" ht="24" customHeight="1" x14ac:dyDescent="0.25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  <c r="AA939" s="201"/>
    </row>
    <row r="940" spans="1:27" ht="24" customHeight="1" x14ac:dyDescent="0.25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  <c r="AA940" s="201"/>
    </row>
    <row r="941" spans="1:27" ht="24" customHeight="1" x14ac:dyDescent="0.25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  <c r="AA941" s="201"/>
    </row>
    <row r="942" spans="1:27" ht="24" customHeight="1" x14ac:dyDescent="0.25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  <c r="AA942" s="201"/>
    </row>
    <row r="943" spans="1:27" ht="24" customHeight="1" x14ac:dyDescent="0.25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  <c r="AA943" s="201"/>
    </row>
    <row r="944" spans="1:27" ht="24" customHeight="1" x14ac:dyDescent="0.25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  <c r="AA944" s="201"/>
    </row>
    <row r="945" spans="1:27" ht="24" customHeight="1" x14ac:dyDescent="0.25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  <c r="AA945" s="201"/>
    </row>
    <row r="946" spans="1:27" ht="24" customHeight="1" x14ac:dyDescent="0.25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  <c r="AA946" s="201"/>
    </row>
    <row r="947" spans="1:27" ht="24" customHeight="1" x14ac:dyDescent="0.25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  <c r="AA947" s="201"/>
    </row>
    <row r="948" spans="1:27" ht="24" customHeight="1" x14ac:dyDescent="0.25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  <c r="AA948" s="201"/>
    </row>
    <row r="949" spans="1:27" ht="24" customHeight="1" x14ac:dyDescent="0.25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  <c r="AA949" s="201"/>
    </row>
    <row r="950" spans="1:27" ht="24" customHeight="1" x14ac:dyDescent="0.25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  <c r="AA950" s="201"/>
    </row>
    <row r="951" spans="1:27" ht="24" customHeight="1" x14ac:dyDescent="0.25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  <c r="AA951" s="201"/>
    </row>
    <row r="952" spans="1:27" ht="24" customHeight="1" x14ac:dyDescent="0.25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  <c r="AA952" s="201"/>
    </row>
    <row r="953" spans="1:27" ht="24" customHeight="1" x14ac:dyDescent="0.25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  <c r="AA953" s="201"/>
    </row>
    <row r="954" spans="1:27" ht="24" customHeight="1" x14ac:dyDescent="0.25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  <c r="AA954" s="201"/>
    </row>
    <row r="955" spans="1:27" ht="24" customHeight="1" x14ac:dyDescent="0.25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  <c r="AA955" s="201"/>
    </row>
    <row r="956" spans="1:27" ht="24" customHeight="1" x14ac:dyDescent="0.25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  <c r="AA956" s="201"/>
    </row>
    <row r="957" spans="1:27" ht="24" customHeight="1" x14ac:dyDescent="0.25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  <c r="AA957" s="201"/>
    </row>
    <row r="958" spans="1:27" ht="24" customHeight="1" x14ac:dyDescent="0.25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  <c r="AA958" s="201"/>
    </row>
    <row r="959" spans="1:27" ht="24" customHeight="1" x14ac:dyDescent="0.25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  <c r="AA959" s="201"/>
    </row>
    <row r="960" spans="1:27" ht="24" customHeight="1" x14ac:dyDescent="0.25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  <c r="AA960" s="201"/>
    </row>
    <row r="961" spans="1:27" ht="24" customHeight="1" x14ac:dyDescent="0.25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  <c r="AA961" s="201"/>
    </row>
    <row r="962" spans="1:27" ht="24" customHeight="1" x14ac:dyDescent="0.25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  <c r="AA962" s="201"/>
    </row>
    <row r="963" spans="1:27" ht="24" customHeight="1" x14ac:dyDescent="0.25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  <c r="AA963" s="201"/>
    </row>
  </sheetData>
  <mergeCells count="39">
    <mergeCell ref="N10:O10"/>
    <mergeCell ref="B2:B29"/>
    <mergeCell ref="C2:O2"/>
    <mergeCell ref="P2:S2"/>
    <mergeCell ref="C3:C4"/>
    <mergeCell ref="D3:O3"/>
    <mergeCell ref="P3:S3"/>
    <mergeCell ref="D4:I4"/>
    <mergeCell ref="J4:O4"/>
    <mergeCell ref="P4:S4"/>
    <mergeCell ref="C5:C15"/>
    <mergeCell ref="D10:E10"/>
    <mergeCell ref="F10:G10"/>
    <mergeCell ref="H10:I10"/>
    <mergeCell ref="J10:K10"/>
    <mergeCell ref="L10:M10"/>
    <mergeCell ref="J28:O28"/>
    <mergeCell ref="D15:I15"/>
    <mergeCell ref="J15:O15"/>
    <mergeCell ref="D16:G16"/>
    <mergeCell ref="H16:I16"/>
    <mergeCell ref="J16:M16"/>
    <mergeCell ref="N16:O16"/>
    <mergeCell ref="D29:G29"/>
    <mergeCell ref="H29:I29"/>
    <mergeCell ref="J29:M29"/>
    <mergeCell ref="N29:O29"/>
    <mergeCell ref="C17:C18"/>
    <mergeCell ref="D17:O17"/>
    <mergeCell ref="D18:I18"/>
    <mergeCell ref="J18:O18"/>
    <mergeCell ref="C19:C28"/>
    <mergeCell ref="D25:E25"/>
    <mergeCell ref="F25:G25"/>
    <mergeCell ref="H25:I25"/>
    <mergeCell ref="J25:K25"/>
    <mergeCell ref="L25:M25"/>
    <mergeCell ref="N25:O25"/>
    <mergeCell ref="D28:I28"/>
  </mergeCells>
  <conditionalFormatting sqref="D15">
    <cfRule type="containsText" dxfId="254" priority="22" operator="containsText" text="VEGA">
      <formula>NOT(ISERROR(SEARCH(("VEGA"),(D15))))</formula>
    </cfRule>
    <cfRule type="containsText" dxfId="253" priority="23" operator="containsText" text="LÍDER">
      <formula>NOT(ISERROR(SEARCH(("LÍDER"),(D15))))</formula>
    </cfRule>
    <cfRule type="containsText" dxfId="252" priority="24" operator="containsText" text="GLOBAL">
      <formula>NOT(ISERROR(SEARCH(("GLOBAL"),(D15))))</formula>
    </cfRule>
    <cfRule type="containsText" dxfId="251" priority="25" operator="containsText" text="COROADO">
      <formula>NOT(ISERROR(SEARCH(("COROADO"),(D15))))</formula>
    </cfRule>
    <cfRule type="containsText" dxfId="250" priority="26" operator="containsText" text="VIA VERDE">
      <formula>NOT(ISERROR(SEARCH(("VIA VERDE"),(D15))))</formula>
    </cfRule>
    <cfRule type="containsText" dxfId="249" priority="27" operator="containsText" text="INTEGRAÇÃO">
      <formula>NOT(ISERROR(SEARCH(("INTEGRAÇÃO"),(D15))))</formula>
    </cfRule>
    <cfRule type="containsText" dxfId="248" priority="28" operator="containsText" text="SÃO PEDRO">
      <formula>NOT(ISERROR(SEARCH(("SÃO PEDRO"),(D15))))</formula>
    </cfRule>
  </conditionalFormatting>
  <conditionalFormatting sqref="D28">
    <cfRule type="containsText" dxfId="247" priority="8" operator="containsText" text="VEGA">
      <formula>NOT(ISERROR(SEARCH(("VEGA"),(D28))))</formula>
    </cfRule>
    <cfRule type="containsText" dxfId="246" priority="9" operator="containsText" text="LÍDER">
      <formula>NOT(ISERROR(SEARCH(("LÍDER"),(D28))))</formula>
    </cfRule>
    <cfRule type="containsText" dxfId="245" priority="10" operator="containsText" text="GLOBAL">
      <formula>NOT(ISERROR(SEARCH(("GLOBAL"),(D28))))</formula>
    </cfRule>
    <cfRule type="containsText" dxfId="244" priority="11" operator="containsText" text="COROADO">
      <formula>NOT(ISERROR(SEARCH(("COROADO"),(D28))))</formula>
    </cfRule>
    <cfRule type="containsText" dxfId="243" priority="12" operator="containsText" text="VIA VERDE">
      <formula>NOT(ISERROR(SEARCH(("VIA VERDE"),(D28))))</formula>
    </cfRule>
    <cfRule type="containsText" dxfId="242" priority="13" operator="containsText" text="INTEGRAÇÃO">
      <formula>NOT(ISERROR(SEARCH(("INTEGRAÇÃO"),(D28))))</formula>
    </cfRule>
    <cfRule type="containsText" dxfId="241" priority="14" operator="containsText" text="SÃO PEDRO">
      <formula>NOT(ISERROR(SEARCH(("SÃO PEDRO"),(D28))))</formula>
    </cfRule>
  </conditionalFormatting>
  <conditionalFormatting sqref="J15">
    <cfRule type="containsText" dxfId="240" priority="15" operator="containsText" text="VEGA">
      <formula>NOT(ISERROR(SEARCH(("VEGA"),(J15))))</formula>
    </cfRule>
    <cfRule type="containsText" dxfId="239" priority="16" operator="containsText" text="LÍDER">
      <formula>NOT(ISERROR(SEARCH(("LÍDER"),(J15))))</formula>
    </cfRule>
    <cfRule type="containsText" dxfId="238" priority="17" operator="containsText" text="GLOBAL">
      <formula>NOT(ISERROR(SEARCH(("GLOBAL"),(J15))))</formula>
    </cfRule>
    <cfRule type="containsText" dxfId="237" priority="18" operator="containsText" text="COROADO">
      <formula>NOT(ISERROR(SEARCH(("COROADO"),(J15))))</formula>
    </cfRule>
    <cfRule type="containsText" dxfId="236" priority="19" operator="containsText" text="VIA VERDE">
      <formula>NOT(ISERROR(SEARCH(("VIA VERDE"),(J15))))</formula>
    </cfRule>
    <cfRule type="containsText" dxfId="235" priority="20" operator="containsText" text="INTEGRAÇÃO">
      <formula>NOT(ISERROR(SEARCH(("INTEGRAÇÃO"),(J15))))</formula>
    </cfRule>
    <cfRule type="containsText" dxfId="234" priority="21" operator="containsText" text="SÃO PEDRO">
      <formula>NOT(ISERROR(SEARCH(("SÃO PEDRO"),(J15))))</formula>
    </cfRule>
  </conditionalFormatting>
  <conditionalFormatting sqref="J28">
    <cfRule type="containsText" dxfId="233" priority="1" operator="containsText" text="VEGA">
      <formula>NOT(ISERROR(SEARCH(("VEGA"),(J28))))</formula>
    </cfRule>
    <cfRule type="containsText" dxfId="232" priority="2" operator="containsText" text="LÍDER">
      <formula>NOT(ISERROR(SEARCH(("LÍDER"),(J28))))</formula>
    </cfRule>
    <cfRule type="containsText" dxfId="231" priority="3" operator="containsText" text="GLOBAL">
      <formula>NOT(ISERROR(SEARCH(("GLOBAL"),(J28))))</formula>
    </cfRule>
    <cfRule type="containsText" dxfId="230" priority="4" operator="containsText" text="COROADO">
      <formula>NOT(ISERROR(SEARCH(("COROADO"),(J28))))</formula>
    </cfRule>
    <cfRule type="containsText" dxfId="229" priority="5" operator="containsText" text="VIA VERDE">
      <formula>NOT(ISERROR(SEARCH(("VIA VERDE"),(J28))))</formula>
    </cfRule>
    <cfRule type="containsText" dxfId="228" priority="6" operator="containsText" text="INTEGRAÇÃO">
      <formula>NOT(ISERROR(SEARCH(("INTEGRAÇÃO"),(J28))))</formula>
    </cfRule>
    <cfRule type="containsText" dxfId="227" priority="7" operator="containsText" text="SÃO PEDRO">
      <formula>NOT(ISERROR(SEARCH(("SÃO PEDRO"),(J28))))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EB93-CEFE-4A68-A979-CBB9A6543BC1}">
  <dimension ref="A1:Z232"/>
  <sheetViews>
    <sheetView zoomScale="70" zoomScaleNormal="70" workbookViewId="0">
      <selection activeCell="B2" sqref="B2:M32"/>
    </sheetView>
  </sheetViews>
  <sheetFormatPr defaultColWidth="8.7109375" defaultRowHeight="24" customHeight="1" x14ac:dyDescent="0.25"/>
  <cols>
    <col min="1" max="16384" width="8.7109375" style="202"/>
  </cols>
  <sheetData>
    <row r="1" spans="1:26" ht="24" customHeight="1" thickBot="1" x14ac:dyDescent="0.3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</row>
    <row r="2" spans="1:26" ht="24" customHeight="1" thickBot="1" x14ac:dyDescent="0.4">
      <c r="A2" s="200"/>
      <c r="B2" s="295">
        <v>45697</v>
      </c>
      <c r="C2" s="330" t="s">
        <v>104</v>
      </c>
      <c r="D2" s="338"/>
      <c r="E2" s="338"/>
      <c r="F2" s="338"/>
      <c r="G2" s="338"/>
      <c r="H2" s="338"/>
      <c r="I2" s="338"/>
      <c r="J2" s="338"/>
      <c r="K2" s="338"/>
      <c r="L2" s="338"/>
      <c r="M2" s="339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spans="1:26" ht="24" customHeight="1" thickBot="1" x14ac:dyDescent="0.3">
      <c r="A3" s="200"/>
      <c r="B3" s="293"/>
      <c r="C3" s="325">
        <v>1.3888888888888888E-2</v>
      </c>
      <c r="D3" s="291" t="s">
        <v>2</v>
      </c>
      <c r="E3" s="287"/>
      <c r="F3" s="287"/>
      <c r="G3" s="287"/>
      <c r="H3" s="287"/>
      <c r="I3" s="287"/>
      <c r="J3" s="297" t="s">
        <v>105</v>
      </c>
      <c r="K3" s="287"/>
      <c r="L3" s="287"/>
      <c r="M3" s="284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</row>
    <row r="4" spans="1:26" ht="24" customHeight="1" thickBot="1" x14ac:dyDescent="0.3">
      <c r="A4" s="200"/>
      <c r="B4" s="293"/>
      <c r="C4" s="290"/>
      <c r="D4" s="291" t="s">
        <v>4</v>
      </c>
      <c r="E4" s="287"/>
      <c r="F4" s="287"/>
      <c r="G4" s="287"/>
      <c r="H4" s="287"/>
      <c r="I4" s="284"/>
      <c r="J4" s="340" t="s">
        <v>103</v>
      </c>
      <c r="K4" s="321"/>
      <c r="L4" s="321"/>
      <c r="M4" s="322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</row>
    <row r="5" spans="1:26" ht="24" customHeight="1" thickBot="1" x14ac:dyDescent="0.3">
      <c r="A5" s="200"/>
      <c r="B5" s="293"/>
      <c r="C5" s="292" t="s">
        <v>7</v>
      </c>
      <c r="D5" s="203" t="s">
        <v>8</v>
      </c>
      <c r="E5" s="204" t="s">
        <v>9</v>
      </c>
      <c r="F5" s="205" t="s">
        <v>10</v>
      </c>
      <c r="G5" s="204" t="s">
        <v>11</v>
      </c>
      <c r="H5" s="237" t="s">
        <v>12</v>
      </c>
      <c r="I5" s="204" t="s">
        <v>106</v>
      </c>
      <c r="J5" s="320" t="str">
        <f>CONCATENATE(COUNT(J7:J15,L7:L15)," VIAGENS")</f>
        <v>18 VIAGENS</v>
      </c>
      <c r="K5" s="321"/>
      <c r="L5" s="321"/>
      <c r="M5" s="322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</row>
    <row r="6" spans="1:26" ht="24" customHeight="1" thickBot="1" x14ac:dyDescent="0.3">
      <c r="A6" s="200"/>
      <c r="B6" s="293"/>
      <c r="C6" s="337"/>
      <c r="D6" s="206">
        <v>0.22916666666666666</v>
      </c>
      <c r="E6" s="207">
        <v>0.23611111111111113</v>
      </c>
      <c r="F6" s="207">
        <v>0.25208333333333333</v>
      </c>
      <c r="G6" s="208">
        <f t="shared" ref="G6:G11" si="0">F6-D6</f>
        <v>2.2916666666666669E-2</v>
      </c>
      <c r="H6" s="264">
        <v>112</v>
      </c>
      <c r="I6" s="210">
        <v>1</v>
      </c>
      <c r="J6" s="203" t="s">
        <v>14</v>
      </c>
      <c r="K6" s="204" t="s">
        <v>15</v>
      </c>
      <c r="L6" s="203" t="s">
        <v>14</v>
      </c>
      <c r="M6" s="204" t="s">
        <v>15</v>
      </c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</row>
    <row r="7" spans="1:26" ht="24" customHeight="1" x14ac:dyDescent="0.25">
      <c r="A7" s="200"/>
      <c r="B7" s="293"/>
      <c r="C7" s="337"/>
      <c r="D7" s="213">
        <v>0.26041666666666669</v>
      </c>
      <c r="E7" s="214">
        <v>0.2673611111111111</v>
      </c>
      <c r="F7" s="214">
        <v>0.28333333333333333</v>
      </c>
      <c r="G7" s="215">
        <f t="shared" si="0"/>
        <v>2.2916666666666641E-2</v>
      </c>
      <c r="H7" s="264">
        <v>112</v>
      </c>
      <c r="I7" s="217">
        <v>1</v>
      </c>
      <c r="J7" s="206">
        <v>0.22916666666666666</v>
      </c>
      <c r="K7" s="211"/>
      <c r="L7" s="207">
        <v>0.57291666666666663</v>
      </c>
      <c r="M7" s="212">
        <f>L7-J15</f>
        <v>5.2083333333333259E-2</v>
      </c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spans="1:26" ht="24" customHeight="1" x14ac:dyDescent="0.25">
      <c r="A8" s="200"/>
      <c r="B8" s="293"/>
      <c r="C8" s="337"/>
      <c r="D8" s="213">
        <v>0.29166666666666669</v>
      </c>
      <c r="E8" s="214">
        <v>0.29791666666666666</v>
      </c>
      <c r="F8" s="214">
        <v>0.31458333333333333</v>
      </c>
      <c r="G8" s="215">
        <f t="shared" si="0"/>
        <v>2.2916666666666641E-2</v>
      </c>
      <c r="H8" s="264">
        <v>112</v>
      </c>
      <c r="I8" s="217">
        <v>1</v>
      </c>
      <c r="J8" s="213">
        <v>0.26041666666666669</v>
      </c>
      <c r="K8" s="218">
        <f t="shared" ref="K8:K15" si="1">J8-J7</f>
        <v>3.1250000000000028E-2</v>
      </c>
      <c r="L8" s="214">
        <v>0.64930555555555558</v>
      </c>
      <c r="M8" s="219">
        <f t="shared" ref="M8:M15" si="2">L8-L7</f>
        <v>7.6388888888888951E-2</v>
      </c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</row>
    <row r="9" spans="1:26" ht="24" customHeight="1" x14ac:dyDescent="0.25">
      <c r="A9" s="200"/>
      <c r="B9" s="293"/>
      <c r="C9" s="337"/>
      <c r="D9" s="213">
        <v>0.32291666666666669</v>
      </c>
      <c r="E9" s="214">
        <v>0.33055555555555555</v>
      </c>
      <c r="F9" s="214">
        <v>0.34791666666666665</v>
      </c>
      <c r="G9" s="215">
        <f t="shared" si="0"/>
        <v>2.4999999999999967E-2</v>
      </c>
      <c r="H9" s="264">
        <v>112</v>
      </c>
      <c r="I9" s="217">
        <v>1</v>
      </c>
      <c r="J9" s="213">
        <v>0.29166666666666669</v>
      </c>
      <c r="K9" s="218">
        <f t="shared" si="1"/>
        <v>3.125E-2</v>
      </c>
      <c r="L9" s="214">
        <v>0.68055555555555547</v>
      </c>
      <c r="M9" s="219">
        <f t="shared" si="2"/>
        <v>3.1249999999999889E-2</v>
      </c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</row>
    <row r="10" spans="1:26" ht="24" customHeight="1" x14ac:dyDescent="0.25">
      <c r="A10" s="200"/>
      <c r="B10" s="293"/>
      <c r="C10" s="337"/>
      <c r="D10" s="213">
        <v>0.35416666666666669</v>
      </c>
      <c r="E10" s="214">
        <v>0.3611111111111111</v>
      </c>
      <c r="F10" s="214">
        <v>0.37777777777777777</v>
      </c>
      <c r="G10" s="215">
        <f t="shared" si="0"/>
        <v>2.3611111111111083E-2</v>
      </c>
      <c r="H10" s="264">
        <v>112</v>
      </c>
      <c r="I10" s="217">
        <v>1</v>
      </c>
      <c r="J10" s="213">
        <v>0.32291666666666669</v>
      </c>
      <c r="K10" s="218">
        <f t="shared" si="1"/>
        <v>3.125E-2</v>
      </c>
      <c r="L10" s="214">
        <v>0.71180555555555547</v>
      </c>
      <c r="M10" s="219">
        <f t="shared" si="2"/>
        <v>3.125E-2</v>
      </c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</row>
    <row r="11" spans="1:26" ht="24" customHeight="1" thickBot="1" x14ac:dyDescent="0.3">
      <c r="A11" s="200"/>
      <c r="B11" s="293"/>
      <c r="C11" s="337"/>
      <c r="D11" s="213">
        <v>0.38541666666666669</v>
      </c>
      <c r="E11" s="214">
        <v>0.3923611111111111</v>
      </c>
      <c r="F11" s="214">
        <v>0.40972222222222227</v>
      </c>
      <c r="G11" s="215">
        <f t="shared" si="0"/>
        <v>2.430555555555558E-2</v>
      </c>
      <c r="H11" s="264">
        <v>112</v>
      </c>
      <c r="I11" s="217">
        <v>1</v>
      </c>
      <c r="J11" s="213">
        <v>0.35416666666666669</v>
      </c>
      <c r="K11" s="218">
        <f t="shared" si="1"/>
        <v>3.125E-2</v>
      </c>
      <c r="L11" s="214">
        <v>0.74652777777777779</v>
      </c>
      <c r="M11" s="219">
        <f t="shared" si="2"/>
        <v>3.4722222222222321E-2</v>
      </c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</row>
    <row r="12" spans="1:26" ht="24" customHeight="1" thickBot="1" x14ac:dyDescent="0.3">
      <c r="A12" s="200"/>
      <c r="B12" s="293"/>
      <c r="C12" s="337"/>
      <c r="D12" s="326">
        <f>F11</f>
        <v>0.40972222222222227</v>
      </c>
      <c r="E12" s="327"/>
      <c r="F12" s="326">
        <f>D13</f>
        <v>0.45833333333333331</v>
      </c>
      <c r="G12" s="327"/>
      <c r="H12" s="283">
        <f>F12-D12</f>
        <v>4.8611111111111049E-2</v>
      </c>
      <c r="I12" s="284"/>
      <c r="J12" s="213">
        <v>0.38541666666666669</v>
      </c>
      <c r="K12" s="218">
        <f t="shared" si="1"/>
        <v>3.125E-2</v>
      </c>
      <c r="L12" s="214">
        <v>0.78125</v>
      </c>
      <c r="M12" s="219">
        <f t="shared" si="2"/>
        <v>3.472222222222221E-2</v>
      </c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</row>
    <row r="13" spans="1:26" ht="24" customHeight="1" x14ac:dyDescent="0.25">
      <c r="A13" s="200"/>
      <c r="B13" s="293"/>
      <c r="C13" s="337"/>
      <c r="D13" s="206">
        <v>0.45833333333333331</v>
      </c>
      <c r="E13" s="207">
        <v>0.46458333333333335</v>
      </c>
      <c r="F13" s="207">
        <v>0.48125000000000001</v>
      </c>
      <c r="G13" s="208">
        <f t="shared" ref="G13:G15" si="3">F13-D13</f>
        <v>2.2916666666666696E-2</v>
      </c>
      <c r="H13" s="264">
        <v>112</v>
      </c>
      <c r="I13" s="210">
        <v>1</v>
      </c>
      <c r="J13" s="213">
        <v>0.45833333333333331</v>
      </c>
      <c r="K13" s="218">
        <f t="shared" si="1"/>
        <v>7.291666666666663E-2</v>
      </c>
      <c r="L13" s="214">
        <v>0.82291666666666663</v>
      </c>
      <c r="M13" s="219">
        <f t="shared" si="2"/>
        <v>4.166666666666663E-2</v>
      </c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spans="1:26" ht="24" customHeight="1" x14ac:dyDescent="0.25">
      <c r="A14" s="200"/>
      <c r="B14" s="293"/>
      <c r="C14" s="337"/>
      <c r="D14" s="213">
        <v>0.48958333333333331</v>
      </c>
      <c r="E14" s="214">
        <v>0.49652777777777773</v>
      </c>
      <c r="F14" s="214">
        <v>0.51388888888888895</v>
      </c>
      <c r="G14" s="215">
        <f t="shared" si="3"/>
        <v>2.4305555555555636E-2</v>
      </c>
      <c r="H14" s="264">
        <v>112</v>
      </c>
      <c r="I14" s="217">
        <v>1</v>
      </c>
      <c r="J14" s="213">
        <v>0.48958333333333331</v>
      </c>
      <c r="K14" s="218">
        <f t="shared" si="1"/>
        <v>3.125E-2</v>
      </c>
      <c r="L14" s="214">
        <v>0.86805555555555547</v>
      </c>
      <c r="M14" s="219">
        <f t="shared" si="2"/>
        <v>4.513888888888884E-2</v>
      </c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spans="1:26" ht="24" customHeight="1" thickBot="1" x14ac:dyDescent="0.3">
      <c r="A15" s="200"/>
      <c r="B15" s="293"/>
      <c r="C15" s="337"/>
      <c r="D15" s="213">
        <v>0.52083333333333337</v>
      </c>
      <c r="E15" s="214">
        <v>0.52777777777777779</v>
      </c>
      <c r="F15" s="214">
        <v>0.54583333333333328</v>
      </c>
      <c r="G15" s="215">
        <f t="shared" si="3"/>
        <v>2.4999999999999911E-2</v>
      </c>
      <c r="H15" s="264">
        <v>112</v>
      </c>
      <c r="I15" s="217">
        <v>1</v>
      </c>
      <c r="J15" s="230">
        <v>0.52083333333333337</v>
      </c>
      <c r="K15" s="231">
        <f t="shared" si="1"/>
        <v>3.1250000000000056E-2</v>
      </c>
      <c r="L15" s="232">
        <v>0.91666666666666663</v>
      </c>
      <c r="M15" s="233">
        <f t="shared" si="2"/>
        <v>4.861111111111116E-2</v>
      </c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spans="1:26" ht="24" customHeight="1" thickBot="1" x14ac:dyDescent="0.35">
      <c r="A16" s="200"/>
      <c r="B16" s="293"/>
      <c r="C16" s="337"/>
      <c r="D16" s="334" t="s">
        <v>29</v>
      </c>
      <c r="E16" s="335"/>
      <c r="F16" s="335"/>
      <c r="G16" s="335"/>
      <c r="H16" s="335"/>
      <c r="I16" s="336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spans="1:26" ht="24" customHeight="1" thickBot="1" x14ac:dyDescent="0.3">
      <c r="A17" s="200"/>
      <c r="B17" s="293"/>
      <c r="C17" s="247" t="s">
        <v>17</v>
      </c>
      <c r="D17" s="288">
        <f>MAX(F6:F16)-IF(D6="",E6,D6)-MIN(H6:H16)+$C3</f>
        <v>0.2819444444444445</v>
      </c>
      <c r="E17" s="287"/>
      <c r="F17" s="287"/>
      <c r="G17" s="284"/>
      <c r="H17" s="294">
        <f ca="1">OFFSET(H5,MATCH(MIN(H6:H15),H6:H15,0),-4)-IF(D6="",E6,D6)+$C3</f>
        <v>0.1944444444444445</v>
      </c>
      <c r="I17" s="284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spans="1:26" ht="24" customHeight="1" thickBot="1" x14ac:dyDescent="0.3">
      <c r="A18" s="200"/>
      <c r="B18" s="293"/>
      <c r="C18" s="325">
        <v>1.3888888888888888E-2</v>
      </c>
      <c r="D18" s="291" t="s">
        <v>18</v>
      </c>
      <c r="E18" s="287"/>
      <c r="F18" s="287"/>
      <c r="G18" s="287"/>
      <c r="H18" s="287"/>
      <c r="I18" s="284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spans="1:26" ht="24" customHeight="1" thickBot="1" x14ac:dyDescent="0.3">
      <c r="A19" s="200"/>
      <c r="B19" s="293"/>
      <c r="C19" s="290"/>
      <c r="D19" s="291" t="s">
        <v>19</v>
      </c>
      <c r="E19" s="287"/>
      <c r="F19" s="287"/>
      <c r="G19" s="287"/>
      <c r="H19" s="287"/>
      <c r="I19" s="284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spans="1:26" ht="24" customHeight="1" thickBot="1" x14ac:dyDescent="0.3">
      <c r="A20" s="200"/>
      <c r="B20" s="293"/>
      <c r="C20" s="292" t="s">
        <v>7</v>
      </c>
      <c r="D20" s="203" t="s">
        <v>8</v>
      </c>
      <c r="E20" s="204" t="s">
        <v>9</v>
      </c>
      <c r="F20" s="205" t="s">
        <v>10</v>
      </c>
      <c r="G20" s="204" t="s">
        <v>11</v>
      </c>
      <c r="H20" s="237" t="s">
        <v>12</v>
      </c>
      <c r="I20" s="204" t="s">
        <v>106</v>
      </c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spans="1:26" ht="24" customHeight="1" thickBot="1" x14ac:dyDescent="0.3">
      <c r="A21" s="200"/>
      <c r="B21" s="293"/>
      <c r="C21" s="337"/>
      <c r="D21" s="206">
        <v>0.57291666666666663</v>
      </c>
      <c r="E21" s="207">
        <v>0.57986111111111105</v>
      </c>
      <c r="F21" s="207">
        <v>0.59861111111111109</v>
      </c>
      <c r="G21" s="208">
        <f>F21-D21</f>
        <v>2.5694444444444464E-2</v>
      </c>
      <c r="H21" s="264">
        <v>112</v>
      </c>
      <c r="I21" s="210">
        <v>1</v>
      </c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24" customHeight="1" thickBot="1" x14ac:dyDescent="0.3">
      <c r="A22" s="200"/>
      <c r="B22" s="293"/>
      <c r="C22" s="337"/>
      <c r="D22" s="283">
        <f>F21</f>
        <v>0.59861111111111109</v>
      </c>
      <c r="E22" s="284"/>
      <c r="F22" s="283">
        <f>D23</f>
        <v>0.64930555555555558</v>
      </c>
      <c r="G22" s="284"/>
      <c r="H22" s="283">
        <f>F22-D22</f>
        <v>5.0694444444444486E-2</v>
      </c>
      <c r="I22" s="284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</row>
    <row r="23" spans="1:26" ht="24" customHeight="1" x14ac:dyDescent="0.25">
      <c r="A23" s="200"/>
      <c r="B23" s="293"/>
      <c r="C23" s="337"/>
      <c r="D23" s="213">
        <v>0.64930555555555558</v>
      </c>
      <c r="E23" s="214">
        <v>0.65625</v>
      </c>
      <c r="F23" s="214">
        <v>0.67361111111111116</v>
      </c>
      <c r="G23" s="215">
        <f t="shared" ref="G23:G30" si="4">F23-D23</f>
        <v>2.430555555555558E-2</v>
      </c>
      <c r="H23" s="264">
        <v>112</v>
      </c>
      <c r="I23" s="217">
        <v>1</v>
      </c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</row>
    <row r="24" spans="1:26" ht="24" customHeight="1" x14ac:dyDescent="0.25">
      <c r="A24" s="200"/>
      <c r="B24" s="293"/>
      <c r="C24" s="337"/>
      <c r="D24" s="213">
        <v>0.68055555555555547</v>
      </c>
      <c r="E24" s="214">
        <v>0.68888888888888899</v>
      </c>
      <c r="F24" s="214">
        <v>0.7055555555555556</v>
      </c>
      <c r="G24" s="215">
        <f t="shared" si="4"/>
        <v>2.5000000000000133E-2</v>
      </c>
      <c r="H24" s="264">
        <v>112</v>
      </c>
      <c r="I24" s="217">
        <v>1</v>
      </c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</row>
    <row r="25" spans="1:26" ht="24" customHeight="1" x14ac:dyDescent="0.25">
      <c r="A25" s="200"/>
      <c r="B25" s="293"/>
      <c r="C25" s="337"/>
      <c r="D25" s="213">
        <v>0.71180555555555547</v>
      </c>
      <c r="E25" s="214">
        <v>0.72013888888888899</v>
      </c>
      <c r="F25" s="214">
        <v>0.73819444444444438</v>
      </c>
      <c r="G25" s="215">
        <f t="shared" si="4"/>
        <v>2.6388888888888906E-2</v>
      </c>
      <c r="H25" s="264">
        <v>112</v>
      </c>
      <c r="I25" s="217">
        <v>1</v>
      </c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</row>
    <row r="26" spans="1:26" ht="24" customHeight="1" x14ac:dyDescent="0.25">
      <c r="A26" s="200"/>
      <c r="B26" s="293"/>
      <c r="C26" s="337"/>
      <c r="D26" s="213">
        <v>0.74652777777777779</v>
      </c>
      <c r="E26" s="214">
        <v>0.75347222222222221</v>
      </c>
      <c r="F26" s="214">
        <v>0.77083333333333337</v>
      </c>
      <c r="G26" s="215">
        <f t="shared" si="4"/>
        <v>2.430555555555558E-2</v>
      </c>
      <c r="H26" s="264">
        <v>112</v>
      </c>
      <c r="I26" s="217">
        <v>1</v>
      </c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</row>
    <row r="27" spans="1:26" ht="24" customHeight="1" x14ac:dyDescent="0.25">
      <c r="A27" s="200"/>
      <c r="B27" s="293"/>
      <c r="C27" s="337"/>
      <c r="D27" s="213">
        <v>0.78125</v>
      </c>
      <c r="E27" s="214">
        <v>0.7895833333333333</v>
      </c>
      <c r="F27" s="214">
        <v>0.80625000000000002</v>
      </c>
      <c r="G27" s="215">
        <f t="shared" si="4"/>
        <v>2.5000000000000022E-2</v>
      </c>
      <c r="H27" s="264">
        <v>112</v>
      </c>
      <c r="I27" s="217">
        <v>1</v>
      </c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</row>
    <row r="28" spans="1:26" ht="24" customHeight="1" x14ac:dyDescent="0.25">
      <c r="A28" s="200"/>
      <c r="B28" s="293"/>
      <c r="C28" s="337"/>
      <c r="D28" s="213">
        <v>0.82291666666666663</v>
      </c>
      <c r="E28" s="214">
        <v>0.83124999999999993</v>
      </c>
      <c r="F28" s="214">
        <v>0.84791666666666676</v>
      </c>
      <c r="G28" s="215">
        <f t="shared" si="4"/>
        <v>2.5000000000000133E-2</v>
      </c>
      <c r="H28" s="264">
        <v>112</v>
      </c>
      <c r="I28" s="217">
        <v>1</v>
      </c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spans="1:26" ht="24" customHeight="1" x14ac:dyDescent="0.25">
      <c r="A29" s="200"/>
      <c r="B29" s="293"/>
      <c r="C29" s="337"/>
      <c r="D29" s="213">
        <v>0.86805555555555547</v>
      </c>
      <c r="E29" s="214">
        <v>0.87638888888888899</v>
      </c>
      <c r="F29" s="214">
        <v>0.8930555555555556</v>
      </c>
      <c r="G29" s="215">
        <f t="shared" si="4"/>
        <v>2.5000000000000133E-2</v>
      </c>
      <c r="H29" s="264">
        <v>112</v>
      </c>
      <c r="I29" s="217">
        <v>1</v>
      </c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spans="1:26" ht="24" customHeight="1" thickBot="1" x14ac:dyDescent="0.3">
      <c r="A30" s="200"/>
      <c r="B30" s="293"/>
      <c r="C30" s="337"/>
      <c r="D30" s="213">
        <v>0.91666666666666663</v>
      </c>
      <c r="E30" s="214">
        <v>0.92499999999999993</v>
      </c>
      <c r="F30" s="214">
        <v>0.94027777777777777</v>
      </c>
      <c r="G30" s="215">
        <f t="shared" si="4"/>
        <v>2.3611111111111138E-2</v>
      </c>
      <c r="H30" s="264">
        <v>112</v>
      </c>
      <c r="I30" s="217">
        <v>1</v>
      </c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spans="1:26" ht="24" customHeight="1" thickBot="1" x14ac:dyDescent="0.35">
      <c r="A31" s="200"/>
      <c r="B31" s="293"/>
      <c r="C31" s="337"/>
      <c r="D31" s="334" t="s">
        <v>29</v>
      </c>
      <c r="E31" s="335"/>
      <c r="F31" s="335"/>
      <c r="G31" s="335"/>
      <c r="H31" s="335"/>
      <c r="I31" s="336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spans="1:26" ht="24" customHeight="1" thickBot="1" x14ac:dyDescent="0.3">
      <c r="A32" s="200"/>
      <c r="B32" s="290"/>
      <c r="C32" s="247" t="s">
        <v>17</v>
      </c>
      <c r="D32" s="288">
        <f>MAX(F21:F30)-IF(D21="",E21,D21)-MIN(H21:H30)+$C18</f>
        <v>0.33055555555555555</v>
      </c>
      <c r="E32" s="287"/>
      <c r="F32" s="287"/>
      <c r="G32" s="284"/>
      <c r="H32" s="294">
        <f ca="1">OFFSET(H20,MATCH(MIN(H21:H30),H21:H30,0),-4)-IF(D21="",E21,D21)</f>
        <v>2.5694444444444464E-2</v>
      </c>
      <c r="I32" s="284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26" ht="24" customHeight="1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26" ht="24" customHeight="1" x14ac:dyDescent="0.25">
      <c r="A34" s="200"/>
      <c r="B34" s="200"/>
      <c r="C34" s="200"/>
      <c r="D34" s="200"/>
      <c r="E34" s="200"/>
      <c r="F34" s="200"/>
      <c r="G34" s="200"/>
      <c r="H34" s="200"/>
      <c r="I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</row>
    <row r="35" spans="1:26" ht="24" customHeight="1" x14ac:dyDescent="0.25">
      <c r="A35" s="200"/>
      <c r="B35" s="200"/>
      <c r="C35" s="200"/>
      <c r="D35" s="200"/>
      <c r="E35" s="200"/>
      <c r="F35" s="200"/>
      <c r="G35" s="200"/>
      <c r="H35" s="200"/>
      <c r="I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</row>
    <row r="36" spans="1:26" ht="24" customHeight="1" x14ac:dyDescent="0.25">
      <c r="A36" s="200"/>
      <c r="B36" s="200"/>
      <c r="C36" s="200"/>
      <c r="D36" s="200"/>
      <c r="E36" s="200"/>
      <c r="F36" s="200"/>
      <c r="G36" s="200"/>
      <c r="H36" s="200"/>
      <c r="I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ht="24" customHeight="1" x14ac:dyDescent="0.25">
      <c r="A37" s="200"/>
      <c r="B37" s="200"/>
      <c r="C37" s="200"/>
      <c r="D37" s="200"/>
      <c r="E37" s="200"/>
      <c r="F37" s="200"/>
      <c r="G37" s="200"/>
      <c r="H37" s="200"/>
      <c r="I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ht="24" customHeight="1" x14ac:dyDescent="0.25">
      <c r="A38" s="200"/>
      <c r="B38" s="200"/>
      <c r="C38" s="200"/>
      <c r="D38" s="200"/>
      <c r="E38" s="200"/>
      <c r="F38" s="200"/>
      <c r="G38" s="200"/>
      <c r="H38" s="200"/>
      <c r="I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spans="1:26" ht="24" customHeight="1" x14ac:dyDescent="0.25">
      <c r="A39" s="200"/>
      <c r="B39" s="200"/>
      <c r="C39" s="200"/>
      <c r="D39" s="200"/>
      <c r="E39" s="200"/>
      <c r="F39" s="200"/>
      <c r="G39" s="200"/>
      <c r="H39" s="200"/>
      <c r="I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24" customHeight="1" x14ac:dyDescent="0.25">
      <c r="A40" s="200"/>
      <c r="B40" s="200"/>
      <c r="C40" s="200"/>
      <c r="D40" s="200"/>
      <c r="E40" s="200"/>
      <c r="F40" s="200"/>
      <c r="G40" s="200"/>
      <c r="H40" s="200"/>
      <c r="I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26" ht="24" customHeight="1" x14ac:dyDescent="0.25">
      <c r="A41" s="200"/>
      <c r="B41" s="200"/>
      <c r="C41" s="200"/>
      <c r="D41" s="200"/>
      <c r="E41" s="200"/>
      <c r="F41" s="200"/>
      <c r="G41" s="200"/>
      <c r="H41" s="200"/>
      <c r="I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24" customHeight="1" x14ac:dyDescent="0.25">
      <c r="A42" s="200"/>
      <c r="B42" s="200"/>
      <c r="C42" s="200"/>
      <c r="D42" s="200"/>
      <c r="E42" s="200"/>
      <c r="F42" s="200"/>
      <c r="G42" s="200"/>
      <c r="H42" s="200"/>
      <c r="I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spans="1:26" ht="24" customHeight="1" x14ac:dyDescent="0.25">
      <c r="A43" s="200"/>
      <c r="B43" s="200"/>
      <c r="C43" s="200"/>
      <c r="D43" s="200"/>
      <c r="E43" s="200"/>
      <c r="F43" s="200"/>
      <c r="G43" s="200"/>
      <c r="H43" s="200"/>
      <c r="I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24" customHeight="1" x14ac:dyDescent="0.25">
      <c r="A44" s="200"/>
      <c r="B44" s="200"/>
      <c r="C44" s="200"/>
      <c r="D44" s="200"/>
      <c r="E44" s="200"/>
      <c r="F44" s="200"/>
      <c r="G44" s="200"/>
      <c r="H44" s="200"/>
      <c r="I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24" customHeight="1" x14ac:dyDescent="0.25">
      <c r="A45" s="200"/>
      <c r="B45" s="200"/>
      <c r="C45" s="200"/>
      <c r="D45" s="200"/>
      <c r="E45" s="200"/>
      <c r="F45" s="200"/>
      <c r="G45" s="200"/>
      <c r="H45" s="200"/>
      <c r="I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spans="1:26" ht="24" customHeight="1" x14ac:dyDescent="0.25">
      <c r="A46" s="200"/>
      <c r="B46" s="200"/>
      <c r="C46" s="200"/>
      <c r="D46" s="200"/>
      <c r="E46" s="200"/>
      <c r="F46" s="200"/>
      <c r="G46" s="200"/>
      <c r="H46" s="200"/>
      <c r="I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24" customHeight="1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spans="1:26" ht="24" customHeight="1" x14ac:dyDescent="0.25">
      <c r="A48" s="200"/>
      <c r="B48" s="200"/>
      <c r="C48" s="200"/>
      <c r="D48" s="200"/>
      <c r="E48" s="200"/>
      <c r="F48" s="200"/>
      <c r="G48" s="200"/>
      <c r="H48" s="200"/>
      <c r="I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24" customHeight="1" x14ac:dyDescent="0.25">
      <c r="A49" s="200"/>
      <c r="B49" s="200"/>
      <c r="C49" s="200"/>
      <c r="D49" s="200"/>
      <c r="E49" s="200"/>
      <c r="F49" s="200"/>
      <c r="G49" s="200"/>
      <c r="H49" s="200"/>
      <c r="I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24" customHeight="1" x14ac:dyDescent="0.25">
      <c r="A50" s="200"/>
      <c r="B50" s="200"/>
      <c r="C50" s="200"/>
      <c r="D50" s="200"/>
      <c r="E50" s="200"/>
      <c r="F50" s="200"/>
      <c r="G50" s="200"/>
      <c r="H50" s="200"/>
      <c r="I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</row>
    <row r="51" spans="1:26" ht="24" customHeight="1" x14ac:dyDescent="0.25">
      <c r="A51" s="200"/>
      <c r="B51" s="200"/>
      <c r="C51" s="200"/>
      <c r="D51" s="200"/>
      <c r="E51" s="200"/>
      <c r="F51" s="200"/>
      <c r="G51" s="200"/>
      <c r="H51" s="200"/>
      <c r="I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24" customHeight="1" x14ac:dyDescent="0.25">
      <c r="A52" s="200"/>
      <c r="B52" s="200"/>
      <c r="C52" s="200"/>
      <c r="D52" s="200"/>
      <c r="E52" s="200"/>
      <c r="F52" s="200"/>
      <c r="G52" s="200"/>
      <c r="H52" s="200"/>
      <c r="I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spans="1:26" ht="24" customHeight="1" x14ac:dyDescent="0.25">
      <c r="A53" s="200"/>
      <c r="B53" s="200"/>
      <c r="C53" s="200"/>
      <c r="D53" s="200"/>
      <c r="E53" s="200"/>
      <c r="F53" s="200"/>
      <c r="G53" s="200"/>
      <c r="H53" s="200"/>
      <c r="I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24" customHeight="1" x14ac:dyDescent="0.25">
      <c r="A54" s="200"/>
      <c r="B54" s="200"/>
      <c r="C54" s="200"/>
      <c r="D54" s="200"/>
      <c r="E54" s="200"/>
      <c r="F54" s="200"/>
      <c r="G54" s="200"/>
      <c r="H54" s="200"/>
      <c r="I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</row>
    <row r="55" spans="1:26" ht="24" customHeight="1" x14ac:dyDescent="0.25">
      <c r="A55" s="200"/>
      <c r="B55" s="200"/>
      <c r="C55" s="200"/>
      <c r="D55" s="200"/>
      <c r="E55" s="200"/>
      <c r="F55" s="200"/>
      <c r="G55" s="200"/>
      <c r="H55" s="200"/>
      <c r="I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</row>
    <row r="56" spans="1:26" ht="24" customHeight="1" x14ac:dyDescent="0.25">
      <c r="A56" s="200"/>
      <c r="B56" s="200"/>
      <c r="C56" s="200"/>
      <c r="D56" s="200"/>
      <c r="E56" s="200"/>
      <c r="F56" s="200"/>
      <c r="G56" s="200"/>
      <c r="H56" s="200"/>
      <c r="I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</row>
    <row r="57" spans="1:26" ht="24" customHeight="1" x14ac:dyDescent="0.25">
      <c r="A57" s="200"/>
      <c r="B57" s="200"/>
      <c r="C57" s="200"/>
      <c r="D57" s="200"/>
      <c r="E57" s="200"/>
      <c r="F57" s="200"/>
      <c r="G57" s="200"/>
      <c r="H57" s="200"/>
      <c r="I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</row>
    <row r="58" spans="1:26" ht="24" customHeight="1" x14ac:dyDescent="0.25">
      <c r="A58" s="200"/>
      <c r="B58" s="200"/>
      <c r="C58" s="200"/>
      <c r="D58" s="200"/>
      <c r="E58" s="200"/>
      <c r="F58" s="200"/>
      <c r="G58" s="200"/>
      <c r="H58" s="200"/>
      <c r="I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</row>
    <row r="59" spans="1:26" ht="24" customHeight="1" x14ac:dyDescent="0.25">
      <c r="A59" s="200"/>
      <c r="B59" s="200"/>
      <c r="C59" s="200"/>
      <c r="D59" s="200"/>
      <c r="E59" s="200"/>
      <c r="F59" s="200"/>
      <c r="G59" s="200"/>
      <c r="H59" s="200"/>
      <c r="I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</row>
    <row r="60" spans="1:26" ht="24" customHeight="1" x14ac:dyDescent="0.25">
      <c r="A60" s="200"/>
      <c r="B60" s="200"/>
      <c r="C60" s="200"/>
      <c r="D60" s="200"/>
      <c r="E60" s="200"/>
      <c r="F60" s="200"/>
      <c r="G60" s="200"/>
      <c r="H60" s="200"/>
      <c r="I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spans="1:26" ht="24" customHeight="1" x14ac:dyDescent="0.25">
      <c r="A61" s="200"/>
      <c r="B61" s="200"/>
      <c r="C61" s="200"/>
      <c r="D61" s="200"/>
      <c r="E61" s="200"/>
      <c r="F61" s="200"/>
      <c r="G61" s="200"/>
      <c r="H61" s="200"/>
      <c r="I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00"/>
      <c r="Y61" s="200"/>
      <c r="Z61" s="200"/>
    </row>
    <row r="62" spans="1:26" ht="24" customHeight="1" x14ac:dyDescent="0.25">
      <c r="A62" s="200"/>
      <c r="B62" s="200"/>
      <c r="C62" s="200"/>
      <c r="D62" s="200"/>
      <c r="E62" s="200"/>
      <c r="F62" s="200"/>
      <c r="G62" s="200"/>
      <c r="H62" s="200"/>
      <c r="I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00"/>
      <c r="Y62" s="200"/>
      <c r="Z62" s="200"/>
    </row>
    <row r="63" spans="1:26" ht="24" customHeight="1" x14ac:dyDescent="0.25">
      <c r="A63" s="200"/>
      <c r="B63" s="200"/>
      <c r="C63" s="200"/>
      <c r="D63" s="200"/>
      <c r="E63" s="200"/>
      <c r="F63" s="200"/>
      <c r="G63" s="200"/>
      <c r="H63" s="200"/>
      <c r="I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spans="1:26" ht="24" customHeight="1" x14ac:dyDescent="0.25">
      <c r="A64" s="200"/>
      <c r="B64" s="200"/>
      <c r="C64" s="200"/>
      <c r="D64" s="200"/>
      <c r="E64" s="200"/>
      <c r="F64" s="200"/>
      <c r="G64" s="200"/>
      <c r="H64" s="200"/>
      <c r="I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</row>
    <row r="65" spans="1:26" ht="24" customHeight="1" x14ac:dyDescent="0.25">
      <c r="A65" s="200"/>
      <c r="B65" s="200"/>
      <c r="C65" s="200"/>
      <c r="D65" s="200"/>
      <c r="E65" s="200"/>
      <c r="F65" s="200"/>
      <c r="G65" s="200"/>
      <c r="H65" s="200"/>
      <c r="I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</row>
    <row r="66" spans="1:26" ht="24" customHeight="1" x14ac:dyDescent="0.25">
      <c r="A66" s="200"/>
      <c r="B66" s="200"/>
      <c r="C66" s="200"/>
      <c r="D66" s="200"/>
      <c r="E66" s="200"/>
      <c r="F66" s="200"/>
      <c r="G66" s="200"/>
      <c r="H66" s="200"/>
      <c r="I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</row>
    <row r="67" spans="1:26" ht="24" customHeight="1" x14ac:dyDescent="0.25">
      <c r="A67" s="200"/>
      <c r="B67" s="200"/>
      <c r="C67" s="200"/>
      <c r="D67" s="200"/>
      <c r="E67" s="200"/>
      <c r="F67" s="200"/>
      <c r="G67" s="200"/>
      <c r="H67" s="200"/>
      <c r="I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</row>
    <row r="68" spans="1:26" ht="24" customHeight="1" x14ac:dyDescent="0.25">
      <c r="A68" s="200"/>
      <c r="B68" s="200"/>
      <c r="C68" s="200"/>
      <c r="D68" s="200"/>
      <c r="E68" s="200"/>
      <c r="F68" s="200"/>
      <c r="G68" s="200"/>
      <c r="H68" s="200"/>
      <c r="I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</row>
    <row r="69" spans="1:26" ht="24" customHeight="1" x14ac:dyDescent="0.25">
      <c r="A69" s="200"/>
      <c r="B69" s="200"/>
      <c r="C69" s="200"/>
      <c r="D69" s="200"/>
      <c r="E69" s="200"/>
      <c r="F69" s="200"/>
      <c r="G69" s="200"/>
      <c r="H69" s="200"/>
      <c r="I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</row>
    <row r="70" spans="1:26" ht="24" customHeight="1" x14ac:dyDescent="0.25">
      <c r="A70" s="200"/>
      <c r="B70" s="200"/>
      <c r="C70" s="200"/>
      <c r="D70" s="200"/>
      <c r="E70" s="200"/>
      <c r="F70" s="200"/>
      <c r="G70" s="200"/>
      <c r="H70" s="200"/>
      <c r="I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</row>
    <row r="71" spans="1:26" ht="24" customHeight="1" x14ac:dyDescent="0.25">
      <c r="A71" s="200"/>
      <c r="B71" s="200"/>
      <c r="C71" s="200"/>
      <c r="D71" s="200"/>
      <c r="E71" s="200"/>
      <c r="F71" s="200"/>
      <c r="G71" s="200"/>
      <c r="H71" s="200"/>
      <c r="I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</row>
    <row r="72" spans="1:26" ht="24" customHeight="1" x14ac:dyDescent="0.25">
      <c r="A72" s="200"/>
      <c r="B72" s="200"/>
      <c r="C72" s="200"/>
      <c r="D72" s="200"/>
      <c r="E72" s="200"/>
      <c r="F72" s="200"/>
      <c r="G72" s="200"/>
      <c r="H72" s="200"/>
      <c r="I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</row>
    <row r="73" spans="1:26" ht="24" customHeight="1" x14ac:dyDescent="0.25">
      <c r="A73" s="200"/>
      <c r="B73" s="200"/>
      <c r="C73" s="200"/>
      <c r="D73" s="200"/>
      <c r="E73" s="200"/>
      <c r="F73" s="200"/>
      <c r="G73" s="200"/>
      <c r="H73" s="200"/>
      <c r="I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</row>
    <row r="74" spans="1:26" ht="24" customHeight="1" x14ac:dyDescent="0.25">
      <c r="A74" s="200"/>
      <c r="B74" s="200"/>
      <c r="C74" s="200"/>
      <c r="D74" s="200"/>
      <c r="E74" s="200"/>
      <c r="F74" s="200"/>
      <c r="G74" s="200"/>
      <c r="H74" s="200"/>
      <c r="I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</row>
    <row r="75" spans="1:26" ht="24" customHeight="1" x14ac:dyDescent="0.25">
      <c r="A75" s="200"/>
      <c r="B75" s="200"/>
      <c r="C75" s="200"/>
      <c r="D75" s="200"/>
      <c r="E75" s="200"/>
      <c r="F75" s="200"/>
      <c r="G75" s="200"/>
      <c r="H75" s="200"/>
      <c r="I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</row>
    <row r="76" spans="1:26" ht="24" customHeight="1" x14ac:dyDescent="0.25">
      <c r="A76" s="200"/>
      <c r="B76" s="200"/>
      <c r="C76" s="200"/>
      <c r="D76" s="200"/>
      <c r="E76" s="200"/>
      <c r="F76" s="200"/>
      <c r="G76" s="200"/>
      <c r="H76" s="200"/>
      <c r="I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</row>
    <row r="77" spans="1:26" ht="24" customHeight="1" x14ac:dyDescent="0.25">
      <c r="A77" s="200"/>
      <c r="B77" s="200"/>
      <c r="C77" s="200"/>
      <c r="D77" s="200"/>
      <c r="E77" s="200"/>
      <c r="F77" s="200"/>
      <c r="G77" s="200"/>
      <c r="H77" s="200"/>
      <c r="I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</row>
    <row r="78" spans="1:26" ht="24" customHeight="1" x14ac:dyDescent="0.25">
      <c r="A78" s="200"/>
      <c r="B78" s="200"/>
      <c r="C78" s="200"/>
      <c r="D78" s="200"/>
      <c r="E78" s="200"/>
      <c r="F78" s="200"/>
      <c r="G78" s="200"/>
      <c r="H78" s="200"/>
      <c r="I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</row>
    <row r="79" spans="1:26" ht="24" customHeight="1" x14ac:dyDescent="0.25">
      <c r="A79" s="200"/>
      <c r="B79" s="200"/>
      <c r="C79" s="200"/>
      <c r="D79" s="200"/>
      <c r="E79" s="200"/>
      <c r="F79" s="200"/>
      <c r="G79" s="200"/>
      <c r="H79" s="200"/>
      <c r="I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</row>
    <row r="80" spans="1:26" ht="24" customHeight="1" x14ac:dyDescent="0.25">
      <c r="A80" s="200"/>
      <c r="B80" s="200"/>
      <c r="C80" s="200"/>
      <c r="D80" s="200"/>
      <c r="E80" s="200"/>
      <c r="F80" s="200"/>
      <c r="G80" s="200"/>
      <c r="H80" s="200"/>
      <c r="I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</row>
    <row r="81" spans="1:26" ht="24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</row>
    <row r="82" spans="1:26" ht="24" customHeight="1" x14ac:dyDescent="0.25">
      <c r="A82" s="200"/>
      <c r="B82" s="200"/>
      <c r="C82" s="200"/>
      <c r="D82" s="200"/>
      <c r="E82" s="200"/>
      <c r="F82" s="200"/>
      <c r="G82" s="200"/>
      <c r="H82" s="200"/>
      <c r="I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</row>
    <row r="83" spans="1:26" ht="24" customHeight="1" x14ac:dyDescent="0.25">
      <c r="A83" s="200"/>
      <c r="B83" s="200"/>
      <c r="C83" s="200"/>
      <c r="D83" s="200"/>
      <c r="E83" s="200"/>
      <c r="F83" s="200"/>
      <c r="G83" s="200"/>
      <c r="H83" s="200"/>
      <c r="I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</row>
    <row r="84" spans="1:26" ht="24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</row>
    <row r="85" spans="1:26" ht="24" customHeight="1" x14ac:dyDescent="0.25">
      <c r="A85" s="200"/>
      <c r="B85" s="200"/>
      <c r="C85" s="200"/>
      <c r="D85" s="200"/>
      <c r="E85" s="200"/>
      <c r="F85" s="200"/>
      <c r="G85" s="200"/>
      <c r="H85" s="200"/>
      <c r="I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</row>
    <row r="86" spans="1:26" ht="24" customHeight="1" x14ac:dyDescent="0.25">
      <c r="A86" s="200"/>
      <c r="B86" s="200"/>
      <c r="C86" s="200"/>
      <c r="D86" s="200"/>
      <c r="E86" s="200"/>
      <c r="F86" s="200"/>
      <c r="G86" s="200"/>
      <c r="H86" s="200"/>
      <c r="I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</row>
    <row r="87" spans="1:26" ht="24" customHeight="1" x14ac:dyDescent="0.25">
      <c r="A87" s="200"/>
      <c r="B87" s="200"/>
      <c r="C87" s="200"/>
      <c r="D87" s="200"/>
      <c r="E87" s="200"/>
      <c r="F87" s="200"/>
      <c r="G87" s="200"/>
      <c r="H87" s="200"/>
      <c r="I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</row>
    <row r="88" spans="1:26" ht="24" customHeight="1" x14ac:dyDescent="0.25">
      <c r="A88" s="200"/>
      <c r="B88" s="200"/>
      <c r="C88" s="200"/>
      <c r="D88" s="200"/>
      <c r="E88" s="200"/>
      <c r="F88" s="200"/>
      <c r="G88" s="200"/>
      <c r="H88" s="200"/>
      <c r="I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</row>
    <row r="89" spans="1:26" ht="24" customHeight="1" x14ac:dyDescent="0.25">
      <c r="A89" s="200"/>
      <c r="B89" s="200"/>
      <c r="C89" s="200"/>
      <c r="D89" s="200"/>
      <c r="E89" s="200"/>
      <c r="F89" s="200"/>
      <c r="G89" s="200"/>
      <c r="H89" s="200"/>
      <c r="I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</row>
    <row r="90" spans="1:26" ht="24" customHeight="1" x14ac:dyDescent="0.25">
      <c r="A90" s="200"/>
      <c r="B90" s="200"/>
      <c r="C90" s="200"/>
      <c r="D90" s="200"/>
      <c r="E90" s="200"/>
      <c r="F90" s="200"/>
      <c r="G90" s="200"/>
      <c r="H90" s="200"/>
      <c r="I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</row>
    <row r="91" spans="1:26" ht="24" customHeight="1" x14ac:dyDescent="0.25">
      <c r="A91" s="200"/>
      <c r="B91" s="200"/>
      <c r="C91" s="200"/>
      <c r="D91" s="200"/>
      <c r="E91" s="200"/>
      <c r="F91" s="200"/>
      <c r="G91" s="200"/>
      <c r="H91" s="200"/>
      <c r="I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</row>
    <row r="92" spans="1:26" ht="24" customHeight="1" x14ac:dyDescent="0.25">
      <c r="A92" s="200"/>
      <c r="B92" s="200"/>
      <c r="C92" s="200"/>
      <c r="D92" s="200"/>
      <c r="E92" s="200"/>
      <c r="F92" s="200"/>
      <c r="G92" s="200"/>
      <c r="H92" s="200"/>
      <c r="I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</row>
    <row r="93" spans="1:26" ht="24" customHeight="1" x14ac:dyDescent="0.25">
      <c r="A93" s="200"/>
      <c r="B93" s="200"/>
      <c r="C93" s="200"/>
      <c r="D93" s="200"/>
      <c r="E93" s="200"/>
      <c r="F93" s="200"/>
      <c r="G93" s="200"/>
      <c r="H93" s="200"/>
      <c r="I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</row>
    <row r="94" spans="1:26" ht="24" customHeight="1" x14ac:dyDescent="0.25">
      <c r="A94" s="200"/>
      <c r="B94" s="200"/>
      <c r="C94" s="200"/>
      <c r="D94" s="200"/>
      <c r="E94" s="200"/>
      <c r="F94" s="200"/>
      <c r="G94" s="200"/>
      <c r="H94" s="200"/>
      <c r="I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spans="1:26" ht="24" customHeight="1" x14ac:dyDescent="0.25">
      <c r="A95" s="200"/>
      <c r="B95" s="200"/>
      <c r="C95" s="200"/>
      <c r="D95" s="200"/>
      <c r="E95" s="200"/>
      <c r="F95" s="200"/>
      <c r="G95" s="200"/>
      <c r="H95" s="200"/>
      <c r="I95" s="200"/>
      <c r="N95" s="200"/>
      <c r="O95" s="200"/>
      <c r="P95" s="20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spans="1:26" ht="24" customHeight="1" x14ac:dyDescent="0.25">
      <c r="A96" s="200"/>
      <c r="B96" s="200"/>
      <c r="C96" s="200"/>
      <c r="D96" s="200"/>
      <c r="E96" s="200"/>
      <c r="F96" s="200"/>
      <c r="G96" s="200"/>
      <c r="H96" s="200"/>
      <c r="I96" s="200"/>
      <c r="N96" s="200"/>
      <c r="O96" s="200"/>
      <c r="P96" s="20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spans="1:26" ht="24" customHeight="1" x14ac:dyDescent="0.25">
      <c r="A97" s="200"/>
      <c r="B97" s="200"/>
      <c r="C97" s="200"/>
      <c r="D97" s="200"/>
      <c r="E97" s="200"/>
      <c r="F97" s="200"/>
      <c r="G97" s="200"/>
      <c r="H97" s="200"/>
      <c r="I97" s="200"/>
      <c r="N97" s="200"/>
      <c r="O97" s="200"/>
      <c r="P97" s="20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spans="1:26" ht="24" customHeight="1" x14ac:dyDescent="0.25">
      <c r="A98" s="200"/>
      <c r="B98" s="200"/>
      <c r="C98" s="200"/>
      <c r="D98" s="200"/>
      <c r="E98" s="200"/>
      <c r="F98" s="200"/>
      <c r="G98" s="200"/>
      <c r="H98" s="200"/>
      <c r="I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spans="1:26" ht="24" customHeight="1" x14ac:dyDescent="0.25">
      <c r="A99" s="200"/>
      <c r="B99" s="200"/>
      <c r="C99" s="200"/>
      <c r="D99" s="200"/>
      <c r="E99" s="200"/>
      <c r="F99" s="200"/>
      <c r="G99" s="200"/>
      <c r="H99" s="200"/>
      <c r="I99" s="200"/>
      <c r="N99" s="200"/>
      <c r="O99" s="200"/>
      <c r="P99" s="200"/>
      <c r="Q99" s="200"/>
      <c r="R99" s="200"/>
      <c r="S99" s="200"/>
      <c r="T99" s="200"/>
      <c r="U99" s="200"/>
      <c r="V99" s="200"/>
      <c r="W99" s="200"/>
      <c r="X99" s="200"/>
      <c r="Y99" s="200"/>
      <c r="Z99" s="200"/>
    </row>
    <row r="100" spans="1:26" ht="24" customHeight="1" x14ac:dyDescent="0.25">
      <c r="A100" s="200"/>
      <c r="B100" s="200"/>
      <c r="C100" s="200"/>
      <c r="D100" s="200"/>
      <c r="E100" s="200"/>
      <c r="F100" s="200"/>
      <c r="G100" s="200"/>
      <c r="H100" s="200"/>
      <c r="I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</row>
    <row r="101" spans="1:26" ht="24" customHeight="1" x14ac:dyDescent="0.25">
      <c r="A101" s="200"/>
      <c r="B101" s="200"/>
      <c r="C101" s="200"/>
      <c r="D101" s="200"/>
      <c r="E101" s="200"/>
      <c r="F101" s="200"/>
      <c r="G101" s="200"/>
      <c r="H101" s="200"/>
      <c r="I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</row>
    <row r="102" spans="1:26" ht="24" customHeight="1" x14ac:dyDescent="0.25">
      <c r="A102" s="200"/>
      <c r="B102" s="200"/>
      <c r="C102" s="200"/>
      <c r="D102" s="200"/>
      <c r="E102" s="200"/>
      <c r="F102" s="200"/>
      <c r="G102" s="200"/>
      <c r="H102" s="200"/>
      <c r="I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</row>
    <row r="103" spans="1:26" ht="24" customHeight="1" x14ac:dyDescent="0.25">
      <c r="A103" s="200"/>
      <c r="B103" s="200"/>
      <c r="C103" s="200"/>
      <c r="D103" s="200"/>
      <c r="E103" s="200"/>
      <c r="F103" s="200"/>
      <c r="G103" s="200"/>
      <c r="H103" s="200"/>
      <c r="I103" s="200"/>
      <c r="N103" s="200"/>
      <c r="O103" s="200"/>
      <c r="P103" s="200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</row>
    <row r="104" spans="1:26" ht="24" customHeight="1" x14ac:dyDescent="0.25">
      <c r="A104" s="200"/>
      <c r="B104" s="200"/>
      <c r="C104" s="200"/>
      <c r="D104" s="200"/>
      <c r="E104" s="200"/>
      <c r="F104" s="200"/>
      <c r="G104" s="200"/>
      <c r="H104" s="200"/>
      <c r="I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</row>
    <row r="105" spans="1:26" ht="24" customHeight="1" x14ac:dyDescent="0.25">
      <c r="A105" s="200"/>
      <c r="B105" s="200"/>
      <c r="C105" s="200"/>
      <c r="D105" s="200"/>
      <c r="E105" s="200"/>
      <c r="F105" s="200"/>
      <c r="G105" s="200"/>
      <c r="H105" s="200"/>
      <c r="I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</row>
    <row r="106" spans="1:26" ht="24" customHeight="1" x14ac:dyDescent="0.25">
      <c r="A106" s="200"/>
      <c r="B106" s="200"/>
      <c r="C106" s="200"/>
      <c r="D106" s="200"/>
      <c r="E106" s="200"/>
      <c r="F106" s="200"/>
      <c r="G106" s="200"/>
      <c r="H106" s="200"/>
      <c r="I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</row>
    <row r="107" spans="1:26" ht="24" customHeight="1" x14ac:dyDescent="0.25">
      <c r="A107" s="200"/>
      <c r="B107" s="200"/>
      <c r="C107" s="200"/>
      <c r="D107" s="200"/>
      <c r="E107" s="200"/>
      <c r="F107" s="200"/>
      <c r="G107" s="200"/>
      <c r="H107" s="200"/>
      <c r="I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</row>
    <row r="108" spans="1:26" ht="24" customHeight="1" x14ac:dyDescent="0.25">
      <c r="A108" s="200"/>
      <c r="B108" s="200"/>
      <c r="C108" s="200"/>
      <c r="D108" s="200"/>
      <c r="E108" s="200"/>
      <c r="F108" s="200"/>
      <c r="G108" s="200"/>
      <c r="H108" s="200"/>
      <c r="I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</row>
    <row r="109" spans="1:26" ht="24" customHeight="1" x14ac:dyDescent="0.25">
      <c r="A109" s="200"/>
      <c r="B109" s="200"/>
      <c r="C109" s="200"/>
      <c r="D109" s="200"/>
      <c r="E109" s="200"/>
      <c r="F109" s="200"/>
      <c r="G109" s="200"/>
      <c r="H109" s="200"/>
      <c r="I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</row>
    <row r="110" spans="1:26" ht="24" customHeight="1" x14ac:dyDescent="0.25">
      <c r="A110" s="200"/>
      <c r="B110" s="200"/>
      <c r="C110" s="200"/>
      <c r="D110" s="200"/>
      <c r="E110" s="200"/>
      <c r="F110" s="200"/>
      <c r="G110" s="200"/>
      <c r="H110" s="200"/>
      <c r="I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</row>
    <row r="111" spans="1:26" ht="24" customHeight="1" x14ac:dyDescent="0.25">
      <c r="A111" s="200"/>
      <c r="B111" s="200"/>
      <c r="C111" s="200"/>
      <c r="D111" s="200"/>
      <c r="E111" s="200"/>
      <c r="F111" s="200"/>
      <c r="G111" s="200"/>
      <c r="H111" s="200"/>
      <c r="I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</row>
    <row r="112" spans="1:26" ht="24" customHeight="1" x14ac:dyDescent="0.25">
      <c r="A112" s="200"/>
      <c r="B112" s="200"/>
      <c r="C112" s="200"/>
      <c r="D112" s="200"/>
      <c r="E112" s="200"/>
      <c r="F112" s="200"/>
      <c r="G112" s="200"/>
      <c r="H112" s="200"/>
      <c r="I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</row>
    <row r="113" spans="1:26" ht="24" customHeight="1" x14ac:dyDescent="0.25">
      <c r="A113" s="200"/>
      <c r="B113" s="200"/>
      <c r="C113" s="200"/>
      <c r="D113" s="200"/>
      <c r="E113" s="200"/>
      <c r="F113" s="200"/>
      <c r="G113" s="200"/>
      <c r="H113" s="200"/>
      <c r="I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</row>
    <row r="114" spans="1:26" ht="24" customHeight="1" x14ac:dyDescent="0.25">
      <c r="A114" s="200"/>
      <c r="B114" s="200"/>
      <c r="C114" s="200"/>
      <c r="D114" s="200"/>
      <c r="E114" s="200"/>
      <c r="F114" s="200"/>
      <c r="G114" s="200"/>
      <c r="H114" s="200"/>
      <c r="I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</row>
    <row r="115" spans="1:26" ht="24" customHeight="1" x14ac:dyDescent="0.25">
      <c r="A115" s="200"/>
      <c r="B115" s="200"/>
      <c r="C115" s="200"/>
      <c r="D115" s="200"/>
      <c r="E115" s="200"/>
      <c r="F115" s="200"/>
      <c r="G115" s="200"/>
      <c r="H115" s="200"/>
      <c r="I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</row>
    <row r="116" spans="1:26" ht="24" customHeight="1" x14ac:dyDescent="0.25">
      <c r="A116" s="200"/>
      <c r="B116" s="200"/>
      <c r="C116" s="200"/>
      <c r="D116" s="200"/>
      <c r="E116" s="200"/>
      <c r="F116" s="200"/>
      <c r="G116" s="200"/>
      <c r="H116" s="200"/>
      <c r="I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</row>
    <row r="117" spans="1:26" ht="24" customHeight="1" x14ac:dyDescent="0.25">
      <c r="A117" s="200"/>
      <c r="B117" s="200"/>
      <c r="C117" s="200"/>
      <c r="D117" s="200"/>
      <c r="E117" s="200"/>
      <c r="F117" s="200"/>
      <c r="G117" s="200"/>
      <c r="H117" s="200"/>
      <c r="I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</row>
    <row r="118" spans="1:26" ht="24" customHeight="1" x14ac:dyDescent="0.25">
      <c r="A118" s="200"/>
      <c r="B118" s="200"/>
      <c r="C118" s="200"/>
      <c r="D118" s="200"/>
      <c r="E118" s="200"/>
      <c r="F118" s="200"/>
      <c r="G118" s="200"/>
      <c r="H118" s="200"/>
      <c r="I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</row>
    <row r="119" spans="1:26" ht="24" customHeight="1" x14ac:dyDescent="0.25">
      <c r="A119" s="200"/>
      <c r="B119" s="200"/>
      <c r="C119" s="200"/>
      <c r="D119" s="200"/>
      <c r="E119" s="200"/>
      <c r="F119" s="200"/>
      <c r="G119" s="200"/>
      <c r="H119" s="200"/>
      <c r="I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</row>
    <row r="120" spans="1:26" ht="24" customHeight="1" x14ac:dyDescent="0.25">
      <c r="A120" s="200"/>
      <c r="B120" s="200"/>
      <c r="C120" s="200"/>
      <c r="D120" s="200"/>
      <c r="E120" s="200"/>
      <c r="F120" s="200"/>
      <c r="G120" s="200"/>
      <c r="H120" s="200"/>
      <c r="I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</row>
    <row r="121" spans="1:26" ht="24" customHeight="1" x14ac:dyDescent="0.25">
      <c r="A121" s="200"/>
      <c r="B121" s="200"/>
      <c r="C121" s="200"/>
      <c r="D121" s="200"/>
      <c r="E121" s="200"/>
      <c r="F121" s="200"/>
      <c r="G121" s="200"/>
      <c r="H121" s="200"/>
      <c r="I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</row>
    <row r="122" spans="1:26" ht="24" customHeight="1" x14ac:dyDescent="0.25">
      <c r="A122" s="200"/>
      <c r="B122" s="200"/>
      <c r="C122" s="200"/>
      <c r="D122" s="200"/>
      <c r="E122" s="200"/>
      <c r="F122" s="200"/>
      <c r="G122" s="200"/>
      <c r="H122" s="200"/>
      <c r="I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</row>
    <row r="123" spans="1:26" ht="24" customHeight="1" x14ac:dyDescent="0.25">
      <c r="A123" s="200"/>
      <c r="B123" s="200"/>
      <c r="C123" s="200"/>
      <c r="D123" s="200"/>
      <c r="E123" s="200"/>
      <c r="F123" s="200"/>
      <c r="G123" s="200"/>
      <c r="H123" s="200"/>
      <c r="I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</row>
    <row r="124" spans="1:26" ht="24" customHeight="1" x14ac:dyDescent="0.25">
      <c r="A124" s="200"/>
      <c r="B124" s="200"/>
      <c r="C124" s="200"/>
      <c r="D124" s="200"/>
      <c r="E124" s="200"/>
      <c r="F124" s="200"/>
      <c r="G124" s="200"/>
      <c r="H124" s="200"/>
      <c r="I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</row>
    <row r="125" spans="1:26" ht="24" customHeight="1" x14ac:dyDescent="0.25">
      <c r="A125" s="200"/>
      <c r="B125" s="200"/>
      <c r="C125" s="200"/>
      <c r="D125" s="200"/>
      <c r="E125" s="200"/>
      <c r="F125" s="200"/>
      <c r="G125" s="200"/>
      <c r="H125" s="200"/>
      <c r="I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</row>
    <row r="126" spans="1:26" ht="24" customHeight="1" x14ac:dyDescent="0.25">
      <c r="A126" s="200"/>
      <c r="B126" s="200"/>
      <c r="C126" s="200"/>
      <c r="D126" s="200"/>
      <c r="E126" s="200"/>
      <c r="F126" s="200"/>
      <c r="G126" s="200"/>
      <c r="H126" s="200"/>
      <c r="I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</row>
    <row r="127" spans="1:26" ht="24" customHeight="1" x14ac:dyDescent="0.25">
      <c r="A127" s="200"/>
      <c r="B127" s="200"/>
      <c r="C127" s="200"/>
      <c r="D127" s="200"/>
      <c r="E127" s="200"/>
      <c r="F127" s="200"/>
      <c r="G127" s="200"/>
      <c r="H127" s="200"/>
      <c r="I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</row>
    <row r="128" spans="1:26" ht="24" customHeight="1" x14ac:dyDescent="0.25">
      <c r="A128" s="200"/>
      <c r="B128" s="200"/>
      <c r="C128" s="200"/>
      <c r="D128" s="200"/>
      <c r="E128" s="200"/>
      <c r="F128" s="200"/>
      <c r="G128" s="200"/>
      <c r="H128" s="200"/>
      <c r="I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</row>
    <row r="129" spans="1:26" ht="24" customHeight="1" x14ac:dyDescent="0.25">
      <c r="A129" s="200"/>
      <c r="B129" s="200"/>
      <c r="C129" s="200"/>
      <c r="D129" s="200"/>
      <c r="E129" s="200"/>
      <c r="F129" s="200"/>
      <c r="G129" s="200"/>
      <c r="H129" s="200"/>
      <c r="I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</row>
    <row r="130" spans="1:26" ht="24" customHeight="1" x14ac:dyDescent="0.25">
      <c r="A130" s="200"/>
      <c r="B130" s="200"/>
      <c r="C130" s="200"/>
      <c r="D130" s="200"/>
      <c r="E130" s="200"/>
      <c r="F130" s="200"/>
      <c r="G130" s="200"/>
      <c r="H130" s="200"/>
      <c r="I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</row>
    <row r="131" spans="1:26" ht="24" customHeight="1" x14ac:dyDescent="0.25">
      <c r="A131" s="200"/>
      <c r="B131" s="200"/>
      <c r="C131" s="200"/>
      <c r="D131" s="200"/>
      <c r="E131" s="200"/>
      <c r="F131" s="200"/>
      <c r="G131" s="200"/>
      <c r="H131" s="200"/>
      <c r="I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</row>
    <row r="132" spans="1:26" ht="24" customHeight="1" x14ac:dyDescent="0.25">
      <c r="A132" s="200"/>
      <c r="B132" s="200"/>
      <c r="C132" s="200"/>
      <c r="D132" s="200"/>
      <c r="E132" s="200"/>
      <c r="F132" s="200"/>
      <c r="G132" s="200"/>
      <c r="H132" s="200"/>
      <c r="I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</row>
    <row r="133" spans="1:26" ht="24" customHeight="1" x14ac:dyDescent="0.25">
      <c r="A133" s="200"/>
      <c r="B133" s="200"/>
      <c r="C133" s="200"/>
      <c r="D133" s="200"/>
      <c r="E133" s="200"/>
      <c r="F133" s="200"/>
      <c r="G133" s="200"/>
      <c r="H133" s="200"/>
      <c r="I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</row>
    <row r="134" spans="1:26" ht="24" customHeight="1" x14ac:dyDescent="0.25">
      <c r="A134" s="200"/>
      <c r="B134" s="200"/>
      <c r="C134" s="200"/>
      <c r="D134" s="200"/>
      <c r="E134" s="200"/>
      <c r="F134" s="200"/>
      <c r="G134" s="200"/>
      <c r="H134" s="200"/>
      <c r="I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</row>
    <row r="135" spans="1:26" ht="24" customHeight="1" x14ac:dyDescent="0.25">
      <c r="A135" s="200"/>
      <c r="B135" s="200"/>
      <c r="C135" s="200"/>
      <c r="D135" s="200"/>
      <c r="E135" s="200"/>
      <c r="F135" s="200"/>
      <c r="G135" s="200"/>
      <c r="H135" s="200"/>
      <c r="I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</row>
    <row r="136" spans="1:26" ht="24" customHeight="1" x14ac:dyDescent="0.25">
      <c r="A136" s="200"/>
      <c r="B136" s="200"/>
      <c r="C136" s="200"/>
      <c r="D136" s="200"/>
      <c r="E136" s="200"/>
      <c r="F136" s="200"/>
      <c r="G136" s="200"/>
      <c r="H136" s="200"/>
      <c r="I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</row>
    <row r="137" spans="1:26" ht="24" customHeight="1" x14ac:dyDescent="0.25">
      <c r="A137" s="200"/>
      <c r="B137" s="200"/>
      <c r="C137" s="200"/>
      <c r="D137" s="200"/>
      <c r="E137" s="200"/>
      <c r="F137" s="200"/>
      <c r="G137" s="200"/>
      <c r="H137" s="200"/>
      <c r="I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</row>
    <row r="138" spans="1:26" ht="24" customHeight="1" x14ac:dyDescent="0.25">
      <c r="A138" s="200"/>
      <c r="B138" s="200"/>
      <c r="C138" s="200"/>
      <c r="D138" s="200"/>
      <c r="E138" s="200"/>
      <c r="F138" s="200"/>
      <c r="G138" s="200"/>
      <c r="H138" s="200"/>
      <c r="I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</row>
    <row r="139" spans="1:26" ht="24" customHeight="1" x14ac:dyDescent="0.25">
      <c r="A139" s="200"/>
      <c r="B139" s="200"/>
      <c r="C139" s="200"/>
      <c r="D139" s="200"/>
      <c r="E139" s="200"/>
      <c r="F139" s="200"/>
      <c r="G139" s="200"/>
      <c r="H139" s="200"/>
      <c r="I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</row>
    <row r="140" spans="1:26" ht="24" customHeight="1" x14ac:dyDescent="0.25">
      <c r="A140" s="200"/>
      <c r="B140" s="200"/>
      <c r="C140" s="200"/>
      <c r="D140" s="200"/>
      <c r="E140" s="200"/>
      <c r="F140" s="200"/>
      <c r="G140" s="200"/>
      <c r="H140" s="200"/>
      <c r="I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</row>
    <row r="141" spans="1:26" ht="24" customHeight="1" x14ac:dyDescent="0.25">
      <c r="A141" s="200"/>
      <c r="B141" s="200"/>
      <c r="C141" s="200"/>
      <c r="D141" s="200"/>
      <c r="E141" s="200"/>
      <c r="F141" s="200"/>
      <c r="G141" s="200"/>
      <c r="H141" s="200"/>
      <c r="I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</row>
    <row r="142" spans="1:26" ht="24" customHeight="1" x14ac:dyDescent="0.25">
      <c r="A142" s="200"/>
      <c r="B142" s="200"/>
      <c r="C142" s="200"/>
      <c r="D142" s="200"/>
      <c r="E142" s="200"/>
      <c r="F142" s="200"/>
      <c r="G142" s="200"/>
      <c r="H142" s="200"/>
      <c r="I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</row>
    <row r="143" spans="1:26" ht="24" customHeight="1" x14ac:dyDescent="0.25">
      <c r="A143" s="200"/>
      <c r="B143" s="200"/>
      <c r="C143" s="200"/>
      <c r="D143" s="200"/>
      <c r="E143" s="200"/>
      <c r="F143" s="200"/>
      <c r="G143" s="200"/>
      <c r="H143" s="200"/>
      <c r="I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</row>
    <row r="144" spans="1:26" ht="24" customHeight="1" x14ac:dyDescent="0.25">
      <c r="A144" s="200"/>
      <c r="B144" s="200"/>
      <c r="C144" s="200"/>
      <c r="D144" s="200"/>
      <c r="E144" s="200"/>
      <c r="F144" s="200"/>
      <c r="G144" s="200"/>
      <c r="H144" s="200"/>
      <c r="I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</row>
    <row r="145" spans="1:26" ht="24" customHeight="1" x14ac:dyDescent="0.25">
      <c r="A145" s="200"/>
      <c r="B145" s="200"/>
      <c r="C145" s="200"/>
      <c r="D145" s="200"/>
      <c r="E145" s="200"/>
      <c r="F145" s="200"/>
      <c r="G145" s="200"/>
      <c r="H145" s="200"/>
      <c r="I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</row>
    <row r="146" spans="1:26" ht="24" customHeight="1" x14ac:dyDescent="0.25">
      <c r="A146" s="200"/>
      <c r="B146" s="200"/>
      <c r="C146" s="200"/>
      <c r="D146" s="200"/>
      <c r="E146" s="200"/>
      <c r="F146" s="200"/>
      <c r="G146" s="200"/>
      <c r="H146" s="200"/>
      <c r="I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</row>
    <row r="147" spans="1:26" ht="24" customHeight="1" x14ac:dyDescent="0.25">
      <c r="A147" s="200"/>
      <c r="B147" s="200"/>
      <c r="C147" s="200"/>
      <c r="D147" s="200"/>
      <c r="E147" s="200"/>
      <c r="F147" s="200"/>
      <c r="G147" s="200"/>
      <c r="H147" s="200"/>
      <c r="I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</row>
    <row r="148" spans="1:26" ht="24" customHeight="1" x14ac:dyDescent="0.25">
      <c r="A148" s="200"/>
      <c r="B148" s="200"/>
      <c r="C148" s="200"/>
      <c r="D148" s="200"/>
      <c r="E148" s="200"/>
      <c r="F148" s="200"/>
      <c r="G148" s="200"/>
      <c r="H148" s="200"/>
      <c r="I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</row>
    <row r="149" spans="1:26" ht="24" customHeight="1" x14ac:dyDescent="0.25">
      <c r="A149" s="200"/>
      <c r="B149" s="200"/>
      <c r="C149" s="200"/>
      <c r="D149" s="200"/>
      <c r="E149" s="200"/>
      <c r="F149" s="200"/>
      <c r="G149" s="200"/>
      <c r="H149" s="200"/>
      <c r="I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</row>
    <row r="150" spans="1:26" ht="24" customHeight="1" x14ac:dyDescent="0.25">
      <c r="A150" s="200"/>
      <c r="B150" s="200"/>
      <c r="C150" s="200"/>
      <c r="D150" s="200"/>
      <c r="E150" s="200"/>
      <c r="F150" s="200"/>
      <c r="G150" s="200"/>
      <c r="H150" s="200"/>
      <c r="I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</row>
    <row r="151" spans="1:26" ht="24" customHeight="1" x14ac:dyDescent="0.25">
      <c r="A151" s="200"/>
      <c r="B151" s="200"/>
      <c r="C151" s="200"/>
      <c r="D151" s="200"/>
      <c r="E151" s="200"/>
      <c r="F151" s="200"/>
      <c r="G151" s="200"/>
      <c r="H151" s="200"/>
      <c r="I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</row>
    <row r="152" spans="1:26" ht="24" customHeight="1" x14ac:dyDescent="0.25">
      <c r="A152" s="200"/>
      <c r="B152" s="200"/>
      <c r="C152" s="200"/>
      <c r="D152" s="200"/>
      <c r="E152" s="200"/>
      <c r="F152" s="200"/>
      <c r="G152" s="200"/>
      <c r="H152" s="200"/>
      <c r="I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</row>
    <row r="153" spans="1:26" ht="24" customHeight="1" x14ac:dyDescent="0.25">
      <c r="A153" s="200"/>
      <c r="B153" s="200"/>
      <c r="C153" s="200"/>
      <c r="D153" s="200"/>
      <c r="E153" s="200"/>
      <c r="F153" s="200"/>
      <c r="G153" s="200"/>
      <c r="H153" s="200"/>
      <c r="I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</row>
    <row r="154" spans="1:26" ht="24" customHeight="1" x14ac:dyDescent="0.25">
      <c r="A154" s="200"/>
      <c r="B154" s="200"/>
      <c r="C154" s="200"/>
      <c r="D154" s="200"/>
      <c r="E154" s="200"/>
      <c r="F154" s="200"/>
      <c r="G154" s="200"/>
      <c r="H154" s="200"/>
      <c r="I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</row>
    <row r="155" spans="1:26" ht="24" customHeight="1" x14ac:dyDescent="0.25">
      <c r="A155" s="200"/>
      <c r="B155" s="200"/>
      <c r="C155" s="200"/>
      <c r="D155" s="200"/>
      <c r="E155" s="200"/>
      <c r="F155" s="200"/>
      <c r="G155" s="200"/>
      <c r="H155" s="200"/>
      <c r="I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</row>
    <row r="156" spans="1:26" ht="24" customHeight="1" x14ac:dyDescent="0.25">
      <c r="A156" s="200"/>
      <c r="B156" s="200"/>
      <c r="C156" s="200"/>
      <c r="D156" s="200"/>
      <c r="E156" s="200"/>
      <c r="F156" s="200"/>
      <c r="G156" s="200"/>
      <c r="H156" s="200"/>
      <c r="I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</row>
    <row r="157" spans="1:26" ht="24" customHeight="1" x14ac:dyDescent="0.25">
      <c r="A157" s="200"/>
      <c r="B157" s="200"/>
      <c r="C157" s="200"/>
      <c r="D157" s="200"/>
      <c r="E157" s="200"/>
      <c r="F157" s="200"/>
      <c r="G157" s="200"/>
      <c r="H157" s="200"/>
      <c r="I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</row>
    <row r="158" spans="1:26" ht="24" customHeight="1" x14ac:dyDescent="0.25">
      <c r="A158" s="200"/>
      <c r="B158" s="200"/>
      <c r="C158" s="200"/>
      <c r="D158" s="200"/>
      <c r="E158" s="200"/>
      <c r="F158" s="200"/>
      <c r="G158" s="200"/>
      <c r="H158" s="200"/>
      <c r="I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</row>
    <row r="159" spans="1:26" ht="24" customHeight="1" x14ac:dyDescent="0.25">
      <c r="A159" s="200"/>
      <c r="B159" s="200"/>
      <c r="C159" s="200"/>
      <c r="D159" s="200"/>
      <c r="E159" s="200"/>
      <c r="F159" s="200"/>
      <c r="G159" s="200"/>
      <c r="H159" s="200"/>
      <c r="I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</row>
    <row r="160" spans="1:26" ht="24" customHeight="1" x14ac:dyDescent="0.25">
      <c r="A160" s="200"/>
      <c r="B160" s="200"/>
      <c r="C160" s="200"/>
      <c r="D160" s="200"/>
      <c r="E160" s="200"/>
      <c r="F160" s="200"/>
      <c r="G160" s="200"/>
      <c r="H160" s="200"/>
      <c r="I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</row>
    <row r="161" spans="1:26" ht="24" customHeight="1" x14ac:dyDescent="0.25">
      <c r="A161" s="200"/>
      <c r="B161" s="200"/>
      <c r="C161" s="200"/>
      <c r="D161" s="200"/>
      <c r="E161" s="200"/>
      <c r="F161" s="200"/>
      <c r="G161" s="200"/>
      <c r="H161" s="200"/>
      <c r="I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</row>
    <row r="162" spans="1:26" ht="24" customHeight="1" x14ac:dyDescent="0.25">
      <c r="A162" s="200"/>
      <c r="B162" s="200"/>
      <c r="C162" s="200"/>
      <c r="D162" s="200"/>
      <c r="E162" s="200"/>
      <c r="F162" s="200"/>
      <c r="G162" s="200"/>
      <c r="H162" s="200"/>
      <c r="I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</row>
    <row r="163" spans="1:26" ht="24" customHeight="1" x14ac:dyDescent="0.25">
      <c r="A163" s="200"/>
      <c r="B163" s="200"/>
      <c r="C163" s="200"/>
      <c r="D163" s="200"/>
      <c r="E163" s="200"/>
      <c r="F163" s="200"/>
      <c r="G163" s="200"/>
      <c r="H163" s="200"/>
      <c r="I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</row>
    <row r="164" spans="1:26" ht="24" customHeight="1" x14ac:dyDescent="0.25">
      <c r="A164" s="200"/>
      <c r="B164" s="200"/>
      <c r="C164" s="200"/>
      <c r="D164" s="200"/>
      <c r="E164" s="200"/>
      <c r="F164" s="200"/>
      <c r="G164" s="200"/>
      <c r="H164" s="200"/>
      <c r="I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 spans="1:26" ht="24" customHeight="1" x14ac:dyDescent="0.25">
      <c r="A165" s="200"/>
      <c r="B165" s="200"/>
      <c r="C165" s="200"/>
      <c r="D165" s="200"/>
      <c r="E165" s="200"/>
      <c r="F165" s="200"/>
      <c r="G165" s="200"/>
      <c r="H165" s="200"/>
      <c r="I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</row>
    <row r="166" spans="1:26" ht="24" customHeight="1" x14ac:dyDescent="0.25">
      <c r="A166" s="200"/>
      <c r="B166" s="200"/>
      <c r="C166" s="200"/>
      <c r="D166" s="200"/>
      <c r="E166" s="200"/>
      <c r="F166" s="200"/>
      <c r="G166" s="200"/>
      <c r="H166" s="200"/>
      <c r="I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</row>
    <row r="167" spans="1:26" ht="24" customHeight="1" x14ac:dyDescent="0.25">
      <c r="A167" s="200"/>
      <c r="B167" s="200"/>
      <c r="C167" s="200"/>
      <c r="D167" s="200"/>
      <c r="E167" s="200"/>
      <c r="F167" s="200"/>
      <c r="G167" s="200"/>
      <c r="H167" s="200"/>
      <c r="I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</row>
    <row r="168" spans="1:26" ht="24" customHeight="1" x14ac:dyDescent="0.25">
      <c r="A168" s="200"/>
      <c r="B168" s="200"/>
      <c r="C168" s="200"/>
      <c r="D168" s="200"/>
      <c r="E168" s="200"/>
      <c r="F168" s="200"/>
      <c r="G168" s="200"/>
      <c r="H168" s="200"/>
      <c r="I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</row>
    <row r="169" spans="1:26" ht="24" customHeight="1" x14ac:dyDescent="0.25">
      <c r="A169" s="200"/>
      <c r="B169" s="200"/>
      <c r="C169" s="200"/>
      <c r="D169" s="200"/>
      <c r="E169" s="200"/>
      <c r="F169" s="200"/>
      <c r="G169" s="200"/>
      <c r="H169" s="200"/>
      <c r="I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</row>
    <row r="170" spans="1:26" ht="24" customHeight="1" x14ac:dyDescent="0.25">
      <c r="A170" s="200"/>
      <c r="B170" s="200"/>
      <c r="C170" s="200"/>
      <c r="D170" s="200"/>
      <c r="E170" s="200"/>
      <c r="F170" s="200"/>
      <c r="G170" s="200"/>
      <c r="H170" s="200"/>
      <c r="I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</row>
    <row r="171" spans="1:26" ht="24" customHeight="1" x14ac:dyDescent="0.25">
      <c r="A171" s="200"/>
      <c r="B171" s="200"/>
      <c r="C171" s="200"/>
      <c r="D171" s="200"/>
      <c r="E171" s="200"/>
      <c r="F171" s="200"/>
      <c r="G171" s="200"/>
      <c r="H171" s="200"/>
      <c r="I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</row>
    <row r="172" spans="1:26" ht="24" customHeight="1" x14ac:dyDescent="0.25">
      <c r="A172" s="200"/>
      <c r="B172" s="200"/>
      <c r="C172" s="200"/>
      <c r="D172" s="200"/>
      <c r="E172" s="200"/>
      <c r="F172" s="200"/>
      <c r="G172" s="200"/>
      <c r="H172" s="200"/>
      <c r="I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</row>
    <row r="173" spans="1:26" ht="24" customHeight="1" x14ac:dyDescent="0.25">
      <c r="A173" s="200"/>
      <c r="B173" s="200"/>
      <c r="C173" s="200"/>
      <c r="D173" s="200"/>
      <c r="E173" s="200"/>
      <c r="F173" s="200"/>
      <c r="G173" s="200"/>
      <c r="H173" s="200"/>
      <c r="I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</row>
    <row r="174" spans="1:26" ht="24" customHeight="1" x14ac:dyDescent="0.25">
      <c r="A174" s="200"/>
      <c r="B174" s="200"/>
      <c r="C174" s="200"/>
      <c r="D174" s="200"/>
      <c r="E174" s="200"/>
      <c r="F174" s="200"/>
      <c r="G174" s="200"/>
      <c r="H174" s="200"/>
      <c r="I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</row>
    <row r="175" spans="1:26" ht="24" customHeight="1" x14ac:dyDescent="0.25">
      <c r="A175" s="200"/>
      <c r="B175" s="200"/>
      <c r="C175" s="200"/>
      <c r="D175" s="200"/>
      <c r="E175" s="200"/>
      <c r="F175" s="200"/>
      <c r="G175" s="200"/>
      <c r="H175" s="200"/>
      <c r="I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 spans="1:26" ht="24" customHeight="1" x14ac:dyDescent="0.25">
      <c r="A176" s="200"/>
      <c r="B176" s="200"/>
      <c r="C176" s="200"/>
      <c r="D176" s="200"/>
      <c r="E176" s="200"/>
      <c r="F176" s="200"/>
      <c r="G176" s="200"/>
      <c r="H176" s="200"/>
      <c r="I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</row>
    <row r="177" spans="1:26" ht="24" customHeight="1" x14ac:dyDescent="0.25">
      <c r="A177" s="200"/>
      <c r="B177" s="200"/>
      <c r="C177" s="200"/>
      <c r="D177" s="200"/>
      <c r="E177" s="200"/>
      <c r="F177" s="200"/>
      <c r="G177" s="200"/>
      <c r="H177" s="200"/>
      <c r="I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</row>
    <row r="178" spans="1:26" ht="24" customHeight="1" x14ac:dyDescent="0.25">
      <c r="A178" s="200"/>
      <c r="B178" s="200"/>
      <c r="C178" s="200"/>
      <c r="D178" s="200"/>
      <c r="E178" s="200"/>
      <c r="F178" s="200"/>
      <c r="G178" s="200"/>
      <c r="H178" s="200"/>
      <c r="I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</row>
    <row r="179" spans="1:26" ht="24" customHeight="1" x14ac:dyDescent="0.25">
      <c r="A179" s="200"/>
      <c r="B179" s="200"/>
      <c r="C179" s="200"/>
      <c r="D179" s="200"/>
      <c r="E179" s="200"/>
      <c r="F179" s="200"/>
      <c r="G179" s="200"/>
      <c r="H179" s="200"/>
      <c r="I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</row>
    <row r="180" spans="1:26" ht="24" customHeight="1" x14ac:dyDescent="0.25">
      <c r="A180" s="200"/>
      <c r="B180" s="200"/>
      <c r="C180" s="200"/>
      <c r="D180" s="200"/>
      <c r="E180" s="200"/>
      <c r="F180" s="200"/>
      <c r="G180" s="200"/>
      <c r="H180" s="200"/>
      <c r="I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</row>
    <row r="181" spans="1:26" ht="24" customHeight="1" x14ac:dyDescent="0.25">
      <c r="A181" s="200"/>
      <c r="B181" s="200"/>
      <c r="C181" s="200"/>
      <c r="D181" s="200"/>
      <c r="E181" s="200"/>
      <c r="F181" s="200"/>
      <c r="G181" s="200"/>
      <c r="H181" s="200"/>
      <c r="I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</row>
    <row r="182" spans="1:26" ht="24" customHeight="1" x14ac:dyDescent="0.25">
      <c r="A182" s="200"/>
      <c r="B182" s="200"/>
      <c r="C182" s="200"/>
      <c r="D182" s="200"/>
      <c r="E182" s="200"/>
      <c r="F182" s="200"/>
      <c r="G182" s="200"/>
      <c r="H182" s="200"/>
      <c r="I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 spans="1:26" ht="24" customHeight="1" x14ac:dyDescent="0.25">
      <c r="A183" s="200"/>
      <c r="B183" s="200"/>
      <c r="C183" s="200"/>
      <c r="D183" s="200"/>
      <c r="E183" s="200"/>
      <c r="F183" s="200"/>
      <c r="G183" s="200"/>
      <c r="H183" s="200"/>
      <c r="I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 spans="1:26" ht="24" customHeight="1" x14ac:dyDescent="0.25">
      <c r="A184" s="200"/>
      <c r="B184" s="200"/>
      <c r="C184" s="200"/>
      <c r="D184" s="200"/>
      <c r="E184" s="200"/>
      <c r="F184" s="200"/>
      <c r="G184" s="200"/>
      <c r="H184" s="200"/>
      <c r="I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 spans="1:26" ht="24" customHeight="1" x14ac:dyDescent="0.25">
      <c r="A185" s="200"/>
      <c r="B185" s="200"/>
      <c r="C185" s="200"/>
      <c r="D185" s="200"/>
      <c r="E185" s="200"/>
      <c r="F185" s="200"/>
      <c r="G185" s="200"/>
      <c r="H185" s="200"/>
      <c r="I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 spans="1:26" ht="24" customHeight="1" x14ac:dyDescent="0.25">
      <c r="A186" s="200"/>
      <c r="B186" s="200"/>
      <c r="C186" s="200"/>
      <c r="D186" s="200"/>
      <c r="E186" s="200"/>
      <c r="F186" s="200"/>
      <c r="G186" s="200"/>
      <c r="H186" s="200"/>
      <c r="I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 spans="1:26" ht="24" customHeight="1" x14ac:dyDescent="0.25">
      <c r="A187" s="200"/>
      <c r="B187" s="200"/>
      <c r="C187" s="200"/>
      <c r="D187" s="200"/>
      <c r="E187" s="200"/>
      <c r="F187" s="200"/>
      <c r="G187" s="200"/>
      <c r="H187" s="200"/>
      <c r="I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 spans="1:26" ht="24" customHeight="1" x14ac:dyDescent="0.25">
      <c r="A188" s="200"/>
      <c r="B188" s="200"/>
      <c r="C188" s="200"/>
      <c r="D188" s="200"/>
      <c r="E188" s="200"/>
      <c r="F188" s="200"/>
      <c r="G188" s="200"/>
      <c r="H188" s="200"/>
      <c r="I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 spans="1:26" ht="24" customHeight="1" x14ac:dyDescent="0.25">
      <c r="A189" s="200"/>
      <c r="B189" s="200"/>
      <c r="C189" s="200"/>
      <c r="D189" s="200"/>
      <c r="E189" s="200"/>
      <c r="F189" s="200"/>
      <c r="G189" s="200"/>
      <c r="H189" s="200"/>
      <c r="I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 spans="1:26" ht="24" customHeight="1" x14ac:dyDescent="0.25">
      <c r="A190" s="200"/>
      <c r="B190" s="200"/>
      <c r="C190" s="200"/>
      <c r="D190" s="200"/>
      <c r="E190" s="200"/>
      <c r="F190" s="200"/>
      <c r="G190" s="200"/>
      <c r="H190" s="200"/>
      <c r="I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 spans="1:26" ht="24" customHeight="1" x14ac:dyDescent="0.25">
      <c r="A191" s="200"/>
      <c r="B191" s="200"/>
      <c r="C191" s="200"/>
      <c r="D191" s="200"/>
      <c r="E191" s="200"/>
      <c r="F191" s="200"/>
      <c r="G191" s="200"/>
      <c r="H191" s="200"/>
      <c r="I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 spans="1:26" ht="24" customHeight="1" x14ac:dyDescent="0.25">
      <c r="A192" s="200"/>
      <c r="B192" s="200"/>
      <c r="C192" s="200"/>
      <c r="D192" s="200"/>
      <c r="E192" s="200"/>
      <c r="F192" s="200"/>
      <c r="G192" s="200"/>
      <c r="H192" s="200"/>
      <c r="I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 spans="1:26" ht="24" customHeight="1" x14ac:dyDescent="0.25">
      <c r="A193" s="200"/>
      <c r="B193" s="200"/>
      <c r="C193" s="200"/>
      <c r="D193" s="200"/>
      <c r="E193" s="200"/>
      <c r="F193" s="200"/>
      <c r="G193" s="200"/>
      <c r="H193" s="200"/>
      <c r="I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 spans="1:26" ht="24" customHeight="1" x14ac:dyDescent="0.25">
      <c r="A194" s="200"/>
      <c r="B194" s="200"/>
      <c r="C194" s="200"/>
      <c r="D194" s="200"/>
      <c r="E194" s="200"/>
      <c r="F194" s="200"/>
      <c r="G194" s="200"/>
      <c r="H194" s="200"/>
      <c r="I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 spans="1:26" ht="24" customHeight="1" x14ac:dyDescent="0.25">
      <c r="A195" s="200"/>
      <c r="B195" s="200"/>
      <c r="C195" s="200"/>
      <c r="D195" s="200"/>
      <c r="E195" s="200"/>
      <c r="F195" s="200"/>
      <c r="G195" s="200"/>
      <c r="H195" s="200"/>
      <c r="I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 spans="1:26" ht="24" customHeight="1" x14ac:dyDescent="0.25">
      <c r="A196" s="200"/>
      <c r="B196" s="200"/>
      <c r="C196" s="200"/>
      <c r="D196" s="200"/>
      <c r="E196" s="200"/>
      <c r="F196" s="200"/>
      <c r="G196" s="200"/>
      <c r="H196" s="200"/>
      <c r="I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</row>
    <row r="197" spans="1:26" ht="24" customHeight="1" x14ac:dyDescent="0.25">
      <c r="A197" s="200"/>
      <c r="B197" s="200"/>
      <c r="C197" s="200"/>
      <c r="D197" s="200"/>
      <c r="E197" s="200"/>
      <c r="F197" s="200"/>
      <c r="G197" s="200"/>
      <c r="H197" s="200"/>
      <c r="I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 spans="1:26" ht="24" customHeight="1" x14ac:dyDescent="0.25">
      <c r="A198" s="200"/>
      <c r="B198" s="200"/>
      <c r="C198" s="200"/>
      <c r="D198" s="200"/>
      <c r="E198" s="200"/>
      <c r="F198" s="200"/>
      <c r="G198" s="200"/>
      <c r="H198" s="200"/>
      <c r="I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 spans="1:26" ht="24" customHeight="1" x14ac:dyDescent="0.25">
      <c r="A199" s="200"/>
      <c r="B199" s="200"/>
      <c r="C199" s="200"/>
      <c r="D199" s="200"/>
      <c r="E199" s="200"/>
      <c r="F199" s="200"/>
      <c r="G199" s="200"/>
      <c r="H199" s="200"/>
      <c r="I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</row>
    <row r="200" spans="1:26" ht="24" customHeight="1" x14ac:dyDescent="0.25">
      <c r="A200" s="200"/>
      <c r="B200" s="200"/>
      <c r="C200" s="200"/>
      <c r="D200" s="200"/>
      <c r="E200" s="200"/>
      <c r="F200" s="200"/>
      <c r="G200" s="200"/>
      <c r="H200" s="200"/>
      <c r="I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 spans="1:26" ht="24" customHeight="1" x14ac:dyDescent="0.25">
      <c r="A201" s="200"/>
      <c r="B201" s="200"/>
      <c r="C201" s="200"/>
      <c r="D201" s="200"/>
      <c r="E201" s="200"/>
      <c r="F201" s="200"/>
      <c r="G201" s="200"/>
      <c r="H201" s="200"/>
      <c r="I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 spans="1:26" ht="24" customHeight="1" x14ac:dyDescent="0.25">
      <c r="A202" s="200"/>
      <c r="B202" s="200"/>
      <c r="C202" s="200"/>
      <c r="D202" s="200"/>
      <c r="E202" s="200"/>
      <c r="F202" s="200"/>
      <c r="G202" s="200"/>
      <c r="H202" s="200"/>
      <c r="I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</row>
    <row r="203" spans="1:26" ht="24" customHeight="1" x14ac:dyDescent="0.25">
      <c r="A203" s="200"/>
      <c r="B203" s="200"/>
      <c r="C203" s="200"/>
      <c r="D203" s="200"/>
      <c r="E203" s="200"/>
      <c r="F203" s="200"/>
      <c r="G203" s="200"/>
      <c r="H203" s="200"/>
      <c r="I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</row>
    <row r="204" spans="1:26" ht="24" customHeight="1" x14ac:dyDescent="0.25">
      <c r="A204" s="200"/>
      <c r="B204" s="200"/>
      <c r="C204" s="200"/>
      <c r="D204" s="200"/>
      <c r="E204" s="200"/>
      <c r="F204" s="200"/>
      <c r="G204" s="200"/>
      <c r="H204" s="200"/>
      <c r="I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</row>
    <row r="205" spans="1:26" ht="24" customHeight="1" x14ac:dyDescent="0.25">
      <c r="A205" s="200"/>
      <c r="B205" s="200"/>
      <c r="C205" s="200"/>
      <c r="D205" s="200"/>
      <c r="E205" s="200"/>
      <c r="F205" s="200"/>
      <c r="G205" s="200"/>
      <c r="H205" s="200"/>
      <c r="I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</row>
    <row r="206" spans="1:26" ht="24" customHeight="1" x14ac:dyDescent="0.25">
      <c r="A206" s="200"/>
      <c r="B206" s="200"/>
      <c r="C206" s="200"/>
      <c r="D206" s="200"/>
      <c r="E206" s="200"/>
      <c r="F206" s="200"/>
      <c r="G206" s="200"/>
      <c r="H206" s="200"/>
      <c r="I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</row>
    <row r="207" spans="1:26" ht="24" customHeight="1" x14ac:dyDescent="0.25">
      <c r="A207" s="200"/>
      <c r="B207" s="200"/>
      <c r="C207" s="200"/>
      <c r="D207" s="200"/>
      <c r="E207" s="200"/>
      <c r="F207" s="200"/>
      <c r="G207" s="200"/>
      <c r="H207" s="200"/>
      <c r="I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</row>
    <row r="208" spans="1:26" ht="24" customHeight="1" x14ac:dyDescent="0.25">
      <c r="A208" s="200"/>
      <c r="B208" s="200"/>
      <c r="C208" s="200"/>
      <c r="D208" s="200"/>
      <c r="E208" s="200"/>
      <c r="F208" s="200"/>
      <c r="G208" s="200"/>
      <c r="H208" s="200"/>
      <c r="I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</row>
    <row r="209" spans="1:26" ht="24" customHeight="1" x14ac:dyDescent="0.25">
      <c r="A209" s="200"/>
      <c r="B209" s="200"/>
      <c r="C209" s="200"/>
      <c r="D209" s="200"/>
      <c r="E209" s="200"/>
      <c r="F209" s="200"/>
      <c r="G209" s="200"/>
      <c r="H209" s="200"/>
      <c r="I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</row>
    <row r="210" spans="1:26" ht="24" customHeight="1" x14ac:dyDescent="0.25">
      <c r="A210" s="200"/>
      <c r="B210" s="200"/>
      <c r="C210" s="200"/>
      <c r="D210" s="200"/>
      <c r="E210" s="200"/>
      <c r="F210" s="200"/>
      <c r="G210" s="200"/>
      <c r="H210" s="200"/>
      <c r="I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</row>
    <row r="211" spans="1:26" ht="24" customHeight="1" x14ac:dyDescent="0.25">
      <c r="A211" s="200"/>
      <c r="B211" s="200"/>
      <c r="C211" s="200"/>
      <c r="D211" s="200"/>
      <c r="E211" s="200"/>
      <c r="F211" s="200"/>
      <c r="G211" s="200"/>
      <c r="H211" s="200"/>
      <c r="I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</row>
    <row r="212" spans="1:26" ht="24" customHeight="1" x14ac:dyDescent="0.25">
      <c r="A212" s="200"/>
      <c r="B212" s="200"/>
      <c r="C212" s="200"/>
      <c r="D212" s="200"/>
      <c r="E212" s="200"/>
      <c r="F212" s="200"/>
      <c r="G212" s="200"/>
      <c r="H212" s="200"/>
      <c r="I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</row>
    <row r="213" spans="1:26" ht="24" customHeight="1" x14ac:dyDescent="0.25">
      <c r="A213" s="200"/>
      <c r="B213" s="200"/>
      <c r="C213" s="200"/>
      <c r="D213" s="200"/>
      <c r="E213" s="200"/>
      <c r="F213" s="200"/>
      <c r="G213" s="200"/>
      <c r="H213" s="200"/>
      <c r="I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</row>
    <row r="214" spans="1:26" ht="24" customHeight="1" x14ac:dyDescent="0.25">
      <c r="A214" s="200"/>
      <c r="B214" s="200"/>
      <c r="C214" s="200"/>
      <c r="D214" s="200"/>
      <c r="E214" s="200"/>
      <c r="F214" s="200"/>
      <c r="G214" s="200"/>
      <c r="H214" s="200"/>
      <c r="I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</row>
    <row r="215" spans="1:26" ht="24" customHeight="1" x14ac:dyDescent="0.25">
      <c r="A215" s="200"/>
      <c r="B215" s="200"/>
      <c r="C215" s="200"/>
      <c r="D215" s="200"/>
      <c r="E215" s="200"/>
      <c r="F215" s="200"/>
      <c r="G215" s="200"/>
      <c r="H215" s="200"/>
      <c r="I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</row>
    <row r="216" spans="1:26" ht="24" customHeight="1" x14ac:dyDescent="0.25">
      <c r="A216" s="200"/>
      <c r="B216" s="200"/>
      <c r="C216" s="200"/>
      <c r="D216" s="200"/>
      <c r="E216" s="200"/>
      <c r="F216" s="200"/>
      <c r="G216" s="200"/>
      <c r="H216" s="200"/>
      <c r="I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</row>
    <row r="217" spans="1:26" ht="24" customHeight="1" x14ac:dyDescent="0.25">
      <c r="A217" s="200"/>
      <c r="B217" s="200"/>
      <c r="C217" s="200"/>
      <c r="D217" s="200"/>
      <c r="E217" s="200"/>
      <c r="F217" s="200"/>
      <c r="G217" s="200"/>
      <c r="H217" s="200"/>
      <c r="I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</row>
    <row r="218" spans="1:26" ht="24" customHeight="1" x14ac:dyDescent="0.25">
      <c r="A218" s="200"/>
      <c r="B218" s="200"/>
      <c r="C218" s="200"/>
      <c r="D218" s="200"/>
      <c r="E218" s="200"/>
      <c r="F218" s="200"/>
      <c r="G218" s="200"/>
      <c r="H218" s="200"/>
      <c r="I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</row>
    <row r="219" spans="1:26" ht="24" customHeight="1" x14ac:dyDescent="0.25">
      <c r="A219" s="200"/>
      <c r="B219" s="200"/>
      <c r="C219" s="200"/>
      <c r="D219" s="200"/>
      <c r="E219" s="200"/>
      <c r="F219" s="200"/>
      <c r="G219" s="200"/>
      <c r="H219" s="200"/>
      <c r="I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</row>
    <row r="220" spans="1:26" ht="24" customHeight="1" x14ac:dyDescent="0.25">
      <c r="A220" s="200"/>
      <c r="B220" s="200"/>
      <c r="C220" s="200"/>
      <c r="D220" s="200"/>
      <c r="E220" s="200"/>
      <c r="F220" s="200"/>
      <c r="G220" s="200"/>
      <c r="H220" s="200"/>
      <c r="I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</row>
    <row r="221" spans="1:26" ht="24" customHeight="1" x14ac:dyDescent="0.25">
      <c r="A221" s="200"/>
      <c r="B221" s="200"/>
      <c r="C221" s="200"/>
      <c r="D221" s="200"/>
      <c r="E221" s="200"/>
      <c r="F221" s="200"/>
      <c r="G221" s="200"/>
      <c r="H221" s="200"/>
      <c r="I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</row>
    <row r="222" spans="1:26" ht="24" customHeight="1" x14ac:dyDescent="0.25">
      <c r="A222" s="200"/>
      <c r="B222" s="200"/>
      <c r="C222" s="200"/>
      <c r="D222" s="200"/>
      <c r="E222" s="200"/>
      <c r="F222" s="200"/>
      <c r="G222" s="200"/>
      <c r="H222" s="200"/>
      <c r="I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</row>
    <row r="223" spans="1:26" ht="24" customHeight="1" x14ac:dyDescent="0.25">
      <c r="A223" s="200"/>
      <c r="B223" s="200"/>
      <c r="C223" s="200"/>
      <c r="D223" s="200"/>
      <c r="E223" s="200"/>
      <c r="F223" s="200"/>
      <c r="G223" s="200"/>
      <c r="H223" s="200"/>
      <c r="I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</row>
    <row r="224" spans="1:26" ht="24" customHeight="1" x14ac:dyDescent="0.25">
      <c r="A224" s="200"/>
      <c r="B224" s="200"/>
      <c r="C224" s="200"/>
      <c r="D224" s="200"/>
      <c r="E224" s="200"/>
      <c r="F224" s="200"/>
      <c r="G224" s="200"/>
      <c r="H224" s="200"/>
      <c r="I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</row>
    <row r="225" spans="1:26" ht="24" customHeight="1" x14ac:dyDescent="0.25">
      <c r="A225" s="200"/>
      <c r="B225" s="200"/>
      <c r="C225" s="200"/>
      <c r="D225" s="200"/>
      <c r="E225" s="200"/>
      <c r="F225" s="200"/>
      <c r="G225" s="200"/>
      <c r="H225" s="200"/>
      <c r="I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</row>
    <row r="226" spans="1:26" ht="24" customHeight="1" x14ac:dyDescent="0.25">
      <c r="A226" s="200"/>
      <c r="B226" s="200"/>
      <c r="C226" s="200"/>
      <c r="D226" s="200"/>
      <c r="E226" s="200"/>
      <c r="F226" s="200"/>
      <c r="G226" s="200"/>
      <c r="H226" s="200"/>
      <c r="I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</row>
    <row r="227" spans="1:26" ht="24" customHeight="1" x14ac:dyDescent="0.25">
      <c r="A227" s="200"/>
      <c r="B227" s="200"/>
      <c r="C227" s="200"/>
      <c r="D227" s="200"/>
      <c r="E227" s="200"/>
      <c r="F227" s="200"/>
      <c r="G227" s="200"/>
      <c r="H227" s="200"/>
      <c r="I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</row>
    <row r="228" spans="1:26" ht="24" customHeight="1" x14ac:dyDescent="0.25">
      <c r="A228" s="200"/>
      <c r="B228" s="200"/>
      <c r="C228" s="200"/>
      <c r="D228" s="200"/>
      <c r="E228" s="200"/>
      <c r="F228" s="200"/>
      <c r="G228" s="200"/>
      <c r="H228" s="200"/>
      <c r="I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</row>
    <row r="229" spans="1:26" ht="24" customHeight="1" x14ac:dyDescent="0.25">
      <c r="A229" s="200"/>
      <c r="B229" s="200"/>
      <c r="C229" s="200"/>
      <c r="D229" s="200"/>
      <c r="E229" s="200"/>
      <c r="F229" s="200"/>
      <c r="G229" s="200"/>
      <c r="H229" s="200"/>
      <c r="I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</row>
    <row r="230" spans="1:26" ht="24" customHeight="1" x14ac:dyDescent="0.25">
      <c r="A230" s="200"/>
      <c r="B230" s="200"/>
      <c r="C230" s="200"/>
      <c r="D230" s="200"/>
      <c r="E230" s="200"/>
      <c r="F230" s="200"/>
      <c r="G230" s="200"/>
      <c r="H230" s="200"/>
      <c r="I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</row>
    <row r="231" spans="1:26" ht="24" customHeight="1" x14ac:dyDescent="0.25">
      <c r="A231" s="200"/>
      <c r="B231" s="200"/>
      <c r="C231" s="200"/>
      <c r="D231" s="200"/>
      <c r="E231" s="200"/>
      <c r="F231" s="200"/>
      <c r="G231" s="200"/>
      <c r="H231" s="200"/>
      <c r="I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</row>
    <row r="232" spans="1:26" ht="24" customHeight="1" x14ac:dyDescent="0.25">
      <c r="A232" s="200"/>
      <c r="B232" s="200"/>
      <c r="C232" s="200"/>
      <c r="D232" s="200"/>
      <c r="E232" s="200"/>
      <c r="F232" s="200"/>
      <c r="G232" s="200"/>
      <c r="H232" s="200"/>
      <c r="I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</row>
  </sheetData>
  <mergeCells count="25">
    <mergeCell ref="B2:B32"/>
    <mergeCell ref="C2:M2"/>
    <mergeCell ref="C3:C4"/>
    <mergeCell ref="D3:I3"/>
    <mergeCell ref="J3:M3"/>
    <mergeCell ref="D4:I4"/>
    <mergeCell ref="J4:M4"/>
    <mergeCell ref="C5:C16"/>
    <mergeCell ref="J5:M5"/>
    <mergeCell ref="D12:E12"/>
    <mergeCell ref="D32:G32"/>
    <mergeCell ref="H32:I32"/>
    <mergeCell ref="F12:G12"/>
    <mergeCell ref="H12:I12"/>
    <mergeCell ref="D16:I16"/>
    <mergeCell ref="D17:G17"/>
    <mergeCell ref="H17:I17"/>
    <mergeCell ref="C20:C31"/>
    <mergeCell ref="D22:E22"/>
    <mergeCell ref="F22:G22"/>
    <mergeCell ref="H22:I22"/>
    <mergeCell ref="D31:I31"/>
    <mergeCell ref="C18:C19"/>
    <mergeCell ref="D18:I18"/>
    <mergeCell ref="D19:I19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226" priority="2" stopIfTrue="1">
      <formula>LEN($D4)=14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88DF-0BB6-48FF-93CA-85B28381B967}">
  <dimension ref="A1:T96"/>
  <sheetViews>
    <sheetView zoomScale="70" zoomScaleNormal="70" workbookViewId="0">
      <selection activeCell="B2" sqref="B2:B30"/>
    </sheetView>
  </sheetViews>
  <sheetFormatPr defaultColWidth="8.7109375" defaultRowHeight="24" customHeight="1" x14ac:dyDescent="0.25"/>
  <cols>
    <col min="1" max="15" width="8.7109375" style="1" customWidth="1"/>
    <col min="16" max="16384" width="8.7109375" style="1"/>
  </cols>
  <sheetData>
    <row r="1" spans="1:20" ht="24" customHeight="1" thickBot="1" x14ac:dyDescent="0.3"/>
    <row r="2" spans="1:20" ht="24" customHeight="1" thickBot="1" x14ac:dyDescent="0.3">
      <c r="B2" s="310" t="s">
        <v>32</v>
      </c>
      <c r="C2" s="2" t="s">
        <v>33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6" t="s">
        <v>34</v>
      </c>
      <c r="Q2" s="7"/>
      <c r="R2" s="7"/>
      <c r="S2" s="8"/>
    </row>
    <row r="3" spans="1:20" ht="24" customHeight="1" thickBot="1" x14ac:dyDescent="0.3">
      <c r="B3" s="311"/>
      <c r="C3" s="308">
        <v>1.3888888888888888E-2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10" t="s">
        <v>3</v>
      </c>
      <c r="Q3" s="11"/>
      <c r="R3" s="11"/>
      <c r="S3" s="12"/>
    </row>
    <row r="4" spans="1:20" ht="24" customHeight="1" thickBot="1" x14ac:dyDescent="0.3">
      <c r="B4" s="311"/>
      <c r="C4" s="31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6" t="str">
        <f>CONCATENATE(COUNT(P6:P21,R6:R21)," VIAGENS")</f>
        <v>32 VIAGENS</v>
      </c>
      <c r="Q4" s="7"/>
      <c r="R4" s="7"/>
      <c r="S4" s="8"/>
    </row>
    <row r="5" spans="1:20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6" t="s">
        <v>14</v>
      </c>
      <c r="Q5" s="17" t="s">
        <v>15</v>
      </c>
      <c r="R5" s="16" t="s">
        <v>14</v>
      </c>
      <c r="S5" s="17" t="s">
        <v>15</v>
      </c>
    </row>
    <row r="6" spans="1:20" ht="24" customHeight="1" x14ac:dyDescent="0.25">
      <c r="B6" s="311"/>
      <c r="C6" s="314"/>
      <c r="D6" s="18">
        <v>0.20833333333333329</v>
      </c>
      <c r="E6" s="19">
        <v>0.2215277777777778</v>
      </c>
      <c r="F6" s="19">
        <v>0.2388888888888889</v>
      </c>
      <c r="G6" s="20">
        <f>F6-D6</f>
        <v>3.0555555555555614E-2</v>
      </c>
      <c r="H6" s="55">
        <v>113</v>
      </c>
      <c r="I6" s="22">
        <v>1</v>
      </c>
      <c r="J6" s="18">
        <v>0.2270833333333333</v>
      </c>
      <c r="K6" s="19">
        <v>0.24027777777777781</v>
      </c>
      <c r="L6" s="19">
        <v>0.2590277777777778</v>
      </c>
      <c r="M6" s="20">
        <f t="shared" ref="M6:M10" si="0">L6-J6</f>
        <v>3.1944444444444497E-2</v>
      </c>
      <c r="N6" s="55">
        <v>113</v>
      </c>
      <c r="O6" s="22">
        <v>2</v>
      </c>
      <c r="P6" s="23">
        <v>0.20833333333333329</v>
      </c>
      <c r="Q6" s="24"/>
      <c r="R6" s="25">
        <v>0.59305555555555556</v>
      </c>
      <c r="S6" s="26">
        <f>R6-P21</f>
        <v>2.430555555555558E-2</v>
      </c>
    </row>
    <row r="7" spans="1:20" ht="24" customHeight="1" x14ac:dyDescent="0.25">
      <c r="B7" s="311"/>
      <c r="C7" s="314"/>
      <c r="D7" s="18">
        <v>0.24583333333333329</v>
      </c>
      <c r="E7" s="19">
        <v>0.2590277777777778</v>
      </c>
      <c r="F7" s="19">
        <v>0.27777777777777779</v>
      </c>
      <c r="G7" s="20">
        <f t="shared" ref="G7:G9" si="1">F7-D7</f>
        <v>3.1944444444444497E-2</v>
      </c>
      <c r="H7" s="55">
        <v>113</v>
      </c>
      <c r="I7" s="22">
        <v>1</v>
      </c>
      <c r="J7" s="18">
        <v>0.26597222222222222</v>
      </c>
      <c r="K7" s="19">
        <v>0.28055555555555561</v>
      </c>
      <c r="L7" s="19">
        <v>0.30069444444444438</v>
      </c>
      <c r="M7" s="20">
        <f t="shared" si="0"/>
        <v>3.4722222222222154E-2</v>
      </c>
      <c r="N7" s="55">
        <v>113</v>
      </c>
      <c r="O7" s="22">
        <v>2</v>
      </c>
      <c r="P7" s="27">
        <v>0.2270833333333333</v>
      </c>
      <c r="Q7" s="28">
        <f t="shared" ref="Q7:Q21" si="2">P7-P6</f>
        <v>1.8750000000000017E-2</v>
      </c>
      <c r="R7" s="29">
        <v>0.62916666666666665</v>
      </c>
      <c r="S7" s="30">
        <f t="shared" ref="S7:S21" si="3">R7-R6</f>
        <v>3.6111111111111094E-2</v>
      </c>
    </row>
    <row r="8" spans="1:20" ht="24" customHeight="1" x14ac:dyDescent="0.25">
      <c r="B8" s="311"/>
      <c r="C8" s="314"/>
      <c r="D8" s="18">
        <v>0.28472222222222221</v>
      </c>
      <c r="E8" s="19">
        <v>0.2986111111111111</v>
      </c>
      <c r="F8" s="19">
        <v>0.31805555555555548</v>
      </c>
      <c r="G8" s="20">
        <f t="shared" si="1"/>
        <v>3.333333333333327E-2</v>
      </c>
      <c r="H8" s="55">
        <v>113</v>
      </c>
      <c r="I8" s="22">
        <v>1</v>
      </c>
      <c r="J8" s="18">
        <v>0.30763888888888891</v>
      </c>
      <c r="K8" s="19">
        <v>0.32430555555555562</v>
      </c>
      <c r="L8" s="19">
        <v>0.34444444444444439</v>
      </c>
      <c r="M8" s="20">
        <f t="shared" si="0"/>
        <v>3.680555555555548E-2</v>
      </c>
      <c r="N8" s="55">
        <v>113</v>
      </c>
      <c r="O8" s="22">
        <v>2</v>
      </c>
      <c r="P8" s="27">
        <v>0.24583333333333329</v>
      </c>
      <c r="Q8" s="28">
        <f t="shared" si="2"/>
        <v>1.8749999999999989E-2</v>
      </c>
      <c r="R8" s="29">
        <v>0.66736111111111107</v>
      </c>
      <c r="S8" s="30">
        <f t="shared" si="3"/>
        <v>3.819444444444442E-2</v>
      </c>
    </row>
    <row r="9" spans="1:20" ht="24" customHeight="1" thickBot="1" x14ac:dyDescent="0.3">
      <c r="B9" s="311"/>
      <c r="C9" s="314"/>
      <c r="D9" s="18">
        <v>0.32500000000000001</v>
      </c>
      <c r="E9" s="19">
        <v>0.33819444444444452</v>
      </c>
      <c r="F9" s="19">
        <v>0.35833333333333328</v>
      </c>
      <c r="G9" s="20">
        <f t="shared" si="1"/>
        <v>3.333333333333327E-2</v>
      </c>
      <c r="H9" s="55">
        <v>113</v>
      </c>
      <c r="I9" s="22">
        <v>1</v>
      </c>
      <c r="J9" s="18">
        <v>0.35138888888888892</v>
      </c>
      <c r="K9" s="19">
        <v>0.3659722222222222</v>
      </c>
      <c r="L9" s="19">
        <v>0.38819444444444451</v>
      </c>
      <c r="M9" s="20">
        <f t="shared" si="0"/>
        <v>3.6805555555555591E-2</v>
      </c>
      <c r="N9" s="55">
        <v>113</v>
      </c>
      <c r="O9" s="22">
        <v>2</v>
      </c>
      <c r="P9" s="27">
        <v>0.26597222222222222</v>
      </c>
      <c r="Q9" s="28">
        <f t="shared" si="2"/>
        <v>2.0138888888888928E-2</v>
      </c>
      <c r="R9" s="29">
        <v>0.70486111111111116</v>
      </c>
      <c r="S9" s="30">
        <f t="shared" si="3"/>
        <v>3.7500000000000089E-2</v>
      </c>
    </row>
    <row r="10" spans="1:20" ht="24" customHeight="1" thickBot="1" x14ac:dyDescent="0.3">
      <c r="B10" s="311"/>
      <c r="C10" s="314"/>
      <c r="D10" s="31">
        <f>IF(F9="",E9,F9)</f>
        <v>0.35833333333333328</v>
      </c>
      <c r="E10" s="32"/>
      <c r="F10" s="31">
        <f>IF(D11="",E11,D11)</f>
        <v>0.41597222222222219</v>
      </c>
      <c r="G10" s="32"/>
      <c r="H10" s="32">
        <f>F10-D10</f>
        <v>5.7638888888888906E-2</v>
      </c>
      <c r="I10" s="32"/>
      <c r="J10" s="18">
        <v>0.39513888888888887</v>
      </c>
      <c r="K10" s="19">
        <v>0.41111111111111109</v>
      </c>
      <c r="L10" s="19">
        <v>0.43541666666666667</v>
      </c>
      <c r="M10" s="20">
        <f t="shared" si="0"/>
        <v>4.0277777777777801E-2</v>
      </c>
      <c r="N10" s="55">
        <v>113</v>
      </c>
      <c r="O10" s="22">
        <v>2</v>
      </c>
      <c r="P10" s="27">
        <v>0.28472222222222221</v>
      </c>
      <c r="Q10" s="28">
        <f t="shared" si="2"/>
        <v>1.8749999999999989E-2</v>
      </c>
      <c r="R10" s="29">
        <v>0.74444444444444446</v>
      </c>
      <c r="S10" s="30">
        <f t="shared" si="3"/>
        <v>3.9583333333333304E-2</v>
      </c>
    </row>
    <row r="11" spans="1:20" ht="24" customHeight="1" thickBot="1" x14ac:dyDescent="0.3">
      <c r="B11" s="311"/>
      <c r="C11" s="314"/>
      <c r="D11" s="18">
        <v>0.41597222222222219</v>
      </c>
      <c r="E11" s="19">
        <v>0.43125000000000002</v>
      </c>
      <c r="F11" s="19">
        <v>0.45277777777777778</v>
      </c>
      <c r="G11" s="20">
        <f t="shared" ref="G11:G14" si="4">F11-D11</f>
        <v>3.6805555555555591E-2</v>
      </c>
      <c r="H11" s="55">
        <v>113</v>
      </c>
      <c r="I11" s="22">
        <v>1</v>
      </c>
      <c r="J11" s="31">
        <f>IF(L10="",K10,L10)</f>
        <v>0.43541666666666667</v>
      </c>
      <c r="K11" s="32"/>
      <c r="L11" s="31">
        <f>IF(J12="",K12,J12)</f>
        <v>0.48402777777777778</v>
      </c>
      <c r="M11" s="32"/>
      <c r="N11" s="32">
        <f>L11-J11</f>
        <v>4.8611111111111105E-2</v>
      </c>
      <c r="O11" s="33"/>
      <c r="P11" s="27">
        <v>0.30763888888888891</v>
      </c>
      <c r="Q11" s="28">
        <f t="shared" si="2"/>
        <v>2.2916666666666696E-2</v>
      </c>
      <c r="R11" s="29">
        <v>0.76875000000000004</v>
      </c>
      <c r="S11" s="30">
        <f t="shared" si="3"/>
        <v>2.430555555555558E-2</v>
      </c>
    </row>
    <row r="12" spans="1:20" ht="24" customHeight="1" x14ac:dyDescent="0.25">
      <c r="B12" s="311"/>
      <c r="C12" s="314"/>
      <c r="D12" s="18">
        <v>0.4597222222222222</v>
      </c>
      <c r="E12" s="19">
        <v>0.47569444444444442</v>
      </c>
      <c r="F12" s="19">
        <v>0.49652777777777779</v>
      </c>
      <c r="G12" s="20">
        <f t="shared" si="4"/>
        <v>3.6805555555555591E-2</v>
      </c>
      <c r="H12" s="55">
        <v>113</v>
      </c>
      <c r="I12" s="22">
        <v>1</v>
      </c>
      <c r="J12" s="18">
        <v>0.48402777777777778</v>
      </c>
      <c r="K12" s="19">
        <v>0.49722222222222218</v>
      </c>
      <c r="L12" s="19">
        <v>0.52083333333333337</v>
      </c>
      <c r="M12" s="20">
        <f t="shared" ref="M12:M14" si="5">L12-J12</f>
        <v>3.6805555555555591E-2</v>
      </c>
      <c r="N12" s="55">
        <v>113</v>
      </c>
      <c r="O12" s="22">
        <v>2</v>
      </c>
      <c r="P12" s="27">
        <v>0.32500000000000001</v>
      </c>
      <c r="Q12" s="28">
        <f t="shared" si="2"/>
        <v>1.7361111111111105E-2</v>
      </c>
      <c r="R12" s="29">
        <v>0.79305555555555551</v>
      </c>
      <c r="S12" s="30">
        <f t="shared" si="3"/>
        <v>2.4305555555555469E-2</v>
      </c>
    </row>
    <row r="13" spans="1:20" ht="24" customHeight="1" x14ac:dyDescent="0.25">
      <c r="B13" s="311"/>
      <c r="C13" s="314"/>
      <c r="D13" s="18">
        <v>0.50347222222222221</v>
      </c>
      <c r="E13" s="19">
        <v>0.51944444444444449</v>
      </c>
      <c r="F13" s="19">
        <v>0.54027777777777775</v>
      </c>
      <c r="G13" s="20">
        <f t="shared" si="4"/>
        <v>3.6805555555555536E-2</v>
      </c>
      <c r="H13" s="55">
        <v>113</v>
      </c>
      <c r="I13" s="22">
        <v>1</v>
      </c>
      <c r="J13" s="18">
        <v>0.52777777777777779</v>
      </c>
      <c r="K13" s="19">
        <v>0.54166666666666663</v>
      </c>
      <c r="L13" s="19">
        <v>0.56180555555555556</v>
      </c>
      <c r="M13" s="20">
        <f t="shared" si="5"/>
        <v>3.4027777777777768E-2</v>
      </c>
      <c r="N13" s="55">
        <v>113</v>
      </c>
      <c r="O13" s="22">
        <v>2</v>
      </c>
      <c r="P13" s="27">
        <v>0.35138888888888892</v>
      </c>
      <c r="Q13" s="28">
        <f t="shared" si="2"/>
        <v>2.6388888888888906E-2</v>
      </c>
      <c r="R13" s="29">
        <v>0.81736111111111109</v>
      </c>
      <c r="S13" s="30">
        <f t="shared" si="3"/>
        <v>2.430555555555558E-2</v>
      </c>
    </row>
    <row r="14" spans="1:20" ht="24" customHeight="1" thickBot="1" x14ac:dyDescent="0.3">
      <c r="B14" s="311"/>
      <c r="C14" s="314"/>
      <c r="D14" s="18">
        <v>0.54722222222222228</v>
      </c>
      <c r="E14" s="19">
        <v>0.56180555555555556</v>
      </c>
      <c r="F14" s="19">
        <v>0.58194444444444449</v>
      </c>
      <c r="G14" s="20">
        <f t="shared" si="4"/>
        <v>3.472222222222221E-2</v>
      </c>
      <c r="H14" s="55">
        <v>113</v>
      </c>
      <c r="I14" s="22">
        <v>1</v>
      </c>
      <c r="J14" s="18">
        <v>0.56874999999999998</v>
      </c>
      <c r="K14" s="19">
        <v>0.58125000000000004</v>
      </c>
      <c r="L14" s="19">
        <v>0.6020833333333333</v>
      </c>
      <c r="M14" s="20">
        <f t="shared" si="5"/>
        <v>3.3333333333333326E-2</v>
      </c>
      <c r="N14" s="55">
        <v>113</v>
      </c>
      <c r="O14" s="22">
        <v>2</v>
      </c>
      <c r="P14" s="27">
        <v>0.39513888888888887</v>
      </c>
      <c r="Q14" s="28">
        <f t="shared" si="2"/>
        <v>4.3749999999999956E-2</v>
      </c>
      <c r="R14" s="29">
        <v>0.86388888888888893</v>
      </c>
      <c r="S14" s="30">
        <f t="shared" si="3"/>
        <v>4.6527777777777835E-2</v>
      </c>
    </row>
    <row r="15" spans="1:20" s="35" customFormat="1" ht="24" customHeight="1" thickBot="1" x14ac:dyDescent="0.3">
      <c r="A15" s="34"/>
      <c r="B15" s="311"/>
      <c r="C15" s="315"/>
      <c r="D15" s="341" t="s">
        <v>35</v>
      </c>
      <c r="E15" s="321"/>
      <c r="F15" s="321"/>
      <c r="G15" s="321"/>
      <c r="H15" s="321"/>
      <c r="I15" s="322"/>
      <c r="J15" s="341" t="s">
        <v>35</v>
      </c>
      <c r="K15" s="321"/>
      <c r="L15" s="321"/>
      <c r="M15" s="321"/>
      <c r="N15" s="321"/>
      <c r="O15" s="322"/>
      <c r="P15" s="27">
        <v>0.41597222222222219</v>
      </c>
      <c r="Q15" s="28">
        <f t="shared" si="2"/>
        <v>2.0833333333333315E-2</v>
      </c>
      <c r="R15" s="29">
        <v>0.8881944444444444</v>
      </c>
      <c r="S15" s="30">
        <f t="shared" si="3"/>
        <v>2.4305555555555469E-2</v>
      </c>
      <c r="T15" s="1"/>
    </row>
    <row r="16" spans="1:20" ht="24" customHeight="1" thickBot="1" x14ac:dyDescent="0.3">
      <c r="B16" s="311"/>
      <c r="C16" s="36" t="s">
        <v>17</v>
      </c>
      <c r="D16" s="37">
        <f>MAX(E6:F14)-IF(D6="",E6,D6)-MIN(H6:H14)+$C3</f>
        <v>0.32986111111111122</v>
      </c>
      <c r="E16" s="38"/>
      <c r="F16" s="38"/>
      <c r="G16" s="39"/>
      <c r="H16" s="40">
        <f ca="1">OFFSET(H5,MATCH(MIN(H6:H14),H6:H14,0),-4)-IF(D6="",E6,D6)+$C3</f>
        <v>0.16388888888888889</v>
      </c>
      <c r="I16" s="41"/>
      <c r="J16" s="37">
        <f>MAX(K6:L14)-IF(J6="",K6,J6)-MIN(N6:N14)+$C3</f>
        <v>0.34027777777777779</v>
      </c>
      <c r="K16" s="38"/>
      <c r="L16" s="38"/>
      <c r="M16" s="39"/>
      <c r="N16" s="40">
        <f ca="1">OFFSET(N5,MATCH(MIN(N6:N14),N6:N14,0),-4)-IF(J6="",K6,J6)+$C3</f>
        <v>0.22222222222222227</v>
      </c>
      <c r="O16" s="42"/>
      <c r="P16" s="27">
        <v>0.4597222222222222</v>
      </c>
      <c r="Q16" s="28">
        <f t="shared" si="2"/>
        <v>4.3750000000000011E-2</v>
      </c>
      <c r="R16" s="29">
        <v>0.93194444444444446</v>
      </c>
      <c r="S16" s="30">
        <f t="shared" si="3"/>
        <v>4.3750000000000067E-2</v>
      </c>
    </row>
    <row r="17" spans="1:20" ht="24" customHeight="1" thickBot="1" x14ac:dyDescent="0.3">
      <c r="B17" s="311"/>
      <c r="C17" s="308">
        <v>1.3888888888888888E-2</v>
      </c>
      <c r="D17" s="9" t="s">
        <v>18</v>
      </c>
      <c r="E17" s="7"/>
      <c r="F17" s="7"/>
      <c r="G17" s="7"/>
      <c r="H17" s="7"/>
      <c r="I17" s="8"/>
      <c r="J17" s="9"/>
      <c r="K17" s="7"/>
      <c r="L17" s="7"/>
      <c r="M17" s="7"/>
      <c r="N17" s="7"/>
      <c r="O17" s="7"/>
      <c r="P17" s="27">
        <v>0.48402777777777778</v>
      </c>
      <c r="Q17" s="28">
        <f t="shared" si="2"/>
        <v>2.430555555555558E-2</v>
      </c>
      <c r="R17" s="29">
        <v>0.95625000000000004</v>
      </c>
      <c r="S17" s="30">
        <f t="shared" si="3"/>
        <v>2.430555555555558E-2</v>
      </c>
    </row>
    <row r="18" spans="1:20" ht="24" customHeight="1" thickBot="1" x14ac:dyDescent="0.3">
      <c r="B18" s="311"/>
      <c r="C18" s="319"/>
      <c r="D18" s="9" t="s">
        <v>19</v>
      </c>
      <c r="E18" s="7"/>
      <c r="F18" s="7"/>
      <c r="G18" s="7"/>
      <c r="H18" s="7"/>
      <c r="I18" s="8"/>
      <c r="J18" s="9" t="s">
        <v>20</v>
      </c>
      <c r="K18" s="7"/>
      <c r="L18" s="7"/>
      <c r="M18" s="7"/>
      <c r="N18" s="7"/>
      <c r="O18" s="7"/>
      <c r="P18" s="27">
        <v>0.50347222222222221</v>
      </c>
      <c r="Q18" s="28">
        <f t="shared" si="2"/>
        <v>1.9444444444444431E-2</v>
      </c>
      <c r="R18" s="29">
        <v>0.99236111111111114</v>
      </c>
      <c r="S18" s="30">
        <f t="shared" si="3"/>
        <v>3.6111111111111094E-2</v>
      </c>
    </row>
    <row r="19" spans="1:20" ht="24" customHeight="1" thickBot="1" x14ac:dyDescent="0.3">
      <c r="B19" s="311"/>
      <c r="C19" s="302" t="s">
        <v>7</v>
      </c>
      <c r="D19" s="13" t="s">
        <v>8</v>
      </c>
      <c r="E19" s="14" t="s">
        <v>9</v>
      </c>
      <c r="F19" s="15" t="s">
        <v>10</v>
      </c>
      <c r="G19" s="14" t="s">
        <v>11</v>
      </c>
      <c r="H19" s="15" t="s">
        <v>12</v>
      </c>
      <c r="I19" s="14" t="s">
        <v>13</v>
      </c>
      <c r="J19" s="15" t="s">
        <v>8</v>
      </c>
      <c r="K19" s="14" t="s">
        <v>9</v>
      </c>
      <c r="L19" s="15" t="s">
        <v>10</v>
      </c>
      <c r="M19" s="14" t="s">
        <v>11</v>
      </c>
      <c r="N19" s="15" t="s">
        <v>12</v>
      </c>
      <c r="O19" s="13" t="s">
        <v>13</v>
      </c>
      <c r="P19" s="27">
        <v>0.52777777777777779</v>
      </c>
      <c r="Q19" s="28">
        <f t="shared" si="2"/>
        <v>2.430555555555558E-2</v>
      </c>
      <c r="R19" s="63">
        <v>1.0284722222222222</v>
      </c>
      <c r="S19" s="30">
        <f t="shared" si="3"/>
        <v>3.6111111111111094E-2</v>
      </c>
    </row>
    <row r="20" spans="1:20" ht="24" customHeight="1" x14ac:dyDescent="0.25">
      <c r="B20" s="311"/>
      <c r="C20" s="303"/>
      <c r="D20" s="23">
        <v>0.59305555555555556</v>
      </c>
      <c r="E20" s="25">
        <v>0.60347222222222219</v>
      </c>
      <c r="F20" s="25">
        <v>0.62222222222222223</v>
      </c>
      <c r="G20" s="20">
        <f t="shared" ref="G20:G25" si="6">F20-D20</f>
        <v>2.9166666666666674E-2</v>
      </c>
      <c r="H20" s="56">
        <v>113</v>
      </c>
      <c r="I20" s="48">
        <v>1</v>
      </c>
      <c r="J20" s="23">
        <v>0.76875000000000004</v>
      </c>
      <c r="K20" s="25">
        <v>0.78680555555555554</v>
      </c>
      <c r="L20" s="25">
        <v>0.80902777777777779</v>
      </c>
      <c r="M20" s="20">
        <f t="shared" ref="M20:M22" si="7">L20-J20</f>
        <v>4.0277777777777746E-2</v>
      </c>
      <c r="N20" s="56">
        <v>113</v>
      </c>
      <c r="O20" s="57">
        <v>2</v>
      </c>
      <c r="P20" s="27">
        <v>0.54722222222222228</v>
      </c>
      <c r="Q20" s="28">
        <f t="shared" si="2"/>
        <v>1.9444444444444486E-2</v>
      </c>
      <c r="R20" s="63">
        <v>1.0659722222222223</v>
      </c>
      <c r="S20" s="30">
        <f t="shared" si="3"/>
        <v>3.7500000000000089E-2</v>
      </c>
    </row>
    <row r="21" spans="1:20" ht="24" customHeight="1" thickBot="1" x14ac:dyDescent="0.3">
      <c r="B21" s="311"/>
      <c r="C21" s="303"/>
      <c r="D21" s="27">
        <v>0.62916666666666665</v>
      </c>
      <c r="E21" s="29">
        <v>0.64166666666666672</v>
      </c>
      <c r="F21" s="29">
        <v>0.66041666666666665</v>
      </c>
      <c r="G21" s="20">
        <f t="shared" si="6"/>
        <v>3.125E-2</v>
      </c>
      <c r="H21" s="58">
        <v>113</v>
      </c>
      <c r="I21" s="50">
        <v>1</v>
      </c>
      <c r="J21" s="27">
        <v>0.81736111111111109</v>
      </c>
      <c r="K21" s="29">
        <v>0.83611111111111114</v>
      </c>
      <c r="L21" s="29">
        <v>0.8569444444444444</v>
      </c>
      <c r="M21" s="20">
        <f t="shared" si="7"/>
        <v>3.9583333333333304E-2</v>
      </c>
      <c r="N21" s="58">
        <v>113</v>
      </c>
      <c r="O21" s="64">
        <v>2</v>
      </c>
      <c r="P21" s="43">
        <v>0.56874999999999998</v>
      </c>
      <c r="Q21" s="44">
        <f t="shared" si="2"/>
        <v>2.1527777777777701E-2</v>
      </c>
      <c r="R21" s="65">
        <v>1.1041666666666667</v>
      </c>
      <c r="S21" s="46">
        <f t="shared" si="3"/>
        <v>3.819444444444442E-2</v>
      </c>
    </row>
    <row r="22" spans="1:20" ht="24" customHeight="1" thickBot="1" x14ac:dyDescent="0.3">
      <c r="B22" s="311"/>
      <c r="C22" s="303"/>
      <c r="D22" s="27">
        <v>0.66736111111111107</v>
      </c>
      <c r="E22" s="29">
        <v>0.6791666666666667</v>
      </c>
      <c r="F22" s="29">
        <v>0.69791666666666663</v>
      </c>
      <c r="G22" s="20">
        <f t="shared" si="6"/>
        <v>3.0555555555555558E-2</v>
      </c>
      <c r="H22" s="58">
        <v>113</v>
      </c>
      <c r="I22" s="50">
        <v>1</v>
      </c>
      <c r="J22" s="27">
        <v>0.86388888888888893</v>
      </c>
      <c r="K22" s="29">
        <v>0.87708333333333333</v>
      </c>
      <c r="L22" s="29">
        <v>0.89722222222222225</v>
      </c>
      <c r="M22" s="20">
        <f t="shared" si="7"/>
        <v>3.3333333333333326E-2</v>
      </c>
      <c r="N22" s="58">
        <v>113</v>
      </c>
      <c r="O22" s="50">
        <v>2</v>
      </c>
    </row>
    <row r="23" spans="1:20" ht="24" customHeight="1" thickBot="1" x14ac:dyDescent="0.3">
      <c r="B23" s="311"/>
      <c r="C23" s="303"/>
      <c r="D23" s="27">
        <v>0.70486111111111116</v>
      </c>
      <c r="E23" s="29">
        <v>0.71875</v>
      </c>
      <c r="F23" s="29">
        <v>0.73750000000000004</v>
      </c>
      <c r="G23" s="20">
        <f t="shared" si="6"/>
        <v>3.2638888888888884E-2</v>
      </c>
      <c r="H23" s="58">
        <v>113</v>
      </c>
      <c r="I23" s="50">
        <v>1</v>
      </c>
      <c r="J23" s="31">
        <f>IF(L22="",K22,L22)</f>
        <v>0.89722222222222225</v>
      </c>
      <c r="K23" s="32"/>
      <c r="L23" s="31">
        <f>IF(J24="",K24,J24)</f>
        <v>0.95625000000000004</v>
      </c>
      <c r="M23" s="32"/>
      <c r="N23" s="32">
        <f>L23-J23</f>
        <v>5.902777777777779E-2</v>
      </c>
      <c r="O23" s="32"/>
    </row>
    <row r="24" spans="1:20" ht="24" customHeight="1" x14ac:dyDescent="0.25">
      <c r="B24" s="311"/>
      <c r="C24" s="303"/>
      <c r="D24" s="27">
        <v>0.74444444444444446</v>
      </c>
      <c r="E24" s="29">
        <v>0.75972222222222219</v>
      </c>
      <c r="F24" s="29">
        <v>0.78125</v>
      </c>
      <c r="G24" s="20">
        <f t="shared" si="6"/>
        <v>3.6805555555555536E-2</v>
      </c>
      <c r="H24" s="58">
        <v>113</v>
      </c>
      <c r="I24" s="50">
        <v>1</v>
      </c>
      <c r="J24" s="27">
        <v>0.95625000000000004</v>
      </c>
      <c r="K24" s="29">
        <v>0.96805555555555556</v>
      </c>
      <c r="L24" s="29">
        <v>0.98541666666666672</v>
      </c>
      <c r="M24" s="20">
        <f t="shared" ref="M24:M28" si="8">L24-J24</f>
        <v>2.9166666666666674E-2</v>
      </c>
      <c r="N24" s="58">
        <v>113</v>
      </c>
      <c r="O24" s="50">
        <v>2</v>
      </c>
    </row>
    <row r="25" spans="1:20" ht="24" customHeight="1" thickBot="1" x14ac:dyDescent="0.3">
      <c r="B25" s="311"/>
      <c r="C25" s="303"/>
      <c r="D25" s="59">
        <v>0.79305555555555551</v>
      </c>
      <c r="E25" s="60">
        <v>0.81041666666666667</v>
      </c>
      <c r="F25" s="60">
        <v>0.83125000000000004</v>
      </c>
      <c r="G25" s="20">
        <f t="shared" si="6"/>
        <v>3.8194444444444531E-2</v>
      </c>
      <c r="H25" s="61">
        <v>113</v>
      </c>
      <c r="I25" s="62">
        <v>1</v>
      </c>
      <c r="J25" s="59">
        <v>0.99236111111111114</v>
      </c>
      <c r="K25" s="60">
        <v>1.0041666666666667</v>
      </c>
      <c r="L25" s="60">
        <v>1.0215277777777778</v>
      </c>
      <c r="M25" s="20">
        <f t="shared" si="8"/>
        <v>2.9166666666666674E-2</v>
      </c>
      <c r="N25" s="61">
        <v>113</v>
      </c>
      <c r="O25" s="62">
        <v>2</v>
      </c>
    </row>
    <row r="26" spans="1:20" ht="24" customHeight="1" thickBot="1" x14ac:dyDescent="0.3">
      <c r="B26" s="311"/>
      <c r="C26" s="303"/>
      <c r="D26" s="31">
        <f>IF(F25="",E25,F25)</f>
        <v>0.83125000000000004</v>
      </c>
      <c r="E26" s="32"/>
      <c r="F26" s="31">
        <f>IF(D27="",E27,D27)</f>
        <v>0.8881944444444444</v>
      </c>
      <c r="G26" s="32"/>
      <c r="H26" s="32">
        <f>F26-D26</f>
        <v>5.6944444444444353E-2</v>
      </c>
      <c r="I26" s="32"/>
      <c r="J26" s="59">
        <v>1.0284722222222222</v>
      </c>
      <c r="K26" s="60">
        <v>1.0402777777777779</v>
      </c>
      <c r="L26" s="60">
        <v>1.0576388888888888</v>
      </c>
      <c r="M26" s="20">
        <f t="shared" si="8"/>
        <v>2.9166666666666563E-2</v>
      </c>
      <c r="N26" s="61">
        <v>113</v>
      </c>
      <c r="O26" s="62">
        <v>2</v>
      </c>
    </row>
    <row r="27" spans="1:20" ht="24" customHeight="1" x14ac:dyDescent="0.25">
      <c r="B27" s="311"/>
      <c r="C27" s="303"/>
      <c r="D27" s="59">
        <v>0.8881944444444444</v>
      </c>
      <c r="E27" s="60">
        <v>0.90277777777777779</v>
      </c>
      <c r="F27" s="60">
        <v>0.92500000000000004</v>
      </c>
      <c r="G27" s="20">
        <f t="shared" ref="G27:G28" si="9">F27-D27</f>
        <v>3.6805555555555647E-2</v>
      </c>
      <c r="H27" s="61">
        <v>113</v>
      </c>
      <c r="I27" s="62">
        <v>1</v>
      </c>
      <c r="J27" s="59">
        <v>1.0659722222222223</v>
      </c>
      <c r="K27" s="60">
        <v>1.0777777777777777</v>
      </c>
      <c r="L27" s="60">
        <v>1.0951388888888889</v>
      </c>
      <c r="M27" s="20">
        <f t="shared" si="8"/>
        <v>2.9166666666666563E-2</v>
      </c>
      <c r="N27" s="61">
        <v>113</v>
      </c>
      <c r="O27" s="62">
        <v>2</v>
      </c>
    </row>
    <row r="28" spans="1:20" ht="24" customHeight="1" thickBot="1" x14ac:dyDescent="0.3">
      <c r="B28" s="311"/>
      <c r="C28" s="303"/>
      <c r="D28" s="59">
        <v>0.93194444444444446</v>
      </c>
      <c r="E28" s="60">
        <v>0.94861111111111107</v>
      </c>
      <c r="F28" s="60">
        <v>0.96597222222222223</v>
      </c>
      <c r="G28" s="20">
        <f t="shared" si="9"/>
        <v>3.4027777777777768E-2</v>
      </c>
      <c r="H28" s="61">
        <v>113</v>
      </c>
      <c r="I28" s="62">
        <v>1</v>
      </c>
      <c r="J28" s="59">
        <v>1.1041666666666667</v>
      </c>
      <c r="K28" s="60">
        <v>1.0743055555555556</v>
      </c>
      <c r="L28" s="60">
        <v>1.1333333333333333</v>
      </c>
      <c r="M28" s="20">
        <f t="shared" si="8"/>
        <v>2.9166666666666563E-2</v>
      </c>
      <c r="N28" s="61">
        <v>113</v>
      </c>
      <c r="O28" s="62">
        <v>2</v>
      </c>
    </row>
    <row r="29" spans="1:20" s="35" customFormat="1" ht="24" customHeight="1" thickBot="1" x14ac:dyDescent="0.3">
      <c r="A29" s="34"/>
      <c r="B29" s="311"/>
      <c r="C29" s="304"/>
      <c r="D29" s="341" t="s">
        <v>35</v>
      </c>
      <c r="E29" s="321"/>
      <c r="F29" s="321"/>
      <c r="G29" s="321"/>
      <c r="H29" s="321"/>
      <c r="I29" s="322"/>
      <c r="J29" s="341" t="s">
        <v>35</v>
      </c>
      <c r="K29" s="321"/>
      <c r="L29" s="321"/>
      <c r="M29" s="321"/>
      <c r="N29" s="321"/>
      <c r="O29" s="322"/>
      <c r="P29" s="1"/>
      <c r="Q29" s="1"/>
      <c r="R29" s="1"/>
      <c r="S29" s="1"/>
      <c r="T29" s="1"/>
    </row>
    <row r="30" spans="1:20" ht="24" customHeight="1" thickBot="1" x14ac:dyDescent="0.3">
      <c r="B30" s="312"/>
      <c r="C30" s="36" t="s">
        <v>17</v>
      </c>
      <c r="D30" s="37">
        <f>MAX(E20:F28)-IF(D20="",E20,D20)-MIN(H20:H28)+$C17</f>
        <v>0.32986111111111122</v>
      </c>
      <c r="E30" s="51"/>
      <c r="F30" s="51"/>
      <c r="G30" s="52"/>
      <c r="H30" s="53">
        <f ca="1">OFFSET(H19,MATCH(MIN(H20:H28),H20:H28,0),-4)-IF(D20="",E20,D20)</f>
        <v>0.23819444444444449</v>
      </c>
      <c r="I30" s="54"/>
      <c r="J30" s="37">
        <f>MAX(K20:L28)-IF(J20="",K20,J20)-MIN(N20:N28)+$C17</f>
        <v>0.31944444444444436</v>
      </c>
      <c r="K30" s="38"/>
      <c r="L30" s="38"/>
      <c r="M30" s="39"/>
      <c r="N30" s="53">
        <f ca="1">OFFSET(N19,MATCH(MIN(N20:N28),N20:N28,0),-4)-IF(J20="",K20,J20)</f>
        <v>0.12847222222222221</v>
      </c>
      <c r="O30" s="41"/>
    </row>
    <row r="33" spans="2:20" ht="24" customHeight="1" x14ac:dyDescent="0.25">
      <c r="D33"/>
      <c r="E33"/>
      <c r="F33"/>
      <c r="G33"/>
      <c r="H33"/>
      <c r="I33"/>
      <c r="J33"/>
    </row>
    <row r="34" spans="2:20" ht="24" customHeight="1" thickBot="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2:20" ht="24" customHeight="1" thickBot="1" x14ac:dyDescent="0.3">
      <c r="B35" s="310" t="s">
        <v>36</v>
      </c>
      <c r="C35" s="2" t="s">
        <v>37</v>
      </c>
      <c r="D35" s="3"/>
      <c r="E35" s="3"/>
      <c r="F35" s="3"/>
      <c r="G35" s="3"/>
      <c r="H35" s="4"/>
      <c r="I35" s="5"/>
      <c r="J35" s="3"/>
      <c r="K35" s="3"/>
      <c r="L35" s="3"/>
      <c r="M35" s="3"/>
      <c r="N35" s="4"/>
      <c r="O35" s="5"/>
      <c r="P35" s="6" t="s">
        <v>34</v>
      </c>
      <c r="Q35" s="7"/>
      <c r="R35" s="7"/>
      <c r="S35" s="8"/>
      <c r="T35"/>
    </row>
    <row r="36" spans="2:20" ht="24" customHeight="1" thickBot="1" x14ac:dyDescent="0.3">
      <c r="B36" s="311"/>
      <c r="C36" s="308">
        <v>1.3888888888888888E-2</v>
      </c>
      <c r="D36" s="9" t="s">
        <v>2</v>
      </c>
      <c r="E36" s="7"/>
      <c r="F36" s="7"/>
      <c r="G36" s="7"/>
      <c r="H36" s="7"/>
      <c r="I36" s="8"/>
      <c r="J36" s="9"/>
      <c r="K36" s="7"/>
      <c r="L36" s="7"/>
      <c r="M36" s="7"/>
      <c r="N36" s="7"/>
      <c r="O36" s="8"/>
      <c r="P36" s="10" t="s">
        <v>23</v>
      </c>
      <c r="Q36" s="11"/>
      <c r="R36" s="11"/>
      <c r="S36" s="12"/>
      <c r="T36"/>
    </row>
    <row r="37" spans="2:20" ht="24" customHeight="1" thickBot="1" x14ac:dyDescent="0.3">
      <c r="B37" s="311"/>
      <c r="C37" s="319"/>
      <c r="D37" s="9" t="s">
        <v>4</v>
      </c>
      <c r="E37" s="7"/>
      <c r="F37" s="7"/>
      <c r="G37" s="7"/>
      <c r="H37" s="7"/>
      <c r="I37" s="8"/>
      <c r="J37" s="9" t="s">
        <v>5</v>
      </c>
      <c r="K37" s="7"/>
      <c r="L37" s="7"/>
      <c r="M37" s="7"/>
      <c r="N37" s="7"/>
      <c r="O37" s="8"/>
      <c r="P37" s="6" t="str">
        <f>CONCATENATE(COUNT(P39:P54,R39:R54)," VIAGENS")</f>
        <v>32 VIAGENS</v>
      </c>
      <c r="Q37" s="7"/>
      <c r="R37" s="7"/>
      <c r="S37" s="8"/>
      <c r="T37"/>
    </row>
    <row r="38" spans="2:20" ht="24" customHeight="1" thickBot="1" x14ac:dyDescent="0.3">
      <c r="B38" s="311"/>
      <c r="C38" s="313" t="s">
        <v>7</v>
      </c>
      <c r="D38" s="13" t="s">
        <v>8</v>
      </c>
      <c r="E38" s="14" t="s">
        <v>9</v>
      </c>
      <c r="F38" s="15" t="s">
        <v>10</v>
      </c>
      <c r="G38" s="14" t="s">
        <v>11</v>
      </c>
      <c r="H38" s="15" t="s">
        <v>12</v>
      </c>
      <c r="I38" s="14" t="s">
        <v>13</v>
      </c>
      <c r="J38" s="13" t="s">
        <v>8</v>
      </c>
      <c r="K38" s="14" t="s">
        <v>9</v>
      </c>
      <c r="L38" s="15" t="s">
        <v>10</v>
      </c>
      <c r="M38" s="14" t="s">
        <v>11</v>
      </c>
      <c r="N38" s="15" t="s">
        <v>12</v>
      </c>
      <c r="O38" s="14" t="s">
        <v>13</v>
      </c>
      <c r="P38" s="16" t="s">
        <v>14</v>
      </c>
      <c r="Q38" s="17" t="s">
        <v>15</v>
      </c>
      <c r="R38" s="16" t="s">
        <v>14</v>
      </c>
      <c r="S38" s="17" t="s">
        <v>15</v>
      </c>
      <c r="T38"/>
    </row>
    <row r="39" spans="2:20" ht="24" customHeight="1" x14ac:dyDescent="0.25">
      <c r="B39" s="311"/>
      <c r="C39" s="314"/>
      <c r="D39" s="18">
        <v>0.20833333333333329</v>
      </c>
      <c r="E39" s="19">
        <v>0.2215277777777778</v>
      </c>
      <c r="F39" s="19">
        <v>0.2388888888888889</v>
      </c>
      <c r="G39" s="20">
        <f>F39-D39</f>
        <v>3.0555555555555614E-2</v>
      </c>
      <c r="H39" s="55">
        <v>113</v>
      </c>
      <c r="I39" s="22">
        <v>1</v>
      </c>
      <c r="J39" s="18">
        <v>0.2270833333333333</v>
      </c>
      <c r="K39" s="19">
        <v>0.24027777777777781</v>
      </c>
      <c r="L39" s="19">
        <v>0.2590277777777778</v>
      </c>
      <c r="M39" s="20">
        <f t="shared" ref="M39:M43" si="10">L39-J39</f>
        <v>3.1944444444444497E-2</v>
      </c>
      <c r="N39" s="55">
        <v>113</v>
      </c>
      <c r="O39" s="22">
        <v>2</v>
      </c>
      <c r="P39" s="23">
        <v>0.20833333333333329</v>
      </c>
      <c r="Q39" s="24"/>
      <c r="R39" s="25">
        <v>0.59305555555555556</v>
      </c>
      <c r="S39" s="26">
        <f>R39-P54</f>
        <v>2.430555555555558E-2</v>
      </c>
      <c r="T39"/>
    </row>
    <row r="40" spans="2:20" ht="24" customHeight="1" x14ac:dyDescent="0.25">
      <c r="B40" s="311"/>
      <c r="C40" s="314"/>
      <c r="D40" s="18">
        <v>0.24583333333333329</v>
      </c>
      <c r="E40" s="19">
        <v>0.2590277777777778</v>
      </c>
      <c r="F40" s="19">
        <v>0.27777777777777779</v>
      </c>
      <c r="G40" s="20">
        <f t="shared" ref="G40:G42" si="11">F40-D40</f>
        <v>3.1944444444444497E-2</v>
      </c>
      <c r="H40" s="55">
        <v>113</v>
      </c>
      <c r="I40" s="22">
        <v>1</v>
      </c>
      <c r="J40" s="18">
        <v>0.26597222222222222</v>
      </c>
      <c r="K40" s="19">
        <v>0.28055555555555561</v>
      </c>
      <c r="L40" s="19">
        <v>0.30069444444444438</v>
      </c>
      <c r="M40" s="20">
        <f t="shared" si="10"/>
        <v>3.4722222222222154E-2</v>
      </c>
      <c r="N40" s="55">
        <v>113</v>
      </c>
      <c r="O40" s="22">
        <v>2</v>
      </c>
      <c r="P40" s="27">
        <v>0.2270833333333333</v>
      </c>
      <c r="Q40" s="28">
        <f t="shared" ref="Q40:Q54" si="12">P40-P39</f>
        <v>1.8750000000000017E-2</v>
      </c>
      <c r="R40" s="29">
        <v>0.62916666666666665</v>
      </c>
      <c r="S40" s="30">
        <f t="shared" ref="S40:S54" si="13">R40-R39</f>
        <v>3.6111111111111094E-2</v>
      </c>
      <c r="T40"/>
    </row>
    <row r="41" spans="2:20" ht="24" customHeight="1" x14ac:dyDescent="0.25">
      <c r="B41" s="311"/>
      <c r="C41" s="314"/>
      <c r="D41" s="18">
        <v>0.28472222222222221</v>
      </c>
      <c r="E41" s="19">
        <v>0.2986111111111111</v>
      </c>
      <c r="F41" s="19">
        <v>0.31805555555555548</v>
      </c>
      <c r="G41" s="20">
        <f t="shared" si="11"/>
        <v>3.333333333333327E-2</v>
      </c>
      <c r="H41" s="55">
        <v>113</v>
      </c>
      <c r="I41" s="22">
        <v>1</v>
      </c>
      <c r="J41" s="18">
        <v>0.30763888888888891</v>
      </c>
      <c r="K41" s="19">
        <v>0.32430555555555562</v>
      </c>
      <c r="L41" s="19">
        <v>0.34444444444444439</v>
      </c>
      <c r="M41" s="20">
        <f t="shared" si="10"/>
        <v>3.680555555555548E-2</v>
      </c>
      <c r="N41" s="55">
        <v>113</v>
      </c>
      <c r="O41" s="22">
        <v>2</v>
      </c>
      <c r="P41" s="27">
        <v>0.24583333333333329</v>
      </c>
      <c r="Q41" s="28">
        <f t="shared" si="12"/>
        <v>1.8749999999999989E-2</v>
      </c>
      <c r="R41" s="29">
        <v>0.66736111111111107</v>
      </c>
      <c r="S41" s="30">
        <f t="shared" si="13"/>
        <v>3.819444444444442E-2</v>
      </c>
      <c r="T41"/>
    </row>
    <row r="42" spans="2:20" ht="24" customHeight="1" thickBot="1" x14ac:dyDescent="0.3">
      <c r="B42" s="311"/>
      <c r="C42" s="314"/>
      <c r="D42" s="18">
        <v>0.32500000000000001</v>
      </c>
      <c r="E42" s="19">
        <v>0.33819444444444452</v>
      </c>
      <c r="F42" s="19">
        <v>0.35833333333333328</v>
      </c>
      <c r="G42" s="20">
        <f t="shared" si="11"/>
        <v>3.333333333333327E-2</v>
      </c>
      <c r="H42" s="55">
        <v>113</v>
      </c>
      <c r="I42" s="22">
        <v>1</v>
      </c>
      <c r="J42" s="18">
        <v>0.35138888888888892</v>
      </c>
      <c r="K42" s="19">
        <v>0.3659722222222222</v>
      </c>
      <c r="L42" s="19">
        <v>0.38819444444444451</v>
      </c>
      <c r="M42" s="20">
        <f t="shared" si="10"/>
        <v>3.6805555555555591E-2</v>
      </c>
      <c r="N42" s="55">
        <v>113</v>
      </c>
      <c r="O42" s="22">
        <v>2</v>
      </c>
      <c r="P42" s="27">
        <v>0.26597222222222222</v>
      </c>
      <c r="Q42" s="28">
        <f t="shared" si="12"/>
        <v>2.0138888888888928E-2</v>
      </c>
      <c r="R42" s="29">
        <v>0.70486111111111116</v>
      </c>
      <c r="S42" s="30">
        <f t="shared" si="13"/>
        <v>3.7500000000000089E-2</v>
      </c>
      <c r="T42"/>
    </row>
    <row r="43" spans="2:20" ht="24" customHeight="1" thickBot="1" x14ac:dyDescent="0.3">
      <c r="B43" s="311"/>
      <c r="C43" s="314"/>
      <c r="D43" s="31">
        <f>IF(F42="",E42,F42)</f>
        <v>0.35833333333333328</v>
      </c>
      <c r="E43" s="32"/>
      <c r="F43" s="31">
        <f>IF(D44="",E44,D44)</f>
        <v>0.41597222222222219</v>
      </c>
      <c r="G43" s="32"/>
      <c r="H43" s="32">
        <f>F43-D43</f>
        <v>5.7638888888888906E-2</v>
      </c>
      <c r="I43" s="32"/>
      <c r="J43" s="18">
        <v>0.39513888888888887</v>
      </c>
      <c r="K43" s="19">
        <v>0.41111111111111109</v>
      </c>
      <c r="L43" s="19">
        <v>0.43541666666666667</v>
      </c>
      <c r="M43" s="20">
        <f t="shared" si="10"/>
        <v>4.0277777777777801E-2</v>
      </c>
      <c r="N43" s="55">
        <v>113</v>
      </c>
      <c r="O43" s="22">
        <v>2</v>
      </c>
      <c r="P43" s="27">
        <v>0.28472222222222221</v>
      </c>
      <c r="Q43" s="28">
        <f t="shared" si="12"/>
        <v>1.8749999999999989E-2</v>
      </c>
      <c r="R43" s="29">
        <v>0.74444444444444446</v>
      </c>
      <c r="S43" s="30">
        <f t="shared" si="13"/>
        <v>3.9583333333333304E-2</v>
      </c>
      <c r="T43"/>
    </row>
    <row r="44" spans="2:20" ht="24" customHeight="1" thickBot="1" x14ac:dyDescent="0.3">
      <c r="B44" s="311"/>
      <c r="C44" s="314"/>
      <c r="D44" s="18">
        <v>0.41597222222222219</v>
      </c>
      <c r="E44" s="19">
        <v>0.43125000000000002</v>
      </c>
      <c r="F44" s="19">
        <v>0.45277777777777778</v>
      </c>
      <c r="G44" s="20">
        <f t="shared" ref="G44:G47" si="14">F44-D44</f>
        <v>3.6805555555555591E-2</v>
      </c>
      <c r="H44" s="55">
        <v>113</v>
      </c>
      <c r="I44" s="22">
        <v>1</v>
      </c>
      <c r="J44" s="31">
        <f>IF(L43="",K43,L43)</f>
        <v>0.43541666666666667</v>
      </c>
      <c r="K44" s="32"/>
      <c r="L44" s="31">
        <f>IF(J45="",K45,J45)</f>
        <v>0.48402777777777778</v>
      </c>
      <c r="M44" s="32"/>
      <c r="N44" s="32">
        <f>L44-J44</f>
        <v>4.8611111111111105E-2</v>
      </c>
      <c r="O44" s="33"/>
      <c r="P44" s="27">
        <v>0.30763888888888891</v>
      </c>
      <c r="Q44" s="28">
        <f t="shared" si="12"/>
        <v>2.2916666666666696E-2</v>
      </c>
      <c r="R44" s="29">
        <v>0.76875000000000004</v>
      </c>
      <c r="S44" s="30">
        <f t="shared" si="13"/>
        <v>2.430555555555558E-2</v>
      </c>
      <c r="T44"/>
    </row>
    <row r="45" spans="2:20" ht="24" customHeight="1" x14ac:dyDescent="0.25">
      <c r="B45" s="311"/>
      <c r="C45" s="314"/>
      <c r="D45" s="18">
        <v>0.4597222222222222</v>
      </c>
      <c r="E45" s="19">
        <v>0.47569444444444442</v>
      </c>
      <c r="F45" s="19">
        <v>0.49652777777777779</v>
      </c>
      <c r="G45" s="20">
        <f t="shared" si="14"/>
        <v>3.6805555555555591E-2</v>
      </c>
      <c r="H45" s="55">
        <v>113</v>
      </c>
      <c r="I45" s="22">
        <v>1</v>
      </c>
      <c r="J45" s="18">
        <v>0.48402777777777778</v>
      </c>
      <c r="K45" s="19">
        <v>0.49722222222222218</v>
      </c>
      <c r="L45" s="19">
        <v>0.52083333333333337</v>
      </c>
      <c r="M45" s="20">
        <f t="shared" ref="M45:M47" si="15">L45-J45</f>
        <v>3.6805555555555591E-2</v>
      </c>
      <c r="N45" s="55">
        <v>113</v>
      </c>
      <c r="O45" s="22">
        <v>2</v>
      </c>
      <c r="P45" s="27">
        <v>0.32500000000000001</v>
      </c>
      <c r="Q45" s="28">
        <f t="shared" si="12"/>
        <v>1.7361111111111105E-2</v>
      </c>
      <c r="R45" s="29">
        <v>0.79305555555555551</v>
      </c>
      <c r="S45" s="30">
        <f t="shared" si="13"/>
        <v>2.4305555555555469E-2</v>
      </c>
      <c r="T45"/>
    </row>
    <row r="46" spans="2:20" ht="24" customHeight="1" x14ac:dyDescent="0.25">
      <c r="B46" s="311"/>
      <c r="C46" s="314"/>
      <c r="D46" s="18">
        <v>0.50347222222222221</v>
      </c>
      <c r="E46" s="19">
        <v>0.51944444444444449</v>
      </c>
      <c r="F46" s="19">
        <v>0.54027777777777775</v>
      </c>
      <c r="G46" s="20">
        <f t="shared" si="14"/>
        <v>3.6805555555555536E-2</v>
      </c>
      <c r="H46" s="55">
        <v>113</v>
      </c>
      <c r="I46" s="22">
        <v>1</v>
      </c>
      <c r="J46" s="18">
        <v>0.52777777777777779</v>
      </c>
      <c r="K46" s="19">
        <v>0.54166666666666663</v>
      </c>
      <c r="L46" s="19">
        <v>0.56180555555555556</v>
      </c>
      <c r="M46" s="20">
        <f t="shared" si="15"/>
        <v>3.4027777777777768E-2</v>
      </c>
      <c r="N46" s="55">
        <v>113</v>
      </c>
      <c r="O46" s="22">
        <v>2</v>
      </c>
      <c r="P46" s="27">
        <v>0.35138888888888892</v>
      </c>
      <c r="Q46" s="28">
        <f t="shared" si="12"/>
        <v>2.6388888888888906E-2</v>
      </c>
      <c r="R46" s="29">
        <v>0.81736111111111109</v>
      </c>
      <c r="S46" s="30">
        <f t="shared" si="13"/>
        <v>2.430555555555558E-2</v>
      </c>
      <c r="T46"/>
    </row>
    <row r="47" spans="2:20" ht="24" customHeight="1" thickBot="1" x14ac:dyDescent="0.3">
      <c r="B47" s="311"/>
      <c r="C47" s="314"/>
      <c r="D47" s="18">
        <v>0.54722222222222228</v>
      </c>
      <c r="E47" s="19">
        <v>0.56180555555555556</v>
      </c>
      <c r="F47" s="19">
        <v>0.58194444444444449</v>
      </c>
      <c r="G47" s="20">
        <f t="shared" si="14"/>
        <v>3.472222222222221E-2</v>
      </c>
      <c r="H47" s="55">
        <v>113</v>
      </c>
      <c r="I47" s="22">
        <v>1</v>
      </c>
      <c r="J47" s="18">
        <v>0.56874999999999998</v>
      </c>
      <c r="K47" s="19">
        <v>0.58125000000000004</v>
      </c>
      <c r="L47" s="19">
        <v>0.6020833333333333</v>
      </c>
      <c r="M47" s="20">
        <f t="shared" si="15"/>
        <v>3.3333333333333326E-2</v>
      </c>
      <c r="N47" s="55">
        <v>113</v>
      </c>
      <c r="O47" s="22">
        <v>2</v>
      </c>
      <c r="P47" s="27">
        <v>0.39513888888888887</v>
      </c>
      <c r="Q47" s="28">
        <f t="shared" si="12"/>
        <v>4.3749999999999956E-2</v>
      </c>
      <c r="R47" s="29">
        <v>0.86388888888888893</v>
      </c>
      <c r="S47" s="30">
        <f t="shared" si="13"/>
        <v>4.6527777777777835E-2</v>
      </c>
      <c r="T47"/>
    </row>
    <row r="48" spans="2:20" ht="24" customHeight="1" thickBot="1" x14ac:dyDescent="0.3">
      <c r="B48" s="311"/>
      <c r="C48" s="315"/>
      <c r="D48" s="341" t="s">
        <v>35</v>
      </c>
      <c r="E48" s="321"/>
      <c r="F48" s="321"/>
      <c r="G48" s="321"/>
      <c r="H48" s="321"/>
      <c r="I48" s="322"/>
      <c r="J48" s="341" t="s">
        <v>35</v>
      </c>
      <c r="K48" s="321"/>
      <c r="L48" s="321"/>
      <c r="M48" s="321"/>
      <c r="N48" s="321"/>
      <c r="O48" s="322"/>
      <c r="P48" s="27">
        <v>0.41597222222222219</v>
      </c>
      <c r="Q48" s="28">
        <f t="shared" si="12"/>
        <v>2.0833333333333315E-2</v>
      </c>
      <c r="R48" s="29">
        <v>0.8881944444444444</v>
      </c>
      <c r="S48" s="30">
        <f t="shared" si="13"/>
        <v>2.4305555555555469E-2</v>
      </c>
      <c r="T48"/>
    </row>
    <row r="49" spans="2:20" ht="24" customHeight="1" thickBot="1" x14ac:dyDescent="0.3">
      <c r="B49" s="311"/>
      <c r="C49" s="36" t="s">
        <v>17</v>
      </c>
      <c r="D49" s="37">
        <f>MAX(E39:F47)-IF(D39="",E39,D39)-MIN(H39:H47)+$C36</f>
        <v>0.32986111111111122</v>
      </c>
      <c r="E49" s="38"/>
      <c r="F49" s="38"/>
      <c r="G49" s="39"/>
      <c r="H49" s="40">
        <f ca="1">OFFSET(H38,MATCH(MIN(H39:H47),H39:H47,0),-4)-IF(D39="",E39,D39)+$C36</f>
        <v>0.16388888888888889</v>
      </c>
      <c r="I49" s="41"/>
      <c r="J49" s="37">
        <f>MAX(K39:L47)-IF(J39="",K39,J39)-MIN(N39:N47)+$C36</f>
        <v>0.34027777777777779</v>
      </c>
      <c r="K49" s="38"/>
      <c r="L49" s="38"/>
      <c r="M49" s="39"/>
      <c r="N49" s="40">
        <f ca="1">OFFSET(N38,MATCH(MIN(N39:N47),N39:N47,0),-4)-IF(J39="",K39,J39)+$C36</f>
        <v>0.22222222222222227</v>
      </c>
      <c r="O49" s="42"/>
      <c r="P49" s="27">
        <v>0.4597222222222222</v>
      </c>
      <c r="Q49" s="28">
        <f t="shared" si="12"/>
        <v>4.3750000000000011E-2</v>
      </c>
      <c r="R49" s="29">
        <v>0.93194444444444446</v>
      </c>
      <c r="S49" s="30">
        <f t="shared" si="13"/>
        <v>4.3750000000000067E-2</v>
      </c>
      <c r="T49"/>
    </row>
    <row r="50" spans="2:20" ht="24" customHeight="1" thickBot="1" x14ac:dyDescent="0.3">
      <c r="B50" s="311"/>
      <c r="C50" s="308">
        <v>1.3888888888888888E-2</v>
      </c>
      <c r="D50" s="9" t="s">
        <v>18</v>
      </c>
      <c r="E50" s="7"/>
      <c r="F50" s="7"/>
      <c r="G50" s="7"/>
      <c r="H50" s="7"/>
      <c r="I50" s="8"/>
      <c r="J50" s="9"/>
      <c r="K50" s="7"/>
      <c r="L50" s="7"/>
      <c r="M50" s="7"/>
      <c r="N50" s="7"/>
      <c r="O50" s="7"/>
      <c r="P50" s="27">
        <v>0.48402777777777778</v>
      </c>
      <c r="Q50" s="28">
        <f t="shared" si="12"/>
        <v>2.430555555555558E-2</v>
      </c>
      <c r="R50" s="29">
        <v>0.95625000000000004</v>
      </c>
      <c r="S50" s="30">
        <f t="shared" si="13"/>
        <v>2.430555555555558E-2</v>
      </c>
      <c r="T50"/>
    </row>
    <row r="51" spans="2:20" ht="24" customHeight="1" thickBot="1" x14ac:dyDescent="0.3">
      <c r="B51" s="311"/>
      <c r="C51" s="319"/>
      <c r="D51" s="9" t="s">
        <v>19</v>
      </c>
      <c r="E51" s="7"/>
      <c r="F51" s="7"/>
      <c r="G51" s="7"/>
      <c r="H51" s="7"/>
      <c r="I51" s="8"/>
      <c r="J51" s="9" t="s">
        <v>20</v>
      </c>
      <c r="K51" s="7"/>
      <c r="L51" s="7"/>
      <c r="M51" s="7"/>
      <c r="N51" s="7"/>
      <c r="O51" s="7"/>
      <c r="P51" s="27">
        <v>0.50347222222222221</v>
      </c>
      <c r="Q51" s="28">
        <f t="shared" si="12"/>
        <v>1.9444444444444431E-2</v>
      </c>
      <c r="R51" s="29">
        <v>0.99236111111111114</v>
      </c>
      <c r="S51" s="30">
        <f t="shared" si="13"/>
        <v>3.6111111111111094E-2</v>
      </c>
      <c r="T51"/>
    </row>
    <row r="52" spans="2:20" ht="24" customHeight="1" thickBot="1" x14ac:dyDescent="0.3">
      <c r="B52" s="311"/>
      <c r="C52" s="302" t="s">
        <v>7</v>
      </c>
      <c r="D52" s="13" t="s">
        <v>8</v>
      </c>
      <c r="E52" s="14" t="s">
        <v>9</v>
      </c>
      <c r="F52" s="15" t="s">
        <v>10</v>
      </c>
      <c r="G52" s="14" t="s">
        <v>11</v>
      </c>
      <c r="H52" s="15" t="s">
        <v>12</v>
      </c>
      <c r="I52" s="14" t="s">
        <v>13</v>
      </c>
      <c r="J52" s="15" t="s">
        <v>8</v>
      </c>
      <c r="K52" s="14" t="s">
        <v>9</v>
      </c>
      <c r="L52" s="15" t="s">
        <v>10</v>
      </c>
      <c r="M52" s="14" t="s">
        <v>11</v>
      </c>
      <c r="N52" s="15" t="s">
        <v>12</v>
      </c>
      <c r="O52" s="13" t="s">
        <v>13</v>
      </c>
      <c r="P52" s="27">
        <v>0.52777777777777779</v>
      </c>
      <c r="Q52" s="28">
        <f t="shared" si="12"/>
        <v>2.430555555555558E-2</v>
      </c>
      <c r="R52" s="63">
        <v>1.0284722222222222</v>
      </c>
      <c r="S52" s="30">
        <f t="shared" si="13"/>
        <v>3.6111111111111094E-2</v>
      </c>
      <c r="T52"/>
    </row>
    <row r="53" spans="2:20" ht="24" customHeight="1" x14ac:dyDescent="0.25">
      <c r="B53" s="311"/>
      <c r="C53" s="303"/>
      <c r="D53" s="23">
        <v>0.59305555555555556</v>
      </c>
      <c r="E53" s="25">
        <v>0.60347222222222219</v>
      </c>
      <c r="F53" s="25">
        <v>0.62222222222222223</v>
      </c>
      <c r="G53" s="20">
        <f t="shared" ref="G53:G58" si="16">F53-D53</f>
        <v>2.9166666666666674E-2</v>
      </c>
      <c r="H53" s="56">
        <v>113</v>
      </c>
      <c r="I53" s="48">
        <v>1</v>
      </c>
      <c r="J53" s="23">
        <v>0.76875000000000004</v>
      </c>
      <c r="K53" s="25">
        <v>0.78680555555555554</v>
      </c>
      <c r="L53" s="25">
        <v>0.80902777777777779</v>
      </c>
      <c r="M53" s="20">
        <f t="shared" ref="M53:M55" si="17">L53-J53</f>
        <v>4.0277777777777746E-2</v>
      </c>
      <c r="N53" s="56">
        <v>113</v>
      </c>
      <c r="O53" s="57">
        <v>2</v>
      </c>
      <c r="P53" s="27">
        <v>0.54722222222222228</v>
      </c>
      <c r="Q53" s="28">
        <f t="shared" si="12"/>
        <v>1.9444444444444486E-2</v>
      </c>
      <c r="R53" s="63">
        <v>1.0659722222222223</v>
      </c>
      <c r="S53" s="30">
        <f t="shared" si="13"/>
        <v>3.7500000000000089E-2</v>
      </c>
      <c r="T53"/>
    </row>
    <row r="54" spans="2:20" ht="24" customHeight="1" thickBot="1" x14ac:dyDescent="0.3">
      <c r="B54" s="311"/>
      <c r="C54" s="303"/>
      <c r="D54" s="27">
        <v>0.62916666666666665</v>
      </c>
      <c r="E54" s="29">
        <v>0.64166666666666672</v>
      </c>
      <c r="F54" s="29">
        <v>0.66041666666666665</v>
      </c>
      <c r="G54" s="20">
        <f t="shared" si="16"/>
        <v>3.125E-2</v>
      </c>
      <c r="H54" s="58">
        <v>113</v>
      </c>
      <c r="I54" s="50">
        <v>1</v>
      </c>
      <c r="J54" s="27">
        <v>0.81736111111111109</v>
      </c>
      <c r="K54" s="29">
        <v>0.83611111111111114</v>
      </c>
      <c r="L54" s="29">
        <v>0.8569444444444444</v>
      </c>
      <c r="M54" s="20">
        <f t="shared" si="17"/>
        <v>3.9583333333333304E-2</v>
      </c>
      <c r="N54" s="58">
        <v>113</v>
      </c>
      <c r="O54" s="64">
        <v>2</v>
      </c>
      <c r="P54" s="43">
        <v>0.56874999999999998</v>
      </c>
      <c r="Q54" s="44">
        <f t="shared" si="12"/>
        <v>2.1527777777777701E-2</v>
      </c>
      <c r="R54" s="65">
        <v>1.1041666666666667</v>
      </c>
      <c r="S54" s="46">
        <f t="shared" si="13"/>
        <v>3.819444444444442E-2</v>
      </c>
      <c r="T54"/>
    </row>
    <row r="55" spans="2:20" ht="24" customHeight="1" thickBot="1" x14ac:dyDescent="0.3">
      <c r="B55" s="311"/>
      <c r="C55" s="303"/>
      <c r="D55" s="27">
        <v>0.66736111111111107</v>
      </c>
      <c r="E55" s="29">
        <v>0.6791666666666667</v>
      </c>
      <c r="F55" s="29">
        <v>0.69791666666666663</v>
      </c>
      <c r="G55" s="20">
        <f t="shared" si="16"/>
        <v>3.0555555555555558E-2</v>
      </c>
      <c r="H55" s="58">
        <v>113</v>
      </c>
      <c r="I55" s="50">
        <v>1</v>
      </c>
      <c r="J55" s="27">
        <v>0.86388888888888893</v>
      </c>
      <c r="K55" s="29">
        <v>0.87708333333333333</v>
      </c>
      <c r="L55" s="29">
        <v>0.89722222222222225</v>
      </c>
      <c r="M55" s="20">
        <f t="shared" si="17"/>
        <v>3.3333333333333326E-2</v>
      </c>
      <c r="N55" s="58">
        <v>113</v>
      </c>
      <c r="O55" s="50">
        <v>2</v>
      </c>
      <c r="T55"/>
    </row>
    <row r="56" spans="2:20" ht="24" customHeight="1" thickBot="1" x14ac:dyDescent="0.3">
      <c r="B56" s="311"/>
      <c r="C56" s="303"/>
      <c r="D56" s="27">
        <v>0.70486111111111116</v>
      </c>
      <c r="E56" s="29">
        <v>0.71875</v>
      </c>
      <c r="F56" s="29">
        <v>0.73750000000000004</v>
      </c>
      <c r="G56" s="20">
        <f t="shared" si="16"/>
        <v>3.2638888888888884E-2</v>
      </c>
      <c r="H56" s="58">
        <v>113</v>
      </c>
      <c r="I56" s="50">
        <v>1</v>
      </c>
      <c r="J56" s="31">
        <f>IF(L55="",K55,L55)</f>
        <v>0.89722222222222225</v>
      </c>
      <c r="K56" s="32"/>
      <c r="L56" s="31">
        <f>IF(J57="",K57,J57)</f>
        <v>0.95625000000000004</v>
      </c>
      <c r="M56" s="32"/>
      <c r="N56" s="32">
        <f>L56-J56</f>
        <v>5.902777777777779E-2</v>
      </c>
      <c r="O56" s="32"/>
      <c r="T56"/>
    </row>
    <row r="57" spans="2:20" ht="24" customHeight="1" x14ac:dyDescent="0.25">
      <c r="B57" s="311"/>
      <c r="C57" s="303"/>
      <c r="D57" s="27">
        <v>0.74444444444444446</v>
      </c>
      <c r="E57" s="29">
        <v>0.75972222222222219</v>
      </c>
      <c r="F57" s="29">
        <v>0.78125</v>
      </c>
      <c r="G57" s="20">
        <f t="shared" si="16"/>
        <v>3.6805555555555536E-2</v>
      </c>
      <c r="H57" s="58">
        <v>113</v>
      </c>
      <c r="I57" s="50">
        <v>1</v>
      </c>
      <c r="J57" s="27">
        <v>0.95625000000000004</v>
      </c>
      <c r="K57" s="29">
        <v>0.96805555555555556</v>
      </c>
      <c r="L57" s="29">
        <v>0.98541666666666672</v>
      </c>
      <c r="M57" s="20">
        <f t="shared" ref="M57:M61" si="18">L57-J57</f>
        <v>2.9166666666666674E-2</v>
      </c>
      <c r="N57" s="58">
        <v>113</v>
      </c>
      <c r="O57" s="50">
        <v>2</v>
      </c>
      <c r="T57"/>
    </row>
    <row r="58" spans="2:20" ht="24" customHeight="1" thickBot="1" x14ac:dyDescent="0.3">
      <c r="B58" s="311"/>
      <c r="C58" s="303"/>
      <c r="D58" s="59">
        <v>0.79305555555555551</v>
      </c>
      <c r="E58" s="60">
        <v>0.81041666666666667</v>
      </c>
      <c r="F58" s="60">
        <v>0.83125000000000004</v>
      </c>
      <c r="G58" s="20">
        <f t="shared" si="16"/>
        <v>3.8194444444444531E-2</v>
      </c>
      <c r="H58" s="61">
        <v>113</v>
      </c>
      <c r="I58" s="62">
        <v>1</v>
      </c>
      <c r="J58" s="59">
        <v>0.99236111111111114</v>
      </c>
      <c r="K58" s="60">
        <v>1.0041666666666667</v>
      </c>
      <c r="L58" s="60">
        <v>1.0215277777777778</v>
      </c>
      <c r="M58" s="20">
        <f t="shared" si="18"/>
        <v>2.9166666666666674E-2</v>
      </c>
      <c r="N58" s="61">
        <v>113</v>
      </c>
      <c r="O58" s="62">
        <v>2</v>
      </c>
      <c r="T58"/>
    </row>
    <row r="59" spans="2:20" ht="24" customHeight="1" thickBot="1" x14ac:dyDescent="0.3">
      <c r="B59" s="311"/>
      <c r="C59" s="303"/>
      <c r="D59" s="31">
        <f>IF(F58="",E58,F58)</f>
        <v>0.83125000000000004</v>
      </c>
      <c r="E59" s="32"/>
      <c r="F59" s="31">
        <f>IF(D60="",E60,D60)</f>
        <v>0.8881944444444444</v>
      </c>
      <c r="G59" s="32"/>
      <c r="H59" s="32">
        <f>F59-D59</f>
        <v>5.6944444444444353E-2</v>
      </c>
      <c r="I59" s="32"/>
      <c r="J59" s="59">
        <v>1.0284722222222222</v>
      </c>
      <c r="K59" s="60">
        <v>1.0402777777777779</v>
      </c>
      <c r="L59" s="60">
        <v>1.0576388888888888</v>
      </c>
      <c r="M59" s="20">
        <f t="shared" si="18"/>
        <v>2.9166666666666563E-2</v>
      </c>
      <c r="N59" s="61">
        <v>113</v>
      </c>
      <c r="O59" s="62">
        <v>2</v>
      </c>
      <c r="T59"/>
    </row>
    <row r="60" spans="2:20" ht="24" customHeight="1" x14ac:dyDescent="0.25">
      <c r="B60" s="311"/>
      <c r="C60" s="303"/>
      <c r="D60" s="59">
        <v>0.8881944444444444</v>
      </c>
      <c r="E60" s="60">
        <v>0.90277777777777779</v>
      </c>
      <c r="F60" s="60">
        <v>0.92500000000000004</v>
      </c>
      <c r="G60" s="20">
        <f t="shared" ref="G60:G61" si="19">F60-D60</f>
        <v>3.6805555555555647E-2</v>
      </c>
      <c r="H60" s="61">
        <v>113</v>
      </c>
      <c r="I60" s="62">
        <v>1</v>
      </c>
      <c r="J60" s="59">
        <v>1.0659722222222223</v>
      </c>
      <c r="K60" s="60">
        <v>1.0777777777777777</v>
      </c>
      <c r="L60" s="60">
        <v>1.0951388888888889</v>
      </c>
      <c r="M60" s="20">
        <f t="shared" si="18"/>
        <v>2.9166666666666563E-2</v>
      </c>
      <c r="N60" s="61">
        <v>113</v>
      </c>
      <c r="O60" s="62">
        <v>2</v>
      </c>
      <c r="T60"/>
    </row>
    <row r="61" spans="2:20" ht="24" customHeight="1" thickBot="1" x14ac:dyDescent="0.3">
      <c r="B61" s="311"/>
      <c r="C61" s="303"/>
      <c r="D61" s="59">
        <v>0.93194444444444446</v>
      </c>
      <c r="E61" s="60">
        <v>0.94861111111111107</v>
      </c>
      <c r="F61" s="60">
        <v>0.96597222222222223</v>
      </c>
      <c r="G61" s="20">
        <f t="shared" si="19"/>
        <v>3.4027777777777768E-2</v>
      </c>
      <c r="H61" s="61">
        <v>113</v>
      </c>
      <c r="I61" s="62">
        <v>1</v>
      </c>
      <c r="J61" s="59">
        <v>1.1041666666666667</v>
      </c>
      <c r="K61" s="60">
        <v>1.0743055555555556</v>
      </c>
      <c r="L61" s="60">
        <v>1.1333333333333333</v>
      </c>
      <c r="M61" s="20">
        <f t="shared" si="18"/>
        <v>2.9166666666666563E-2</v>
      </c>
      <c r="N61" s="61">
        <v>113</v>
      </c>
      <c r="O61" s="62">
        <v>2</v>
      </c>
      <c r="T61"/>
    </row>
    <row r="62" spans="2:20" ht="24" customHeight="1" thickBot="1" x14ac:dyDescent="0.3">
      <c r="B62" s="311"/>
      <c r="C62" s="304"/>
      <c r="D62" s="341" t="s">
        <v>35</v>
      </c>
      <c r="E62" s="321"/>
      <c r="F62" s="321"/>
      <c r="G62" s="321"/>
      <c r="H62" s="321"/>
      <c r="I62" s="322"/>
      <c r="J62" s="341" t="s">
        <v>35</v>
      </c>
      <c r="K62" s="321"/>
      <c r="L62" s="321"/>
      <c r="M62" s="321"/>
      <c r="N62" s="321"/>
      <c r="O62" s="322"/>
      <c r="T62"/>
    </row>
    <row r="63" spans="2:20" ht="24" customHeight="1" thickBot="1" x14ac:dyDescent="0.3">
      <c r="B63" s="312"/>
      <c r="C63" s="36" t="s">
        <v>17</v>
      </c>
      <c r="D63" s="37">
        <f>MAX(E53:F61)-IF(D53="",E53,D53)-MIN(H53:H61)+$C50</f>
        <v>0.32986111111111122</v>
      </c>
      <c r="E63" s="51"/>
      <c r="F63" s="51"/>
      <c r="G63" s="52"/>
      <c r="H63" s="53">
        <f ca="1">OFFSET(H52,MATCH(MIN(H53:H61),H53:H61,0),-4)-IF(D53="",E53,D53)</f>
        <v>0.23819444444444449</v>
      </c>
      <c r="I63" s="54"/>
      <c r="J63" s="37">
        <f>MAX(K53:L61)-IF(J53="",K53,J53)-MIN(N53:N61)+$C50</f>
        <v>0.31944444444444436</v>
      </c>
      <c r="K63" s="38"/>
      <c r="L63" s="38"/>
      <c r="M63" s="39"/>
      <c r="N63" s="53">
        <f ca="1">OFFSET(N52,MATCH(MIN(N53:N61),N53:N61,0),-4)-IF(J53="",K53,J53)</f>
        <v>0.12847222222222221</v>
      </c>
      <c r="O63" s="41"/>
      <c r="T63"/>
    </row>
    <row r="64" spans="2:20" ht="24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2:20" ht="24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2:20" ht="24" customHeight="1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2:20" ht="24" customHeight="1" thickBot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2:20" ht="24" customHeight="1" thickBot="1" x14ac:dyDescent="0.3">
      <c r="B68" s="310" t="s">
        <v>38</v>
      </c>
      <c r="C68" s="2" t="s">
        <v>39</v>
      </c>
      <c r="D68" s="3"/>
      <c r="E68" s="3"/>
      <c r="F68" s="3"/>
      <c r="G68" s="3"/>
      <c r="H68" s="4"/>
      <c r="I68" s="5"/>
      <c r="J68" s="3"/>
      <c r="K68" s="3"/>
      <c r="L68" s="3"/>
      <c r="M68" s="3"/>
      <c r="N68" s="4"/>
      <c r="O68" s="5"/>
      <c r="P68" s="6" t="s">
        <v>34</v>
      </c>
      <c r="Q68" s="7"/>
      <c r="R68" s="7"/>
      <c r="S68" s="8"/>
      <c r="T68"/>
    </row>
    <row r="69" spans="2:20" ht="24" customHeight="1" thickBot="1" x14ac:dyDescent="0.3">
      <c r="B69" s="311"/>
      <c r="C69" s="308">
        <v>1.3888888888888888E-2</v>
      </c>
      <c r="D69" s="9" t="s">
        <v>2</v>
      </c>
      <c r="E69" s="7"/>
      <c r="F69" s="7"/>
      <c r="G69" s="7"/>
      <c r="H69" s="7"/>
      <c r="I69" s="8"/>
      <c r="J69" s="9"/>
      <c r="K69" s="7"/>
      <c r="L69" s="7"/>
      <c r="M69" s="7"/>
      <c r="N69" s="7"/>
      <c r="O69" s="8"/>
      <c r="P69" s="10" t="s">
        <v>25</v>
      </c>
      <c r="Q69" s="11"/>
      <c r="R69" s="11"/>
      <c r="S69" s="12"/>
      <c r="T69"/>
    </row>
    <row r="70" spans="2:20" ht="24" customHeight="1" thickBot="1" x14ac:dyDescent="0.3">
      <c r="B70" s="311"/>
      <c r="C70" s="319"/>
      <c r="D70" s="9" t="s">
        <v>4</v>
      </c>
      <c r="E70" s="7"/>
      <c r="F70" s="7"/>
      <c r="G70" s="7"/>
      <c r="H70" s="7"/>
      <c r="I70" s="8"/>
      <c r="J70" s="9" t="s">
        <v>5</v>
      </c>
      <c r="K70" s="7"/>
      <c r="L70" s="7"/>
      <c r="M70" s="7"/>
      <c r="N70" s="7"/>
      <c r="O70" s="8"/>
      <c r="P70" s="6" t="str">
        <f>CONCATENATE(COUNT(P72:P87,R72:R87)," VIAGENS")</f>
        <v>32 VIAGENS</v>
      </c>
      <c r="Q70" s="7"/>
      <c r="R70" s="7"/>
      <c r="S70" s="8"/>
      <c r="T70"/>
    </row>
    <row r="71" spans="2:20" ht="24" customHeight="1" thickBot="1" x14ac:dyDescent="0.3">
      <c r="B71" s="311"/>
      <c r="C71" s="313" t="s">
        <v>7</v>
      </c>
      <c r="D71" s="13" t="s">
        <v>8</v>
      </c>
      <c r="E71" s="14" t="s">
        <v>9</v>
      </c>
      <c r="F71" s="15" t="s">
        <v>10</v>
      </c>
      <c r="G71" s="14" t="s">
        <v>11</v>
      </c>
      <c r="H71" s="15" t="s">
        <v>12</v>
      </c>
      <c r="I71" s="14" t="s">
        <v>13</v>
      </c>
      <c r="J71" s="13" t="s">
        <v>8</v>
      </c>
      <c r="K71" s="14" t="s">
        <v>9</v>
      </c>
      <c r="L71" s="15" t="s">
        <v>10</v>
      </c>
      <c r="M71" s="14" t="s">
        <v>11</v>
      </c>
      <c r="N71" s="15" t="s">
        <v>12</v>
      </c>
      <c r="O71" s="14" t="s">
        <v>13</v>
      </c>
      <c r="P71" s="16" t="s">
        <v>14</v>
      </c>
      <c r="Q71" s="17" t="s">
        <v>15</v>
      </c>
      <c r="R71" s="16" t="s">
        <v>14</v>
      </c>
      <c r="S71" s="17" t="s">
        <v>15</v>
      </c>
      <c r="T71"/>
    </row>
    <row r="72" spans="2:20" ht="24" customHeight="1" x14ac:dyDescent="0.25">
      <c r="B72" s="311"/>
      <c r="C72" s="314"/>
      <c r="D72" s="18">
        <v>0.20833333333333329</v>
      </c>
      <c r="E72" s="19">
        <v>0.2215277777777778</v>
      </c>
      <c r="F72" s="19">
        <v>0.2388888888888889</v>
      </c>
      <c r="G72" s="20">
        <f>F72-D72</f>
        <v>3.0555555555555614E-2</v>
      </c>
      <c r="H72" s="55">
        <v>113</v>
      </c>
      <c r="I72" s="22">
        <v>1</v>
      </c>
      <c r="J72" s="18">
        <v>0.2270833333333333</v>
      </c>
      <c r="K72" s="19">
        <v>0.24027777777777781</v>
      </c>
      <c r="L72" s="19">
        <v>0.2590277777777778</v>
      </c>
      <c r="M72" s="20">
        <f t="shared" ref="M72:M76" si="20">L72-J72</f>
        <v>3.1944444444444497E-2</v>
      </c>
      <c r="N72" s="55">
        <v>113</v>
      </c>
      <c r="O72" s="22">
        <v>2</v>
      </c>
      <c r="P72" s="23">
        <v>0.20833333333333329</v>
      </c>
      <c r="Q72" s="24"/>
      <c r="R72" s="25">
        <v>0.59305555555555556</v>
      </c>
      <c r="S72" s="26">
        <f>R72-P87</f>
        <v>2.430555555555558E-2</v>
      </c>
      <c r="T72"/>
    </row>
    <row r="73" spans="2:20" ht="24" customHeight="1" x14ac:dyDescent="0.25">
      <c r="B73" s="311"/>
      <c r="C73" s="314"/>
      <c r="D73" s="18">
        <v>0.24583333333333329</v>
      </c>
      <c r="E73" s="19">
        <v>0.2590277777777778</v>
      </c>
      <c r="F73" s="19">
        <v>0.27777777777777779</v>
      </c>
      <c r="G73" s="20">
        <f t="shared" ref="G73:G75" si="21">F73-D73</f>
        <v>3.1944444444444497E-2</v>
      </c>
      <c r="H73" s="55">
        <v>113</v>
      </c>
      <c r="I73" s="22">
        <v>1</v>
      </c>
      <c r="J73" s="18">
        <v>0.26597222222222222</v>
      </c>
      <c r="K73" s="19">
        <v>0.28055555555555561</v>
      </c>
      <c r="L73" s="19">
        <v>0.30069444444444438</v>
      </c>
      <c r="M73" s="20">
        <f t="shared" si="20"/>
        <v>3.4722222222222154E-2</v>
      </c>
      <c r="N73" s="55">
        <v>113</v>
      </c>
      <c r="O73" s="22">
        <v>2</v>
      </c>
      <c r="P73" s="27">
        <v>0.2270833333333333</v>
      </c>
      <c r="Q73" s="28">
        <f t="shared" ref="Q73:Q87" si="22">P73-P72</f>
        <v>1.8750000000000017E-2</v>
      </c>
      <c r="R73" s="29">
        <v>0.62916666666666665</v>
      </c>
      <c r="S73" s="30">
        <f t="shared" ref="S73:S87" si="23">R73-R72</f>
        <v>3.6111111111111094E-2</v>
      </c>
      <c r="T73"/>
    </row>
    <row r="74" spans="2:20" ht="24" customHeight="1" x14ac:dyDescent="0.25">
      <c r="B74" s="311"/>
      <c r="C74" s="314"/>
      <c r="D74" s="18">
        <v>0.28472222222222221</v>
      </c>
      <c r="E74" s="19">
        <v>0.2986111111111111</v>
      </c>
      <c r="F74" s="19">
        <v>0.31805555555555548</v>
      </c>
      <c r="G74" s="20">
        <f t="shared" si="21"/>
        <v>3.333333333333327E-2</v>
      </c>
      <c r="H74" s="55">
        <v>113</v>
      </c>
      <c r="I74" s="22">
        <v>1</v>
      </c>
      <c r="J74" s="18">
        <v>0.30763888888888891</v>
      </c>
      <c r="K74" s="19">
        <v>0.32430555555555562</v>
      </c>
      <c r="L74" s="19">
        <v>0.34444444444444439</v>
      </c>
      <c r="M74" s="20">
        <f t="shared" si="20"/>
        <v>3.680555555555548E-2</v>
      </c>
      <c r="N74" s="55">
        <v>113</v>
      </c>
      <c r="O74" s="22">
        <v>2</v>
      </c>
      <c r="P74" s="27">
        <v>0.24583333333333329</v>
      </c>
      <c r="Q74" s="28">
        <f t="shared" si="22"/>
        <v>1.8749999999999989E-2</v>
      </c>
      <c r="R74" s="29">
        <v>0.66736111111111107</v>
      </c>
      <c r="S74" s="30">
        <f t="shared" si="23"/>
        <v>3.819444444444442E-2</v>
      </c>
      <c r="T74"/>
    </row>
    <row r="75" spans="2:20" ht="24" customHeight="1" thickBot="1" x14ac:dyDescent="0.3">
      <c r="B75" s="311"/>
      <c r="C75" s="314"/>
      <c r="D75" s="18">
        <v>0.32500000000000001</v>
      </c>
      <c r="E75" s="19">
        <v>0.33819444444444452</v>
      </c>
      <c r="F75" s="19">
        <v>0.35833333333333328</v>
      </c>
      <c r="G75" s="20">
        <f t="shared" si="21"/>
        <v>3.333333333333327E-2</v>
      </c>
      <c r="H75" s="55">
        <v>113</v>
      </c>
      <c r="I75" s="22">
        <v>1</v>
      </c>
      <c r="J75" s="18">
        <v>0.35138888888888892</v>
      </c>
      <c r="K75" s="19">
        <v>0.3659722222222222</v>
      </c>
      <c r="L75" s="19">
        <v>0.38819444444444451</v>
      </c>
      <c r="M75" s="20">
        <f t="shared" si="20"/>
        <v>3.6805555555555591E-2</v>
      </c>
      <c r="N75" s="55">
        <v>113</v>
      </c>
      <c r="O75" s="22">
        <v>2</v>
      </c>
      <c r="P75" s="27">
        <v>0.26597222222222222</v>
      </c>
      <c r="Q75" s="28">
        <f t="shared" si="22"/>
        <v>2.0138888888888928E-2</v>
      </c>
      <c r="R75" s="29">
        <v>0.70486111111111116</v>
      </c>
      <c r="S75" s="30">
        <f t="shared" si="23"/>
        <v>3.7500000000000089E-2</v>
      </c>
      <c r="T75"/>
    </row>
    <row r="76" spans="2:20" ht="24" customHeight="1" thickBot="1" x14ac:dyDescent="0.3">
      <c r="B76" s="311"/>
      <c r="C76" s="314"/>
      <c r="D76" s="31">
        <f>IF(F75="",E75,F75)</f>
        <v>0.35833333333333328</v>
      </c>
      <c r="E76" s="32"/>
      <c r="F76" s="31">
        <f>IF(D77="",E77,D77)</f>
        <v>0.41597222222222219</v>
      </c>
      <c r="G76" s="32"/>
      <c r="H76" s="32">
        <f>F76-D76</f>
        <v>5.7638888888888906E-2</v>
      </c>
      <c r="I76" s="32"/>
      <c r="J76" s="18">
        <v>0.39513888888888887</v>
      </c>
      <c r="K76" s="19">
        <v>0.41111111111111109</v>
      </c>
      <c r="L76" s="19">
        <v>0.43541666666666667</v>
      </c>
      <c r="M76" s="20">
        <f t="shared" si="20"/>
        <v>4.0277777777777801E-2</v>
      </c>
      <c r="N76" s="55">
        <v>113</v>
      </c>
      <c r="O76" s="22">
        <v>2</v>
      </c>
      <c r="P76" s="27">
        <v>0.28472222222222221</v>
      </c>
      <c r="Q76" s="28">
        <f t="shared" si="22"/>
        <v>1.8749999999999989E-2</v>
      </c>
      <c r="R76" s="29">
        <v>0.74444444444444446</v>
      </c>
      <c r="S76" s="30">
        <f t="shared" si="23"/>
        <v>3.9583333333333304E-2</v>
      </c>
      <c r="T76"/>
    </row>
    <row r="77" spans="2:20" ht="24" customHeight="1" thickBot="1" x14ac:dyDescent="0.3">
      <c r="B77" s="311"/>
      <c r="C77" s="314"/>
      <c r="D77" s="18">
        <v>0.41597222222222219</v>
      </c>
      <c r="E77" s="19">
        <v>0.43125000000000002</v>
      </c>
      <c r="F77" s="19">
        <v>0.45277777777777778</v>
      </c>
      <c r="G77" s="20">
        <f t="shared" ref="G77:G80" si="24">F77-D77</f>
        <v>3.6805555555555591E-2</v>
      </c>
      <c r="H77" s="55">
        <v>113</v>
      </c>
      <c r="I77" s="22">
        <v>1</v>
      </c>
      <c r="J77" s="31">
        <f>IF(L76="",K76,L76)</f>
        <v>0.43541666666666667</v>
      </c>
      <c r="K77" s="32"/>
      <c r="L77" s="31">
        <f>IF(J78="",K78,J78)</f>
        <v>0.48402777777777778</v>
      </c>
      <c r="M77" s="32"/>
      <c r="N77" s="32">
        <f>L77-J77</f>
        <v>4.8611111111111105E-2</v>
      </c>
      <c r="O77" s="33"/>
      <c r="P77" s="27">
        <v>0.30763888888888891</v>
      </c>
      <c r="Q77" s="28">
        <f t="shared" si="22"/>
        <v>2.2916666666666696E-2</v>
      </c>
      <c r="R77" s="29">
        <v>0.76875000000000004</v>
      </c>
      <c r="S77" s="30">
        <f t="shared" si="23"/>
        <v>2.430555555555558E-2</v>
      </c>
      <c r="T77"/>
    </row>
    <row r="78" spans="2:20" ht="24" customHeight="1" x14ac:dyDescent="0.25">
      <c r="B78" s="311"/>
      <c r="C78" s="314"/>
      <c r="D78" s="18">
        <v>0.4597222222222222</v>
      </c>
      <c r="E78" s="19">
        <v>0.47569444444444442</v>
      </c>
      <c r="F78" s="19">
        <v>0.49652777777777779</v>
      </c>
      <c r="G78" s="20">
        <f t="shared" si="24"/>
        <v>3.6805555555555591E-2</v>
      </c>
      <c r="H78" s="55">
        <v>113</v>
      </c>
      <c r="I78" s="22">
        <v>1</v>
      </c>
      <c r="J78" s="18">
        <v>0.48402777777777778</v>
      </c>
      <c r="K78" s="19">
        <v>0.49722222222222218</v>
      </c>
      <c r="L78" s="19">
        <v>0.52083333333333337</v>
      </c>
      <c r="M78" s="20">
        <f t="shared" ref="M78:M80" si="25">L78-J78</f>
        <v>3.6805555555555591E-2</v>
      </c>
      <c r="N78" s="55">
        <v>113</v>
      </c>
      <c r="O78" s="22">
        <v>2</v>
      </c>
      <c r="P78" s="27">
        <v>0.32500000000000001</v>
      </c>
      <c r="Q78" s="28">
        <f t="shared" si="22"/>
        <v>1.7361111111111105E-2</v>
      </c>
      <c r="R78" s="29">
        <v>0.79305555555555551</v>
      </c>
      <c r="S78" s="30">
        <f t="shared" si="23"/>
        <v>2.4305555555555469E-2</v>
      </c>
      <c r="T78"/>
    </row>
    <row r="79" spans="2:20" ht="24" customHeight="1" x14ac:dyDescent="0.25">
      <c r="B79" s="311"/>
      <c r="C79" s="314"/>
      <c r="D79" s="18">
        <v>0.50347222222222221</v>
      </c>
      <c r="E79" s="19">
        <v>0.51944444444444449</v>
      </c>
      <c r="F79" s="19">
        <v>0.54027777777777775</v>
      </c>
      <c r="G79" s="20">
        <f t="shared" si="24"/>
        <v>3.6805555555555536E-2</v>
      </c>
      <c r="H79" s="55">
        <v>113</v>
      </c>
      <c r="I79" s="22">
        <v>1</v>
      </c>
      <c r="J79" s="18">
        <v>0.52777777777777779</v>
      </c>
      <c r="K79" s="19">
        <v>0.54166666666666663</v>
      </c>
      <c r="L79" s="19">
        <v>0.56180555555555556</v>
      </c>
      <c r="M79" s="20">
        <f t="shared" si="25"/>
        <v>3.4027777777777768E-2</v>
      </c>
      <c r="N79" s="55">
        <v>113</v>
      </c>
      <c r="O79" s="22">
        <v>2</v>
      </c>
      <c r="P79" s="27">
        <v>0.35138888888888892</v>
      </c>
      <c r="Q79" s="28">
        <f t="shared" si="22"/>
        <v>2.6388888888888906E-2</v>
      </c>
      <c r="R79" s="29">
        <v>0.81736111111111109</v>
      </c>
      <c r="S79" s="30">
        <f t="shared" si="23"/>
        <v>2.430555555555558E-2</v>
      </c>
      <c r="T79"/>
    </row>
    <row r="80" spans="2:20" ht="24" customHeight="1" thickBot="1" x14ac:dyDescent="0.3">
      <c r="B80" s="311"/>
      <c r="C80" s="314"/>
      <c r="D80" s="18">
        <v>0.54722222222222228</v>
      </c>
      <c r="E80" s="19">
        <v>0.56180555555555556</v>
      </c>
      <c r="F80" s="19">
        <v>0.58194444444444449</v>
      </c>
      <c r="G80" s="20">
        <f t="shared" si="24"/>
        <v>3.472222222222221E-2</v>
      </c>
      <c r="H80" s="55">
        <v>113</v>
      </c>
      <c r="I80" s="22">
        <v>1</v>
      </c>
      <c r="J80" s="18">
        <v>0.56874999999999998</v>
      </c>
      <c r="K80" s="19">
        <v>0.58125000000000004</v>
      </c>
      <c r="L80" s="19">
        <v>0.6020833333333333</v>
      </c>
      <c r="M80" s="20">
        <f t="shared" si="25"/>
        <v>3.3333333333333326E-2</v>
      </c>
      <c r="N80" s="55">
        <v>113</v>
      </c>
      <c r="O80" s="22">
        <v>2</v>
      </c>
      <c r="P80" s="27">
        <v>0.39513888888888887</v>
      </c>
      <c r="Q80" s="28">
        <f t="shared" si="22"/>
        <v>4.3749999999999956E-2</v>
      </c>
      <c r="R80" s="29">
        <v>0.86388888888888893</v>
      </c>
      <c r="S80" s="30">
        <f t="shared" si="23"/>
        <v>4.6527777777777835E-2</v>
      </c>
      <c r="T80"/>
    </row>
    <row r="81" spans="2:20" ht="24" customHeight="1" thickBot="1" x14ac:dyDescent="0.3">
      <c r="B81" s="311"/>
      <c r="C81" s="315"/>
      <c r="D81" s="341" t="s">
        <v>35</v>
      </c>
      <c r="E81" s="321"/>
      <c r="F81" s="321"/>
      <c r="G81" s="321"/>
      <c r="H81" s="321"/>
      <c r="I81" s="322"/>
      <c r="J81" s="341" t="s">
        <v>35</v>
      </c>
      <c r="K81" s="321"/>
      <c r="L81" s="321"/>
      <c r="M81" s="321"/>
      <c r="N81" s="321"/>
      <c r="O81" s="322"/>
      <c r="P81" s="27">
        <v>0.41597222222222219</v>
      </c>
      <c r="Q81" s="28">
        <f t="shared" si="22"/>
        <v>2.0833333333333315E-2</v>
      </c>
      <c r="R81" s="29">
        <v>0.8881944444444444</v>
      </c>
      <c r="S81" s="30">
        <f t="shared" si="23"/>
        <v>2.4305555555555469E-2</v>
      </c>
      <c r="T81"/>
    </row>
    <row r="82" spans="2:20" ht="24" customHeight="1" thickBot="1" x14ac:dyDescent="0.3">
      <c r="B82" s="311"/>
      <c r="C82" s="36" t="s">
        <v>17</v>
      </c>
      <c r="D82" s="37">
        <f>MAX(E72:F80)-IF(D72="",E72,D72)-MIN(H72:H80)+$C69</f>
        <v>0.32986111111111122</v>
      </c>
      <c r="E82" s="38"/>
      <c r="F82" s="38"/>
      <c r="G82" s="39"/>
      <c r="H82" s="40">
        <f ca="1">OFFSET(H71,MATCH(MIN(H72:H80),H72:H80,0),-4)-IF(D72="",E72,D72)+$C69</f>
        <v>0.16388888888888889</v>
      </c>
      <c r="I82" s="41"/>
      <c r="J82" s="37">
        <f>MAX(K72:L80)-IF(J72="",K72,J72)-MIN(N72:N80)+$C69</f>
        <v>0.34027777777777779</v>
      </c>
      <c r="K82" s="38"/>
      <c r="L82" s="38"/>
      <c r="M82" s="39"/>
      <c r="N82" s="40">
        <f ca="1">OFFSET(N71,MATCH(MIN(N72:N80),N72:N80,0),-4)-IF(J72="",K72,J72)+$C69</f>
        <v>0.22222222222222227</v>
      </c>
      <c r="O82" s="42"/>
      <c r="P82" s="27">
        <v>0.4597222222222222</v>
      </c>
      <c r="Q82" s="28">
        <f t="shared" si="22"/>
        <v>4.3750000000000011E-2</v>
      </c>
      <c r="R82" s="29">
        <v>0.93194444444444446</v>
      </c>
      <c r="S82" s="30">
        <f t="shared" si="23"/>
        <v>4.3750000000000067E-2</v>
      </c>
      <c r="T82"/>
    </row>
    <row r="83" spans="2:20" ht="24" customHeight="1" thickBot="1" x14ac:dyDescent="0.3">
      <c r="B83" s="311"/>
      <c r="C83" s="308">
        <v>1.3888888888888888E-2</v>
      </c>
      <c r="D83" s="9" t="s">
        <v>18</v>
      </c>
      <c r="E83" s="7"/>
      <c r="F83" s="7"/>
      <c r="G83" s="7"/>
      <c r="H83" s="7"/>
      <c r="I83" s="8"/>
      <c r="J83" s="9"/>
      <c r="K83" s="7"/>
      <c r="L83" s="7"/>
      <c r="M83" s="7"/>
      <c r="N83" s="7"/>
      <c r="O83" s="7"/>
      <c r="P83" s="27">
        <v>0.48402777777777778</v>
      </c>
      <c r="Q83" s="28">
        <f t="shared" si="22"/>
        <v>2.430555555555558E-2</v>
      </c>
      <c r="R83" s="29">
        <v>0.95625000000000004</v>
      </c>
      <c r="S83" s="30">
        <f t="shared" si="23"/>
        <v>2.430555555555558E-2</v>
      </c>
      <c r="T83"/>
    </row>
    <row r="84" spans="2:20" ht="24" customHeight="1" thickBot="1" x14ac:dyDescent="0.3">
      <c r="B84" s="311"/>
      <c r="C84" s="319"/>
      <c r="D84" s="9" t="s">
        <v>19</v>
      </c>
      <c r="E84" s="7"/>
      <c r="F84" s="7"/>
      <c r="G84" s="7"/>
      <c r="H84" s="7"/>
      <c r="I84" s="8"/>
      <c r="J84" s="9" t="s">
        <v>20</v>
      </c>
      <c r="K84" s="7"/>
      <c r="L84" s="7"/>
      <c r="M84" s="7"/>
      <c r="N84" s="7"/>
      <c r="O84" s="7"/>
      <c r="P84" s="27">
        <v>0.50347222222222221</v>
      </c>
      <c r="Q84" s="28">
        <f t="shared" si="22"/>
        <v>1.9444444444444431E-2</v>
      </c>
      <c r="R84" s="29">
        <v>0.99236111111111114</v>
      </c>
      <c r="S84" s="30">
        <f t="shared" si="23"/>
        <v>3.6111111111111094E-2</v>
      </c>
      <c r="T84"/>
    </row>
    <row r="85" spans="2:20" ht="24" customHeight="1" thickBot="1" x14ac:dyDescent="0.3">
      <c r="B85" s="311"/>
      <c r="C85" s="302" t="s">
        <v>7</v>
      </c>
      <c r="D85" s="13" t="s">
        <v>8</v>
      </c>
      <c r="E85" s="14" t="s">
        <v>9</v>
      </c>
      <c r="F85" s="15" t="s">
        <v>10</v>
      </c>
      <c r="G85" s="14" t="s">
        <v>11</v>
      </c>
      <c r="H85" s="15" t="s">
        <v>12</v>
      </c>
      <c r="I85" s="14" t="s">
        <v>13</v>
      </c>
      <c r="J85" s="15" t="s">
        <v>8</v>
      </c>
      <c r="K85" s="14" t="s">
        <v>9</v>
      </c>
      <c r="L85" s="15" t="s">
        <v>10</v>
      </c>
      <c r="M85" s="14" t="s">
        <v>11</v>
      </c>
      <c r="N85" s="15" t="s">
        <v>12</v>
      </c>
      <c r="O85" s="13" t="s">
        <v>13</v>
      </c>
      <c r="P85" s="27">
        <v>0.52777777777777779</v>
      </c>
      <c r="Q85" s="28">
        <f t="shared" si="22"/>
        <v>2.430555555555558E-2</v>
      </c>
      <c r="R85" s="63">
        <v>1.0284722222222222</v>
      </c>
      <c r="S85" s="30">
        <f t="shared" si="23"/>
        <v>3.6111111111111094E-2</v>
      </c>
      <c r="T85"/>
    </row>
    <row r="86" spans="2:20" ht="24" customHeight="1" x14ac:dyDescent="0.25">
      <c r="B86" s="311"/>
      <c r="C86" s="303"/>
      <c r="D86" s="23">
        <v>0.59305555555555556</v>
      </c>
      <c r="E86" s="25">
        <v>0.60347222222222219</v>
      </c>
      <c r="F86" s="25">
        <v>0.62222222222222223</v>
      </c>
      <c r="G86" s="20">
        <f t="shared" ref="G86:G91" si="26">F86-D86</f>
        <v>2.9166666666666674E-2</v>
      </c>
      <c r="H86" s="56">
        <v>113</v>
      </c>
      <c r="I86" s="48">
        <v>1</v>
      </c>
      <c r="J86" s="23">
        <v>0.76875000000000004</v>
      </c>
      <c r="K86" s="25">
        <v>0.78680555555555554</v>
      </c>
      <c r="L86" s="25">
        <v>0.80902777777777779</v>
      </c>
      <c r="M86" s="20">
        <f>L86-J86</f>
        <v>4.0277777777777746E-2</v>
      </c>
      <c r="N86" s="56">
        <v>113</v>
      </c>
      <c r="O86" s="57">
        <v>2</v>
      </c>
      <c r="P86" s="27">
        <v>0.54722222222222228</v>
      </c>
      <c r="Q86" s="28">
        <f t="shared" si="22"/>
        <v>1.9444444444444486E-2</v>
      </c>
      <c r="R86" s="63">
        <v>1.0659722222222223</v>
      </c>
      <c r="S86" s="30">
        <f t="shared" si="23"/>
        <v>3.7500000000000089E-2</v>
      </c>
      <c r="T86"/>
    </row>
    <row r="87" spans="2:20" ht="24" customHeight="1" thickBot="1" x14ac:dyDescent="0.3">
      <c r="B87" s="311"/>
      <c r="C87" s="303"/>
      <c r="D87" s="27">
        <v>0.62916666666666665</v>
      </c>
      <c r="E87" s="29">
        <v>0.64166666666666672</v>
      </c>
      <c r="F87" s="29">
        <v>0.66041666666666665</v>
      </c>
      <c r="G87" s="20">
        <f t="shared" si="26"/>
        <v>3.125E-2</v>
      </c>
      <c r="H87" s="58">
        <v>113</v>
      </c>
      <c r="I87" s="50">
        <v>1</v>
      </c>
      <c r="J87" s="27">
        <v>0.81736111111111109</v>
      </c>
      <c r="K87" s="29">
        <v>0.83611111111111114</v>
      </c>
      <c r="L87" s="29">
        <v>0.8569444444444444</v>
      </c>
      <c r="M87" s="20">
        <f>L87-J87</f>
        <v>3.9583333333333304E-2</v>
      </c>
      <c r="N87" s="58">
        <v>113</v>
      </c>
      <c r="O87" s="64">
        <v>2</v>
      </c>
      <c r="P87" s="43">
        <v>0.56874999999999998</v>
      </c>
      <c r="Q87" s="44">
        <f t="shared" si="22"/>
        <v>2.1527777777777701E-2</v>
      </c>
      <c r="R87" s="65">
        <v>1.1041666666666667</v>
      </c>
      <c r="S87" s="46">
        <f t="shared" si="23"/>
        <v>3.819444444444442E-2</v>
      </c>
      <c r="T87"/>
    </row>
    <row r="88" spans="2:20" ht="24" customHeight="1" thickBot="1" x14ac:dyDescent="0.3">
      <c r="B88" s="311"/>
      <c r="C88" s="303"/>
      <c r="D88" s="27">
        <v>0.66736111111111107</v>
      </c>
      <c r="E88" s="29">
        <v>0.6791666666666667</v>
      </c>
      <c r="F88" s="29">
        <v>0.69791666666666663</v>
      </c>
      <c r="G88" s="20">
        <f t="shared" si="26"/>
        <v>3.0555555555555558E-2</v>
      </c>
      <c r="H88" s="58">
        <v>113</v>
      </c>
      <c r="I88" s="50">
        <v>1</v>
      </c>
      <c r="J88" s="27">
        <v>0.86388888888888893</v>
      </c>
      <c r="K88" s="29">
        <v>0.87708333333333333</v>
      </c>
      <c r="L88" s="29">
        <v>0.89722222222222225</v>
      </c>
      <c r="M88" s="20">
        <f>L88-J88</f>
        <v>3.3333333333333326E-2</v>
      </c>
      <c r="N88" s="58">
        <v>113</v>
      </c>
      <c r="O88" s="50">
        <v>2</v>
      </c>
      <c r="T88"/>
    </row>
    <row r="89" spans="2:20" ht="24" customHeight="1" thickBot="1" x14ac:dyDescent="0.3">
      <c r="B89" s="311"/>
      <c r="C89" s="303"/>
      <c r="D89" s="27">
        <v>0.70486111111111116</v>
      </c>
      <c r="E89" s="29">
        <v>0.71875</v>
      </c>
      <c r="F89" s="29">
        <v>0.73750000000000004</v>
      </c>
      <c r="G89" s="20">
        <f t="shared" si="26"/>
        <v>3.2638888888888884E-2</v>
      </c>
      <c r="H89" s="58">
        <v>113</v>
      </c>
      <c r="I89" s="50">
        <v>1</v>
      </c>
      <c r="J89" s="31">
        <f>IF(L88="",K88,L88)</f>
        <v>0.89722222222222225</v>
      </c>
      <c r="K89" s="32"/>
      <c r="L89" s="31">
        <f>IF(J90="",K90,J90)</f>
        <v>0.95625000000000004</v>
      </c>
      <c r="M89" s="32"/>
      <c r="N89" s="32">
        <f>L89-J89</f>
        <v>5.902777777777779E-2</v>
      </c>
      <c r="O89" s="32"/>
      <c r="T89"/>
    </row>
    <row r="90" spans="2:20" ht="24" customHeight="1" x14ac:dyDescent="0.25">
      <c r="B90" s="311"/>
      <c r="C90" s="303"/>
      <c r="D90" s="27">
        <v>0.74444444444444446</v>
      </c>
      <c r="E90" s="29">
        <v>0.75972222222222219</v>
      </c>
      <c r="F90" s="29">
        <v>0.78125</v>
      </c>
      <c r="G90" s="20">
        <f t="shared" si="26"/>
        <v>3.6805555555555536E-2</v>
      </c>
      <c r="H90" s="58">
        <v>113</v>
      </c>
      <c r="I90" s="50">
        <v>1</v>
      </c>
      <c r="J90" s="27">
        <v>0.95625000000000004</v>
      </c>
      <c r="K90" s="29">
        <v>0.96805555555555556</v>
      </c>
      <c r="L90" s="29">
        <v>0.98541666666666672</v>
      </c>
      <c r="M90" s="20">
        <f>L90-J90</f>
        <v>2.9166666666666674E-2</v>
      </c>
      <c r="N90" s="58">
        <v>113</v>
      </c>
      <c r="O90" s="50">
        <v>2</v>
      </c>
      <c r="T90"/>
    </row>
    <row r="91" spans="2:20" ht="24" customHeight="1" thickBot="1" x14ac:dyDescent="0.3">
      <c r="B91" s="311"/>
      <c r="C91" s="303"/>
      <c r="D91" s="59">
        <v>0.79305555555555551</v>
      </c>
      <c r="E91" s="60">
        <v>0.81041666666666667</v>
      </c>
      <c r="F91" s="60">
        <v>0.83125000000000004</v>
      </c>
      <c r="G91" s="20">
        <f t="shared" si="26"/>
        <v>3.8194444444444531E-2</v>
      </c>
      <c r="H91" s="61">
        <v>113</v>
      </c>
      <c r="I91" s="62">
        <v>1</v>
      </c>
      <c r="J91" s="59">
        <v>0.99236111111111114</v>
      </c>
      <c r="K91" s="60">
        <v>1.0041666666666667</v>
      </c>
      <c r="L91" s="60">
        <v>1.0215277777777778</v>
      </c>
      <c r="M91" s="20">
        <f>L91-J91</f>
        <v>2.9166666666666674E-2</v>
      </c>
      <c r="N91" s="61">
        <v>113</v>
      </c>
      <c r="O91" s="62">
        <v>2</v>
      </c>
      <c r="T91"/>
    </row>
    <row r="92" spans="2:20" ht="24" customHeight="1" thickBot="1" x14ac:dyDescent="0.3">
      <c r="B92" s="311"/>
      <c r="C92" s="303"/>
      <c r="D92" s="31">
        <f>IF(F91="",E91,F91)</f>
        <v>0.83125000000000004</v>
      </c>
      <c r="E92" s="32"/>
      <c r="F92" s="31">
        <f>IF(D93="",E93,D93)</f>
        <v>0.8881944444444444</v>
      </c>
      <c r="G92" s="32"/>
      <c r="H92" s="32">
        <f>F92-D92</f>
        <v>5.6944444444444353E-2</v>
      </c>
      <c r="I92" s="32"/>
      <c r="J92" s="59">
        <v>1.0284722222222222</v>
      </c>
      <c r="K92" s="60">
        <v>1.0402777777777779</v>
      </c>
      <c r="L92" s="60">
        <v>1.0576388888888888</v>
      </c>
      <c r="M92" s="20">
        <f>L92-J92</f>
        <v>2.9166666666666563E-2</v>
      </c>
      <c r="N92" s="61">
        <v>113</v>
      </c>
      <c r="O92" s="62">
        <v>2</v>
      </c>
      <c r="T92"/>
    </row>
    <row r="93" spans="2:20" ht="24" customHeight="1" x14ac:dyDescent="0.25">
      <c r="B93" s="311"/>
      <c r="C93" s="303"/>
      <c r="D93" s="59">
        <v>0.8881944444444444</v>
      </c>
      <c r="E93" s="60">
        <v>0.90277777777777779</v>
      </c>
      <c r="F93" s="60">
        <v>0.92500000000000004</v>
      </c>
      <c r="G93" s="20">
        <f t="shared" ref="G93:G94" si="27">F93-D93</f>
        <v>3.6805555555555647E-2</v>
      </c>
      <c r="H93" s="61">
        <v>113</v>
      </c>
      <c r="I93" s="62">
        <v>1</v>
      </c>
      <c r="J93" s="59">
        <v>1.0659722222222223</v>
      </c>
      <c r="K93" s="60">
        <v>1.0777777777777777</v>
      </c>
      <c r="L93" s="60">
        <v>1.0951388888888889</v>
      </c>
      <c r="M93" s="20">
        <f>L93-J93</f>
        <v>2.9166666666666563E-2</v>
      </c>
      <c r="N93" s="61">
        <v>113</v>
      </c>
      <c r="O93" s="62">
        <v>2</v>
      </c>
      <c r="T93"/>
    </row>
    <row r="94" spans="2:20" ht="24" customHeight="1" thickBot="1" x14ac:dyDescent="0.3">
      <c r="B94" s="311"/>
      <c r="C94" s="303"/>
      <c r="D94" s="59">
        <v>0.93194444444444446</v>
      </c>
      <c r="E94" s="60">
        <v>0.94861111111111107</v>
      </c>
      <c r="F94" s="60">
        <v>0.96597222222222223</v>
      </c>
      <c r="G94" s="20">
        <f t="shared" si="27"/>
        <v>3.4027777777777768E-2</v>
      </c>
      <c r="H94" s="61">
        <v>113</v>
      </c>
      <c r="I94" s="62">
        <v>1</v>
      </c>
      <c r="J94" s="59">
        <v>1.1041666666666667</v>
      </c>
      <c r="K94" s="60">
        <v>1.0743055555555556</v>
      </c>
      <c r="L94" s="60">
        <v>1.1333333333333333</v>
      </c>
      <c r="M94" s="20">
        <f>L94-J94</f>
        <v>2.9166666666666563E-2</v>
      </c>
      <c r="N94" s="61">
        <v>113</v>
      </c>
      <c r="O94" s="62">
        <v>2</v>
      </c>
      <c r="T94"/>
    </row>
    <row r="95" spans="2:20" ht="24" customHeight="1" thickBot="1" x14ac:dyDescent="0.3">
      <c r="B95" s="311"/>
      <c r="C95" s="304"/>
      <c r="D95" s="341" t="s">
        <v>35</v>
      </c>
      <c r="E95" s="321"/>
      <c r="F95" s="321"/>
      <c r="G95" s="321"/>
      <c r="H95" s="321"/>
      <c r="I95" s="322"/>
      <c r="J95" s="341" t="s">
        <v>35</v>
      </c>
      <c r="K95" s="321"/>
      <c r="L95" s="321"/>
      <c r="M95" s="321"/>
      <c r="N95" s="321"/>
      <c r="O95" s="322"/>
    </row>
    <row r="96" spans="2:20" ht="24" customHeight="1" thickBot="1" x14ac:dyDescent="0.3">
      <c r="B96" s="312"/>
      <c r="C96" s="36" t="s">
        <v>17</v>
      </c>
      <c r="D96" s="37">
        <f>MAX(E86:F94)-IF(D86="",E86,D86)-MIN(H86:H94)+$C83</f>
        <v>0.32986111111111122</v>
      </c>
      <c r="E96" s="51"/>
      <c r="F96" s="51"/>
      <c r="G96" s="52"/>
      <c r="H96" s="53">
        <f ca="1">OFFSET(H85,MATCH(MIN(H86:H94),H86:H94,0),-4)-IF(D86="",E86,D86)</f>
        <v>0.23819444444444449</v>
      </c>
      <c r="I96" s="54"/>
      <c r="J96" s="37">
        <f>MAX(K86:L94)-IF(J86="",K86,J86)-MIN(N86:N94)+$C83</f>
        <v>0.31944444444444436</v>
      </c>
      <c r="K96" s="38"/>
      <c r="L96" s="38"/>
      <c r="M96" s="39"/>
      <c r="N96" s="53">
        <f ca="1">OFFSET(N85,MATCH(MIN(N86:N94),N86:N94,0),-4)-IF(J86="",K86,J86)</f>
        <v>0.12847222222222221</v>
      </c>
      <c r="O96" s="41"/>
    </row>
  </sheetData>
  <mergeCells count="27">
    <mergeCell ref="B68:B96"/>
    <mergeCell ref="C69:C70"/>
    <mergeCell ref="C71:C81"/>
    <mergeCell ref="D81:I81"/>
    <mergeCell ref="J81:O81"/>
    <mergeCell ref="C83:C84"/>
    <mergeCell ref="C85:C95"/>
    <mergeCell ref="D95:I95"/>
    <mergeCell ref="J95:O95"/>
    <mergeCell ref="B35:B63"/>
    <mergeCell ref="C36:C37"/>
    <mergeCell ref="C38:C48"/>
    <mergeCell ref="D48:I48"/>
    <mergeCell ref="J48:O48"/>
    <mergeCell ref="C50:C51"/>
    <mergeCell ref="C52:C62"/>
    <mergeCell ref="D62:I62"/>
    <mergeCell ref="J62:O62"/>
    <mergeCell ref="B2:B30"/>
    <mergeCell ref="C3:C4"/>
    <mergeCell ref="C5:C15"/>
    <mergeCell ref="D15:I15"/>
    <mergeCell ref="J15:O15"/>
    <mergeCell ref="C17:C18"/>
    <mergeCell ref="C19:C29"/>
    <mergeCell ref="D29:I29"/>
    <mergeCell ref="J29:O29"/>
  </mergeCells>
  <conditionalFormatting sqref="D4">
    <cfRule type="colorScale" priority="12">
      <colorScale>
        <cfvo type="min"/>
        <cfvo type="max"/>
        <color rgb="FFFF7128"/>
        <color rgb="FFFFEF9C"/>
      </colorScale>
    </cfRule>
  </conditionalFormatting>
  <conditionalFormatting sqref="D37">
    <cfRule type="colorScale" priority="8">
      <colorScale>
        <cfvo type="min"/>
        <cfvo type="max"/>
        <color rgb="FFFF7128"/>
        <color rgb="FFFFEF9C"/>
      </colorScale>
    </cfRule>
  </conditionalFormatting>
  <conditionalFormatting sqref="D70">
    <cfRule type="colorScale" priority="4">
      <colorScale>
        <cfvo type="min"/>
        <cfvo type="max"/>
        <color rgb="FFFF7128"/>
        <color rgb="FFFFEF9C"/>
      </colorScale>
    </cfRule>
  </conditionalFormatting>
  <conditionalFormatting sqref="D4:I4">
    <cfRule type="expression" dxfId="225" priority="10" stopIfTrue="1">
      <formula>LEN($D4)=14</formula>
    </cfRule>
  </conditionalFormatting>
  <conditionalFormatting sqref="D37:I37">
    <cfRule type="expression" dxfId="224" priority="6" stopIfTrue="1">
      <formula>LEN($D37)=14</formula>
    </cfRule>
  </conditionalFormatting>
  <conditionalFormatting sqref="D70:I70">
    <cfRule type="expression" dxfId="223" priority="2" stopIfTrue="1">
      <formula>LEN($D70)=14</formula>
    </cfRule>
  </conditionalFormatting>
  <conditionalFormatting sqref="E4:I4">
    <cfRule type="notContainsBlanks" dxfId="222" priority="11">
      <formula>LEN(TRIM(E4))&gt;0</formula>
    </cfRule>
  </conditionalFormatting>
  <conditionalFormatting sqref="E37:I37">
    <cfRule type="notContainsBlanks" dxfId="221" priority="7">
      <formula>LEN(TRIM(E37))&gt;0</formula>
    </cfRule>
  </conditionalFormatting>
  <conditionalFormatting sqref="E70:I70">
    <cfRule type="notContainsBlanks" dxfId="220" priority="3">
      <formula>LEN(TRIM(E70))&gt;0</formula>
    </cfRule>
  </conditionalFormatting>
  <conditionalFormatting sqref="J4:O4">
    <cfRule type="expression" dxfId="219" priority="9">
      <formula>LEN($J4)=14</formula>
    </cfRule>
  </conditionalFormatting>
  <conditionalFormatting sqref="J37:O37">
    <cfRule type="expression" dxfId="218" priority="5">
      <formula>LEN($J37)=14</formula>
    </cfRule>
  </conditionalFormatting>
  <conditionalFormatting sqref="J70:O70">
    <cfRule type="expression" dxfId="217" priority="1">
      <formula>LEN($J70)=14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60BC-F9E2-402F-A85C-196B84CA3CA6}">
  <dimension ref="A1:AB971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cols>
    <col min="1" max="16384" width="8.7109375" style="202"/>
  </cols>
  <sheetData>
    <row r="1" spans="1:28" ht="24" customHeight="1" thickBo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</row>
    <row r="2" spans="1:28" ht="24" customHeight="1" thickBot="1" x14ac:dyDescent="0.3">
      <c r="A2" s="200"/>
      <c r="B2" s="295">
        <v>46193</v>
      </c>
      <c r="C2" s="330" t="s">
        <v>138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97" t="s">
        <v>107</v>
      </c>
      <c r="Q2" s="287"/>
      <c r="R2" s="287"/>
      <c r="S2" s="284"/>
      <c r="T2" s="201"/>
      <c r="U2" s="200"/>
      <c r="V2" s="200"/>
      <c r="W2" s="200"/>
      <c r="X2" s="200"/>
      <c r="Y2" s="200"/>
      <c r="Z2" s="200"/>
      <c r="AA2" s="201"/>
      <c r="AB2" s="201"/>
    </row>
    <row r="3" spans="1:28" ht="24" customHeight="1" thickBot="1" x14ac:dyDescent="0.3">
      <c r="A3" s="200"/>
      <c r="B3" s="293"/>
      <c r="C3" s="289">
        <v>1.3888888888888888E-2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4"/>
      <c r="P3" s="298" t="s">
        <v>99</v>
      </c>
      <c r="Q3" s="287"/>
      <c r="R3" s="287"/>
      <c r="S3" s="284"/>
      <c r="T3" s="201"/>
      <c r="U3" s="200"/>
      <c r="V3" s="200"/>
      <c r="W3" s="200"/>
      <c r="X3" s="200"/>
      <c r="Y3" s="200"/>
      <c r="Z3" s="200"/>
      <c r="AA3" s="201"/>
      <c r="AB3" s="201"/>
    </row>
    <row r="4" spans="1:28" ht="24" customHeight="1" thickBot="1" x14ac:dyDescent="0.3">
      <c r="A4" s="200"/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7" t="str">
        <f>CONCATENATE(COUNT(P6:P14,R6:R14)," VIAGENS")</f>
        <v>18 VIAGENS</v>
      </c>
      <c r="Q4" s="287"/>
      <c r="R4" s="287"/>
      <c r="S4" s="284"/>
      <c r="T4" s="200"/>
      <c r="U4" s="200"/>
      <c r="V4" s="200"/>
      <c r="W4" s="200"/>
      <c r="X4" s="200"/>
      <c r="Y4" s="200"/>
      <c r="Z4" s="200"/>
      <c r="AA4" s="201"/>
      <c r="AB4" s="201"/>
    </row>
    <row r="5" spans="1:28" ht="24" customHeight="1" thickBot="1" x14ac:dyDescent="0.3">
      <c r="A5" s="200"/>
      <c r="B5" s="293"/>
      <c r="C5" s="299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03" t="s">
        <v>14</v>
      </c>
      <c r="Q5" s="204" t="s">
        <v>15</v>
      </c>
      <c r="R5" s="203" t="s">
        <v>14</v>
      </c>
      <c r="S5" s="237" t="s">
        <v>15</v>
      </c>
      <c r="T5" s="200"/>
      <c r="U5" s="200"/>
      <c r="V5" s="200"/>
      <c r="W5" s="200"/>
      <c r="X5" s="200"/>
      <c r="Y5" s="200"/>
      <c r="Z5" s="200"/>
      <c r="AA5" s="201"/>
      <c r="AB5" s="201"/>
    </row>
    <row r="6" spans="1:28" ht="24" customHeight="1" x14ac:dyDescent="0.25">
      <c r="A6" s="200"/>
      <c r="B6" s="293"/>
      <c r="C6" s="300"/>
      <c r="D6" s="239">
        <v>0.22916666666666671</v>
      </c>
      <c r="E6" s="240">
        <v>0.25</v>
      </c>
      <c r="F6" s="240">
        <v>0.27916666666666667</v>
      </c>
      <c r="G6" s="241">
        <f t="shared" ref="G6:G8" si="0">F6-D6</f>
        <v>4.9999999999999961E-2</v>
      </c>
      <c r="H6" s="242">
        <v>119</v>
      </c>
      <c r="I6" s="243">
        <v>1</v>
      </c>
      <c r="J6" s="239">
        <v>0.25694444444444442</v>
      </c>
      <c r="K6" s="240">
        <v>0.27986111111111112</v>
      </c>
      <c r="L6" s="240">
        <v>0.31388888888888888</v>
      </c>
      <c r="M6" s="241">
        <f t="shared" ref="M6:M7" si="1">L6-J6</f>
        <v>5.6944444444444464E-2</v>
      </c>
      <c r="N6" s="242">
        <v>119</v>
      </c>
      <c r="O6" s="243">
        <v>2</v>
      </c>
      <c r="P6" s="244">
        <v>0.22916666666666671</v>
      </c>
      <c r="Q6" s="211"/>
      <c r="R6" s="245">
        <v>0.57986111111111116</v>
      </c>
      <c r="S6" s="212">
        <f>R6-P14</f>
        <v>2.430555555555558E-2</v>
      </c>
      <c r="T6" s="200"/>
      <c r="U6" s="200"/>
      <c r="V6" s="200"/>
      <c r="W6" s="200"/>
      <c r="X6" s="200"/>
      <c r="Y6" s="200"/>
      <c r="Z6" s="200"/>
      <c r="AA6" s="201"/>
      <c r="AB6" s="201"/>
    </row>
    <row r="7" spans="1:28" ht="24" customHeight="1" thickBot="1" x14ac:dyDescent="0.3">
      <c r="A7" s="200"/>
      <c r="B7" s="293"/>
      <c r="C7" s="300"/>
      <c r="D7" s="239">
        <v>0.28819444444444442</v>
      </c>
      <c r="E7" s="240">
        <v>0.31180555555555561</v>
      </c>
      <c r="F7" s="240">
        <v>0.34722222222222221</v>
      </c>
      <c r="G7" s="241">
        <f t="shared" si="0"/>
        <v>5.902777777777779E-2</v>
      </c>
      <c r="H7" s="242">
        <v>119</v>
      </c>
      <c r="I7" s="243">
        <v>1</v>
      </c>
      <c r="J7" s="239">
        <v>0.32291666666666669</v>
      </c>
      <c r="K7" s="240">
        <v>0.34444444444444439</v>
      </c>
      <c r="L7" s="240">
        <v>0.37708333333333333</v>
      </c>
      <c r="M7" s="241">
        <f t="shared" si="1"/>
        <v>5.4166666666666641E-2</v>
      </c>
      <c r="N7" s="242">
        <v>119</v>
      </c>
      <c r="O7" s="243">
        <v>2</v>
      </c>
      <c r="P7" s="239">
        <v>0.25694444444444442</v>
      </c>
      <c r="Q7" s="218">
        <f t="shared" ref="Q7:Q14" si="2">P7-P6</f>
        <v>2.7777777777777707E-2</v>
      </c>
      <c r="R7" s="240">
        <v>0.625</v>
      </c>
      <c r="S7" s="219">
        <f t="shared" ref="S7:S14" si="3">R7-R6</f>
        <v>4.513888888888884E-2</v>
      </c>
      <c r="T7" s="200"/>
      <c r="U7" s="200"/>
      <c r="V7" s="200"/>
      <c r="W7" s="200"/>
      <c r="X7" s="200"/>
      <c r="Y7" s="200"/>
      <c r="Z7" s="200"/>
      <c r="AA7" s="201"/>
      <c r="AB7" s="201"/>
    </row>
    <row r="8" spans="1:28" ht="24" customHeight="1" thickBot="1" x14ac:dyDescent="0.3">
      <c r="A8" s="200"/>
      <c r="B8" s="293"/>
      <c r="C8" s="300"/>
      <c r="D8" s="239">
        <v>0.35694444444444451</v>
      </c>
      <c r="E8" s="240">
        <v>0.38611111111111113</v>
      </c>
      <c r="F8" s="240">
        <v>0.42916666666666659</v>
      </c>
      <c r="G8" s="241">
        <f t="shared" si="0"/>
        <v>7.2222222222222077E-2</v>
      </c>
      <c r="H8" s="242">
        <v>119</v>
      </c>
      <c r="I8" s="243">
        <v>1</v>
      </c>
      <c r="J8" s="283">
        <f>IF(L7="",K7,L7)</f>
        <v>0.37708333333333333</v>
      </c>
      <c r="K8" s="284"/>
      <c r="L8" s="283">
        <f>IF(J9="",K9,J9)</f>
        <v>0.4236111111111111</v>
      </c>
      <c r="M8" s="284"/>
      <c r="N8" s="285">
        <f>L8-J8</f>
        <v>4.6527777777777779E-2</v>
      </c>
      <c r="O8" s="287"/>
      <c r="P8" s="239">
        <v>0.28819444444444442</v>
      </c>
      <c r="Q8" s="218">
        <f t="shared" si="2"/>
        <v>3.125E-2</v>
      </c>
      <c r="R8" s="240">
        <v>0.65277777777777779</v>
      </c>
      <c r="S8" s="219">
        <f t="shared" si="3"/>
        <v>2.777777777777779E-2</v>
      </c>
      <c r="T8" s="200"/>
      <c r="U8" s="200"/>
      <c r="V8" s="200"/>
      <c r="W8" s="200"/>
      <c r="X8" s="200"/>
      <c r="Y8" s="200"/>
      <c r="Z8" s="200"/>
      <c r="AA8" s="201"/>
      <c r="AB8" s="201"/>
    </row>
    <row r="9" spans="1:28" ht="24" customHeight="1" thickBot="1" x14ac:dyDescent="0.3">
      <c r="A9" s="200"/>
      <c r="B9" s="293"/>
      <c r="C9" s="300"/>
      <c r="D9" s="283">
        <f>IF(F8="",E8,F8)</f>
        <v>0.42916666666666659</v>
      </c>
      <c r="E9" s="284"/>
      <c r="F9" s="283">
        <f>IF(D10="",E10,D10)</f>
        <v>0.4777777777777778</v>
      </c>
      <c r="G9" s="284"/>
      <c r="H9" s="285">
        <f>F9-D9</f>
        <v>4.8611111111111216E-2</v>
      </c>
      <c r="I9" s="284"/>
      <c r="J9" s="239">
        <v>0.4236111111111111</v>
      </c>
      <c r="K9" s="240">
        <v>0.4513888888888889</v>
      </c>
      <c r="L9" s="240">
        <v>0.49305555555555558</v>
      </c>
      <c r="M9" s="241">
        <f t="shared" ref="M9:M11" si="4">L9-J9</f>
        <v>6.9444444444444475E-2</v>
      </c>
      <c r="N9" s="242">
        <v>119</v>
      </c>
      <c r="O9" s="243">
        <v>2</v>
      </c>
      <c r="P9" s="239">
        <v>0.32291666666666669</v>
      </c>
      <c r="Q9" s="218">
        <f t="shared" si="2"/>
        <v>3.4722222222222265E-2</v>
      </c>
      <c r="R9" s="240">
        <v>0.69791666666666663</v>
      </c>
      <c r="S9" s="219">
        <f t="shared" si="3"/>
        <v>4.513888888888884E-2</v>
      </c>
      <c r="T9" s="200"/>
      <c r="U9" s="200"/>
      <c r="V9" s="200"/>
      <c r="W9" s="200"/>
      <c r="X9" s="200"/>
      <c r="Y9" s="200"/>
      <c r="Z9" s="200"/>
      <c r="AA9" s="201"/>
      <c r="AB9" s="201"/>
    </row>
    <row r="10" spans="1:28" ht="24" customHeight="1" x14ac:dyDescent="0.25">
      <c r="A10" s="200"/>
      <c r="B10" s="293"/>
      <c r="C10" s="300"/>
      <c r="D10" s="239">
        <v>0.4777777777777778</v>
      </c>
      <c r="E10" s="240">
        <v>0.50138888888888888</v>
      </c>
      <c r="F10" s="240">
        <v>0.54722222222222228</v>
      </c>
      <c r="G10" s="241">
        <f t="shared" ref="G10:G11" si="5">F10-D10</f>
        <v>6.9444444444444475E-2</v>
      </c>
      <c r="H10" s="242">
        <v>119</v>
      </c>
      <c r="I10" s="243">
        <v>1</v>
      </c>
      <c r="J10" s="239">
        <v>0.50208333333333333</v>
      </c>
      <c r="K10" s="240">
        <v>0.52569444444444446</v>
      </c>
      <c r="L10" s="240">
        <v>0.57152777777777775</v>
      </c>
      <c r="M10" s="241">
        <f t="shared" si="4"/>
        <v>6.944444444444442E-2</v>
      </c>
      <c r="N10" s="242">
        <v>119</v>
      </c>
      <c r="O10" s="243">
        <v>2</v>
      </c>
      <c r="P10" s="239">
        <v>0.35694444444444451</v>
      </c>
      <c r="Q10" s="218">
        <f t="shared" si="2"/>
        <v>3.4027777777777823E-2</v>
      </c>
      <c r="R10" s="240">
        <v>0.73263888888888884</v>
      </c>
      <c r="S10" s="219">
        <f t="shared" si="3"/>
        <v>3.472222222222221E-2</v>
      </c>
      <c r="T10" s="200"/>
      <c r="U10" s="200"/>
      <c r="V10" s="200"/>
      <c r="W10" s="200"/>
      <c r="X10" s="200"/>
      <c r="Y10" s="200"/>
      <c r="Z10" s="200"/>
      <c r="AA10" s="201"/>
      <c r="AB10" s="201"/>
    </row>
    <row r="11" spans="1:28" ht="24" customHeight="1" thickBot="1" x14ac:dyDescent="0.3">
      <c r="A11" s="200"/>
      <c r="B11" s="293"/>
      <c r="C11" s="300"/>
      <c r="D11" s="239">
        <v>0.55555555555555558</v>
      </c>
      <c r="E11" s="240">
        <v>0.57430555555555551</v>
      </c>
      <c r="F11" s="240">
        <v>0.61041666666666672</v>
      </c>
      <c r="G11" s="241">
        <f t="shared" si="5"/>
        <v>5.4861111111111138E-2</v>
      </c>
      <c r="H11" s="242">
        <v>119</v>
      </c>
      <c r="I11" s="243">
        <v>1</v>
      </c>
      <c r="J11" s="239">
        <v>0.57986111111111116</v>
      </c>
      <c r="K11" s="240">
        <v>0.60069444444444442</v>
      </c>
      <c r="L11" s="240">
        <v>0.63888888888888884</v>
      </c>
      <c r="M11" s="241">
        <f t="shared" si="4"/>
        <v>5.9027777777777679E-2</v>
      </c>
      <c r="N11" s="242">
        <v>119</v>
      </c>
      <c r="O11" s="243">
        <v>2</v>
      </c>
      <c r="P11" s="239">
        <v>0.4236111111111111</v>
      </c>
      <c r="Q11" s="218">
        <f t="shared" si="2"/>
        <v>6.6666666666666596E-2</v>
      </c>
      <c r="R11" s="240">
        <v>0.76388888888888884</v>
      </c>
      <c r="S11" s="219">
        <f t="shared" si="3"/>
        <v>3.125E-2</v>
      </c>
      <c r="T11" s="200"/>
      <c r="U11" s="200"/>
      <c r="V11" s="200"/>
      <c r="W11" s="200"/>
      <c r="X11" s="200"/>
      <c r="Y11" s="200"/>
      <c r="Z11" s="200"/>
      <c r="AA11" s="201"/>
      <c r="AB11" s="201"/>
    </row>
    <row r="12" spans="1:28" ht="24" customHeight="1" thickBot="1" x14ac:dyDescent="0.3">
      <c r="A12" s="200"/>
      <c r="B12" s="293"/>
      <c r="C12" s="301"/>
      <c r="D12" s="334" t="s">
        <v>100</v>
      </c>
      <c r="E12" s="287"/>
      <c r="F12" s="287"/>
      <c r="G12" s="287"/>
      <c r="H12" s="287"/>
      <c r="I12" s="284"/>
      <c r="J12" s="334" t="s">
        <v>100</v>
      </c>
      <c r="K12" s="287"/>
      <c r="L12" s="287"/>
      <c r="M12" s="287"/>
      <c r="N12" s="287"/>
      <c r="O12" s="287"/>
      <c r="P12" s="239">
        <v>0.4777777777777778</v>
      </c>
      <c r="Q12" s="218">
        <f t="shared" si="2"/>
        <v>5.4166666666666696E-2</v>
      </c>
      <c r="R12" s="240">
        <v>0.79861111111111116</v>
      </c>
      <c r="S12" s="219">
        <f t="shared" si="3"/>
        <v>3.4722222222222321E-2</v>
      </c>
      <c r="T12" s="200"/>
      <c r="U12" s="200"/>
      <c r="V12" s="200"/>
      <c r="W12" s="200"/>
      <c r="X12" s="200"/>
      <c r="Y12" s="200"/>
      <c r="Z12" s="200"/>
      <c r="AA12" s="201"/>
      <c r="AB12" s="201"/>
    </row>
    <row r="13" spans="1:28" ht="24" customHeight="1" thickBot="1" x14ac:dyDescent="0.3">
      <c r="A13" s="200"/>
      <c r="B13" s="293"/>
      <c r="C13" s="247" t="s">
        <v>17</v>
      </c>
      <c r="D13" s="288">
        <f>MAX(E6:F11)-IF(D6="",E6,D6)-MIN(H6:H11)+$C3</f>
        <v>0.34652777777777766</v>
      </c>
      <c r="E13" s="287"/>
      <c r="F13" s="287"/>
      <c r="G13" s="284"/>
      <c r="H13" s="294">
        <f ca="1">OFFSET(H5,MATCH(MIN(H6:H11),H6:H11,0),-4)-IF(D6="",E6,D6)+$C3</f>
        <v>0.21388888888888877</v>
      </c>
      <c r="I13" s="284"/>
      <c r="J13" s="288">
        <f>MAX(K6:L11)-IF(J6="",K6,J6)-MIN(N6:N11)+$C3</f>
        <v>0.34930555555555554</v>
      </c>
      <c r="K13" s="287"/>
      <c r="L13" s="287"/>
      <c r="M13" s="284"/>
      <c r="N13" s="294">
        <f ca="1">OFFSET(N5,MATCH(MIN(N6:N11),N6:N11,0),-4)-IF(J6="",K6,J6)+$C3</f>
        <v>0.1340277777777778</v>
      </c>
      <c r="O13" s="287"/>
      <c r="P13" s="239">
        <v>0.50208333333333333</v>
      </c>
      <c r="Q13" s="218">
        <f t="shared" si="2"/>
        <v>2.4305555555555525E-2</v>
      </c>
      <c r="R13" s="240">
        <v>0.86805555555555558</v>
      </c>
      <c r="S13" s="219">
        <f t="shared" si="3"/>
        <v>6.944444444444442E-2</v>
      </c>
      <c r="T13" s="200"/>
      <c r="U13" s="200"/>
      <c r="V13" s="200"/>
      <c r="W13" s="200"/>
      <c r="X13" s="200"/>
      <c r="Y13" s="200"/>
      <c r="Z13" s="200"/>
      <c r="AA13" s="201"/>
      <c r="AB13" s="201"/>
    </row>
    <row r="14" spans="1:28" ht="24" customHeight="1" thickBot="1" x14ac:dyDescent="0.3">
      <c r="A14" s="200"/>
      <c r="B14" s="293"/>
      <c r="C14" s="289">
        <v>1.3888888888888888E-2</v>
      </c>
      <c r="D14" s="291" t="s">
        <v>18</v>
      </c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48">
        <v>0.55555555555555558</v>
      </c>
      <c r="Q14" s="231">
        <f t="shared" si="2"/>
        <v>5.3472222222222254E-2</v>
      </c>
      <c r="R14" s="249">
        <v>0.91666666666666663</v>
      </c>
      <c r="S14" s="233">
        <f t="shared" si="3"/>
        <v>4.8611111111111049E-2</v>
      </c>
      <c r="T14" s="200"/>
      <c r="U14" s="200"/>
      <c r="V14" s="200"/>
      <c r="W14" s="200"/>
      <c r="X14" s="200"/>
      <c r="Y14" s="200"/>
      <c r="Z14" s="200"/>
      <c r="AA14" s="201"/>
      <c r="AB14" s="201"/>
    </row>
    <row r="15" spans="1:28" ht="24" customHeight="1" thickBot="1" x14ac:dyDescent="0.3">
      <c r="A15" s="200"/>
      <c r="B15" s="293"/>
      <c r="C15" s="290"/>
      <c r="D15" s="291" t="s">
        <v>19</v>
      </c>
      <c r="E15" s="287"/>
      <c r="F15" s="287"/>
      <c r="G15" s="287"/>
      <c r="H15" s="287"/>
      <c r="I15" s="284"/>
      <c r="J15" s="291" t="s">
        <v>20</v>
      </c>
      <c r="K15" s="287"/>
      <c r="L15" s="287"/>
      <c r="M15" s="287"/>
      <c r="N15" s="287"/>
      <c r="O15" s="284"/>
      <c r="P15" s="200"/>
      <c r="Q15" s="200"/>
      <c r="R15" s="201"/>
      <c r="S15" s="201"/>
      <c r="T15" s="200"/>
      <c r="U15" s="200"/>
      <c r="V15" s="200"/>
      <c r="W15" s="200"/>
      <c r="X15" s="200"/>
      <c r="Y15" s="200"/>
      <c r="Z15" s="200"/>
      <c r="AA15" s="201"/>
      <c r="AB15" s="201"/>
    </row>
    <row r="16" spans="1:28" ht="24" customHeight="1" thickBot="1" x14ac:dyDescent="0.3">
      <c r="A16" s="200"/>
      <c r="B16" s="293"/>
      <c r="C16" s="292" t="s">
        <v>7</v>
      </c>
      <c r="D16" s="236" t="s">
        <v>8</v>
      </c>
      <c r="E16" s="237" t="s">
        <v>9</v>
      </c>
      <c r="F16" s="238" t="s">
        <v>10</v>
      </c>
      <c r="G16" s="237" t="s">
        <v>11</v>
      </c>
      <c r="H16" s="238" t="s">
        <v>12</v>
      </c>
      <c r="I16" s="237" t="s">
        <v>13</v>
      </c>
      <c r="J16" s="238" t="s">
        <v>8</v>
      </c>
      <c r="K16" s="237" t="s">
        <v>9</v>
      </c>
      <c r="L16" s="238" t="s">
        <v>10</v>
      </c>
      <c r="M16" s="237" t="s">
        <v>11</v>
      </c>
      <c r="N16" s="238" t="s">
        <v>12</v>
      </c>
      <c r="O16" s="237" t="s">
        <v>13</v>
      </c>
      <c r="P16" s="200"/>
      <c r="Q16" s="200"/>
      <c r="R16" s="201"/>
      <c r="S16" s="201"/>
      <c r="T16" s="200"/>
      <c r="U16" s="200"/>
      <c r="V16" s="200"/>
      <c r="W16" s="200"/>
      <c r="X16" s="200"/>
      <c r="Y16" s="200"/>
      <c r="Z16" s="200"/>
      <c r="AA16" s="201"/>
      <c r="AB16" s="201"/>
    </row>
    <row r="17" spans="1:28" ht="24" customHeight="1" x14ac:dyDescent="0.25">
      <c r="A17" s="200"/>
      <c r="B17" s="293"/>
      <c r="C17" s="293"/>
      <c r="D17" s="244">
        <v>0.625</v>
      </c>
      <c r="E17" s="245">
        <v>0.64930555555555558</v>
      </c>
      <c r="F17" s="245">
        <v>0.68819444444444444</v>
      </c>
      <c r="G17" s="265">
        <f t="shared" ref="G17:G19" si="6">F17-D17</f>
        <v>6.3194444444444442E-2</v>
      </c>
      <c r="H17" s="250">
        <v>119</v>
      </c>
      <c r="I17" s="251">
        <v>1</v>
      </c>
      <c r="J17" s="244">
        <v>0.65277777777777779</v>
      </c>
      <c r="K17" s="245">
        <v>0.67638888888888893</v>
      </c>
      <c r="L17" s="245">
        <v>0.72152777777777777</v>
      </c>
      <c r="M17" s="265">
        <f t="shared" ref="M17:M19" si="7">L17-J17</f>
        <v>6.8749999999999978E-2</v>
      </c>
      <c r="N17" s="250">
        <v>119</v>
      </c>
      <c r="O17" s="251">
        <v>2</v>
      </c>
      <c r="P17" s="200"/>
      <c r="Q17" s="200"/>
      <c r="R17" s="201"/>
      <c r="S17" s="201"/>
      <c r="T17" s="200"/>
      <c r="U17" s="200"/>
      <c r="V17" s="200"/>
      <c r="W17" s="200"/>
      <c r="X17" s="200"/>
      <c r="Y17" s="200"/>
      <c r="Z17" s="200"/>
      <c r="AA17" s="201"/>
      <c r="AB17" s="201"/>
    </row>
    <row r="18" spans="1:28" ht="24" customHeight="1" x14ac:dyDescent="0.25">
      <c r="A18" s="200"/>
      <c r="B18" s="293"/>
      <c r="C18" s="293"/>
      <c r="D18" s="239">
        <v>0.69791666666666663</v>
      </c>
      <c r="E18" s="240">
        <v>0.71666666666666667</v>
      </c>
      <c r="F18" s="240">
        <v>0.75208333333333333</v>
      </c>
      <c r="G18" s="241">
        <f t="shared" si="6"/>
        <v>5.4166666666666696E-2</v>
      </c>
      <c r="H18" s="242">
        <v>119</v>
      </c>
      <c r="I18" s="252">
        <v>1</v>
      </c>
      <c r="J18" s="239">
        <v>0.73263888888888884</v>
      </c>
      <c r="K18" s="240">
        <v>0.75763888888888886</v>
      </c>
      <c r="L18" s="240">
        <v>0.78680555555555554</v>
      </c>
      <c r="M18" s="241">
        <f t="shared" si="7"/>
        <v>5.4166666666666696E-2</v>
      </c>
      <c r="N18" s="242">
        <v>119</v>
      </c>
      <c r="O18" s="252">
        <v>2</v>
      </c>
      <c r="P18" s="200"/>
      <c r="Q18" s="200"/>
      <c r="R18" s="201"/>
      <c r="S18" s="201"/>
      <c r="T18" s="200"/>
      <c r="U18" s="200"/>
      <c r="V18" s="200"/>
      <c r="W18" s="200"/>
      <c r="X18" s="200"/>
      <c r="Y18" s="200"/>
      <c r="Z18" s="200"/>
      <c r="AA18" s="201"/>
      <c r="AB18" s="201"/>
    </row>
    <row r="19" spans="1:28" ht="24" customHeight="1" thickBot="1" x14ac:dyDescent="0.3">
      <c r="A19" s="200"/>
      <c r="B19" s="293"/>
      <c r="C19" s="293"/>
      <c r="D19" s="239">
        <v>0.76388888888888884</v>
      </c>
      <c r="E19" s="240">
        <v>0.78680555555555554</v>
      </c>
      <c r="F19" s="240">
        <v>0.82152777777777775</v>
      </c>
      <c r="G19" s="241">
        <f t="shared" si="6"/>
        <v>5.7638888888888906E-2</v>
      </c>
      <c r="H19" s="242">
        <v>119</v>
      </c>
      <c r="I19" s="252">
        <v>1</v>
      </c>
      <c r="J19" s="239">
        <v>0.79861111111111116</v>
      </c>
      <c r="K19" s="240">
        <v>0.82013888888888886</v>
      </c>
      <c r="L19" s="240">
        <v>0.8520833333333333</v>
      </c>
      <c r="M19" s="241">
        <f t="shared" si="7"/>
        <v>5.3472222222222143E-2</v>
      </c>
      <c r="N19" s="242">
        <v>119</v>
      </c>
      <c r="O19" s="252">
        <v>2</v>
      </c>
      <c r="P19" s="200"/>
      <c r="Q19" s="200"/>
      <c r="R19" s="201"/>
      <c r="S19" s="201"/>
      <c r="T19" s="200"/>
      <c r="U19" s="200"/>
      <c r="V19" s="200"/>
      <c r="W19" s="200"/>
      <c r="X19" s="200"/>
      <c r="Y19" s="200"/>
      <c r="Z19" s="200"/>
      <c r="AA19" s="201"/>
      <c r="AB19" s="201"/>
    </row>
    <row r="20" spans="1:28" ht="24" customHeight="1" thickBot="1" x14ac:dyDescent="0.3">
      <c r="A20" s="200"/>
      <c r="B20" s="293"/>
      <c r="C20" s="293"/>
      <c r="D20" s="283">
        <f>IF(F19="",E19,F19)</f>
        <v>0.82152777777777775</v>
      </c>
      <c r="E20" s="284"/>
      <c r="F20" s="283">
        <f>IF(D21="",E21,D21)</f>
        <v>0.86805555555555558</v>
      </c>
      <c r="G20" s="284"/>
      <c r="H20" s="285">
        <f>F20-D20</f>
        <v>4.6527777777777835E-2</v>
      </c>
      <c r="I20" s="284"/>
      <c r="J20" s="283">
        <f>IF(L19="",K19,L19)</f>
        <v>0.8520833333333333</v>
      </c>
      <c r="K20" s="284"/>
      <c r="L20" s="283">
        <f>IF(J21="",K21,J21)</f>
        <v>0.91666666666666663</v>
      </c>
      <c r="M20" s="284"/>
      <c r="N20" s="285">
        <f>L20-J20</f>
        <v>6.4583333333333326E-2</v>
      </c>
      <c r="O20" s="284"/>
      <c r="P20" s="200"/>
      <c r="Q20" s="200"/>
      <c r="R20" s="201"/>
      <c r="S20" s="201"/>
      <c r="T20" s="200"/>
      <c r="U20" s="200"/>
      <c r="V20" s="200"/>
      <c r="W20" s="200"/>
      <c r="X20" s="200"/>
      <c r="Y20" s="200"/>
      <c r="Z20" s="200"/>
      <c r="AA20" s="201"/>
      <c r="AB20" s="201"/>
    </row>
    <row r="21" spans="1:28" ht="24" customHeight="1" thickBot="1" x14ac:dyDescent="0.3">
      <c r="A21" s="200"/>
      <c r="B21" s="293"/>
      <c r="C21" s="293"/>
      <c r="D21" s="239">
        <v>0.86805555555555558</v>
      </c>
      <c r="E21" s="240">
        <v>0.88888888888888884</v>
      </c>
      <c r="F21" s="240">
        <v>0.91597222222222219</v>
      </c>
      <c r="G21" s="241">
        <f>F21-D21</f>
        <v>4.7916666666666607E-2</v>
      </c>
      <c r="H21" s="242">
        <v>119</v>
      </c>
      <c r="I21" s="252">
        <v>1</v>
      </c>
      <c r="J21" s="239">
        <v>0.91666666666666663</v>
      </c>
      <c r="K21" s="240">
        <v>0.93333333333333335</v>
      </c>
      <c r="L21" s="240">
        <v>0.95972222222222225</v>
      </c>
      <c r="M21" s="241">
        <f>L21-J21</f>
        <v>4.3055555555555625E-2</v>
      </c>
      <c r="N21" s="242">
        <v>119</v>
      </c>
      <c r="O21" s="252">
        <v>2</v>
      </c>
      <c r="P21" s="200"/>
      <c r="Q21" s="200"/>
      <c r="R21" s="201"/>
      <c r="S21" s="201"/>
      <c r="T21" s="200"/>
      <c r="U21" s="200"/>
      <c r="V21" s="200"/>
      <c r="W21" s="200"/>
      <c r="X21" s="200"/>
      <c r="Y21" s="200"/>
      <c r="Z21" s="200"/>
      <c r="AA21" s="201"/>
      <c r="AB21" s="201"/>
    </row>
    <row r="22" spans="1:28" ht="24" customHeight="1" thickBot="1" x14ac:dyDescent="0.3">
      <c r="A22" s="200"/>
      <c r="B22" s="293"/>
      <c r="C22" s="290"/>
      <c r="D22" s="334" t="s">
        <v>100</v>
      </c>
      <c r="E22" s="287"/>
      <c r="F22" s="287"/>
      <c r="G22" s="287"/>
      <c r="H22" s="287"/>
      <c r="I22" s="284"/>
      <c r="J22" s="334" t="s">
        <v>100</v>
      </c>
      <c r="K22" s="287"/>
      <c r="L22" s="287"/>
      <c r="M22" s="287"/>
      <c r="N22" s="287"/>
      <c r="O22" s="284"/>
      <c r="P22" s="246"/>
      <c r="Q22" s="246"/>
      <c r="R22" s="201"/>
      <c r="S22" s="201"/>
      <c r="T22" s="200"/>
      <c r="U22" s="200"/>
      <c r="V22" s="200"/>
      <c r="W22" s="200"/>
      <c r="X22" s="200"/>
      <c r="Y22" s="200"/>
      <c r="Z22" s="200"/>
      <c r="AA22" s="201"/>
      <c r="AB22" s="201"/>
    </row>
    <row r="23" spans="1:28" ht="24" customHeight="1" thickBot="1" x14ac:dyDescent="0.3">
      <c r="A23" s="200"/>
      <c r="B23" s="290"/>
      <c r="C23" s="247" t="s">
        <v>17</v>
      </c>
      <c r="D23" s="288">
        <f>MAX(E17:F21)-IF(D17="",E17,D17)-MIN(H17:H21)+$C14</f>
        <v>0.25833333333333325</v>
      </c>
      <c r="E23" s="287"/>
      <c r="F23" s="287"/>
      <c r="G23" s="284"/>
      <c r="H23" s="281">
        <f ca="1">OFFSET(H16,MATCH(MIN(H17:H21),H17:H21,0),-4)-IF(D17="",E17,D17)</f>
        <v>0.19652777777777775</v>
      </c>
      <c r="I23" s="282"/>
      <c r="J23" s="288">
        <f>MAX(K17:L21)-IF(J17="",K17,J17)-MIN(N17:N21)+$C14</f>
        <v>0.25625000000000003</v>
      </c>
      <c r="K23" s="287"/>
      <c r="L23" s="287"/>
      <c r="M23" s="284"/>
      <c r="N23" s="281">
        <f ca="1">OFFSET(N16,MATCH(MIN(N17:N21),N17:N21,0),-4)-IF(J17="",K17,J17)</f>
        <v>0.19930555555555551</v>
      </c>
      <c r="O23" s="282"/>
      <c r="P23" s="200"/>
      <c r="Q23" s="200"/>
      <c r="R23" s="201"/>
      <c r="S23" s="201"/>
      <c r="T23" s="200"/>
      <c r="U23" s="200"/>
      <c r="V23" s="200"/>
      <c r="W23" s="200"/>
      <c r="X23" s="200"/>
      <c r="Y23" s="200"/>
      <c r="Z23" s="200"/>
      <c r="AA23" s="201"/>
      <c r="AB23" s="201"/>
    </row>
    <row r="24" spans="1:28" ht="24" customHeight="1" x14ac:dyDescent="0.25">
      <c r="A24" s="200"/>
      <c r="T24" s="200"/>
      <c r="U24" s="200"/>
      <c r="V24" s="200"/>
      <c r="W24" s="200"/>
      <c r="X24" s="200"/>
      <c r="Y24" s="200"/>
      <c r="Z24" s="200"/>
      <c r="AA24" s="201"/>
      <c r="AB24" s="201"/>
    </row>
    <row r="25" spans="1:28" ht="24" customHeight="1" x14ac:dyDescent="0.25">
      <c r="A25" s="200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0"/>
      <c r="U25" s="200"/>
      <c r="V25" s="200"/>
      <c r="W25" s="200"/>
      <c r="X25" s="200"/>
      <c r="Y25" s="200"/>
      <c r="Z25" s="200"/>
      <c r="AA25" s="201"/>
      <c r="AB25" s="201"/>
    </row>
    <row r="26" spans="1:28" ht="24" customHeight="1" x14ac:dyDescent="0.25">
      <c r="A26" s="200"/>
      <c r="B26" s="200"/>
      <c r="C26" s="200"/>
      <c r="D26" s="200"/>
      <c r="E26" s="201"/>
      <c r="F26" s="201"/>
      <c r="G26" s="201"/>
      <c r="H26" s="201"/>
      <c r="I26" s="201"/>
      <c r="J26" s="201"/>
      <c r="K26" s="201"/>
      <c r="L26" s="201"/>
      <c r="M26" s="200"/>
      <c r="N26" s="200"/>
      <c r="O26" s="200"/>
      <c r="P26" s="200"/>
      <c r="Q26" s="235"/>
      <c r="R26" s="200"/>
      <c r="S26" s="200"/>
      <c r="T26" s="200"/>
      <c r="U26" s="200"/>
      <c r="V26" s="200"/>
      <c r="W26" s="200"/>
      <c r="X26" s="200"/>
      <c r="Y26" s="200"/>
      <c r="Z26" s="200"/>
      <c r="AA26" s="201"/>
      <c r="AB26" s="201"/>
    </row>
    <row r="27" spans="1:28" ht="24" customHeight="1" x14ac:dyDescent="0.25">
      <c r="A27" s="200"/>
      <c r="B27" s="200"/>
      <c r="C27" s="200"/>
      <c r="D27" s="200"/>
      <c r="E27" s="201"/>
      <c r="F27" s="201"/>
      <c r="G27" s="201"/>
      <c r="H27" s="201"/>
      <c r="I27" s="201"/>
      <c r="J27" s="201"/>
      <c r="K27" s="201"/>
      <c r="L27" s="201"/>
      <c r="M27" s="200"/>
      <c r="N27" s="200"/>
      <c r="O27" s="200"/>
      <c r="P27" s="235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1"/>
      <c r="AB27" s="201"/>
    </row>
    <row r="28" spans="1:28" ht="24" customHeight="1" x14ac:dyDescent="0.25">
      <c r="A28" s="200"/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200"/>
      <c r="N28" s="200"/>
      <c r="O28" s="200"/>
      <c r="P28" s="235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1"/>
      <c r="AB28" s="201"/>
    </row>
    <row r="29" spans="1:28" ht="24" customHeight="1" x14ac:dyDescent="0.25">
      <c r="A29" s="200"/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200"/>
      <c r="N29" s="200"/>
      <c r="O29" s="200"/>
      <c r="P29" s="235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1"/>
      <c r="AB29" s="201"/>
    </row>
    <row r="30" spans="1:28" ht="24" customHeight="1" x14ac:dyDescent="0.25">
      <c r="A30" s="200"/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200"/>
      <c r="N30" s="200"/>
      <c r="O30" s="200"/>
      <c r="P30" s="235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1"/>
      <c r="AB30" s="201"/>
    </row>
    <row r="31" spans="1:28" ht="24" customHeight="1" x14ac:dyDescent="0.25">
      <c r="A31" s="200"/>
      <c r="B31" s="200"/>
      <c r="C31" s="200"/>
      <c r="D31" s="200"/>
      <c r="E31" s="200"/>
      <c r="F31" s="200"/>
      <c r="G31" s="200"/>
      <c r="H31" s="201"/>
      <c r="I31" s="201"/>
      <c r="J31" s="201"/>
      <c r="K31" s="201"/>
      <c r="L31" s="201"/>
      <c r="M31" s="200"/>
      <c r="N31" s="200"/>
      <c r="O31" s="200"/>
      <c r="P31" s="235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1"/>
      <c r="AB31" s="201"/>
    </row>
    <row r="32" spans="1:28" ht="24" customHeight="1" x14ac:dyDescent="0.25">
      <c r="A32" s="200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35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1"/>
      <c r="AB32" s="201"/>
    </row>
    <row r="33" spans="1:28" ht="24" customHeight="1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35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1"/>
      <c r="AB33" s="201"/>
    </row>
    <row r="34" spans="1:28" ht="24" customHeight="1" x14ac:dyDescent="0.25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35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1"/>
      <c r="AB34" s="201"/>
    </row>
    <row r="35" spans="1:28" ht="24" customHeight="1" x14ac:dyDescent="0.25">
      <c r="A35" s="200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35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1"/>
      <c r="AB35" s="201"/>
    </row>
    <row r="36" spans="1:28" ht="24" customHeight="1" x14ac:dyDescent="0.25">
      <c r="A36" s="20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35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1"/>
      <c r="AB36" s="201"/>
    </row>
    <row r="37" spans="1:28" ht="24" customHeight="1" x14ac:dyDescent="0.25">
      <c r="A37" s="200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35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1"/>
      <c r="AB37" s="201"/>
    </row>
    <row r="38" spans="1:28" ht="24" customHeight="1" x14ac:dyDescent="0.25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35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1"/>
      <c r="AB38" s="201"/>
    </row>
    <row r="39" spans="1:28" ht="24" customHeight="1" x14ac:dyDescent="0.25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35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1"/>
      <c r="AB39" s="201"/>
    </row>
    <row r="40" spans="1:28" ht="24" customHeight="1" x14ac:dyDescent="0.25">
      <c r="A40" s="200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35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1"/>
      <c r="AB40" s="201"/>
    </row>
    <row r="41" spans="1:28" ht="24" customHeight="1" x14ac:dyDescent="0.25">
      <c r="A41" s="200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35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1"/>
      <c r="AB41" s="201"/>
    </row>
    <row r="42" spans="1:28" ht="24" customHeight="1" x14ac:dyDescent="0.25">
      <c r="A42" s="200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35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1"/>
      <c r="AB42" s="201"/>
    </row>
    <row r="43" spans="1:28" ht="24" customHeight="1" x14ac:dyDescent="0.25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35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1"/>
      <c r="AB43" s="201"/>
    </row>
    <row r="44" spans="1:28" ht="24" customHeight="1" x14ac:dyDescent="0.25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35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1"/>
      <c r="AB44" s="201"/>
    </row>
    <row r="45" spans="1:28" ht="24" customHeight="1" x14ac:dyDescent="0.25">
      <c r="A45" s="200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35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1"/>
      <c r="AB45" s="201"/>
    </row>
    <row r="46" spans="1:28" ht="24" customHeight="1" x14ac:dyDescent="0.25">
      <c r="A46" s="200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35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1"/>
      <c r="AB46" s="201"/>
    </row>
    <row r="47" spans="1:28" ht="24" customHeight="1" x14ac:dyDescent="0.25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35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1"/>
      <c r="AB47" s="201"/>
    </row>
    <row r="48" spans="1:28" ht="24" customHeight="1" x14ac:dyDescent="0.25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35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1"/>
      <c r="AB48" s="201"/>
    </row>
    <row r="49" spans="1:28" ht="24" customHeight="1" x14ac:dyDescent="0.25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35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1"/>
      <c r="AB49" s="201"/>
    </row>
    <row r="50" spans="1:28" ht="24" customHeight="1" x14ac:dyDescent="0.25">
      <c r="A50" s="200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35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1"/>
      <c r="AB50" s="201"/>
    </row>
    <row r="51" spans="1:28" ht="24" customHeight="1" x14ac:dyDescent="0.25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35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1"/>
      <c r="AB51" s="201"/>
    </row>
    <row r="52" spans="1:28" ht="24" customHeight="1" x14ac:dyDescent="0.25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35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1"/>
      <c r="AB52" s="201"/>
    </row>
    <row r="53" spans="1:28" ht="24" customHeight="1" x14ac:dyDescent="0.25">
      <c r="A53" s="200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35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1"/>
      <c r="AB53" s="201"/>
    </row>
    <row r="54" spans="1:28" ht="24" customHeight="1" x14ac:dyDescent="0.25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35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1"/>
      <c r="AB54" s="201"/>
    </row>
    <row r="55" spans="1:28" ht="24" customHeight="1" x14ac:dyDescent="0.25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35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  <c r="AB55" s="201"/>
    </row>
    <row r="56" spans="1:28" ht="24" customHeight="1" x14ac:dyDescent="0.25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35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  <c r="AB56" s="201"/>
    </row>
    <row r="57" spans="1:28" ht="24" customHeight="1" x14ac:dyDescent="0.25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35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  <c r="AB57" s="201"/>
    </row>
    <row r="58" spans="1:28" ht="24" customHeight="1" x14ac:dyDescent="0.25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35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  <c r="AB58" s="201"/>
    </row>
    <row r="59" spans="1:28" ht="24" customHeight="1" x14ac:dyDescent="0.25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35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  <c r="AB59" s="201"/>
    </row>
    <row r="60" spans="1:28" ht="24" customHeight="1" x14ac:dyDescent="0.25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35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1"/>
      <c r="AB60" s="201"/>
    </row>
    <row r="61" spans="1:28" ht="24" customHeight="1" x14ac:dyDescent="0.25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35"/>
      <c r="Q61" s="200"/>
      <c r="R61" s="200"/>
      <c r="S61" s="200"/>
      <c r="T61" s="200"/>
      <c r="U61" s="200"/>
      <c r="V61" s="200"/>
      <c r="W61" s="200"/>
      <c r="X61" s="200"/>
      <c r="Y61" s="200"/>
      <c r="Z61" s="200"/>
      <c r="AA61" s="201"/>
      <c r="AB61" s="201"/>
    </row>
    <row r="62" spans="1:28" ht="24" customHeight="1" x14ac:dyDescent="0.25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35"/>
      <c r="Q62" s="200"/>
      <c r="R62" s="200"/>
      <c r="S62" s="200"/>
      <c r="T62" s="200"/>
      <c r="U62" s="200"/>
      <c r="V62" s="200"/>
      <c r="W62" s="200"/>
      <c r="X62" s="200"/>
      <c r="Y62" s="200"/>
      <c r="Z62" s="200"/>
      <c r="AA62" s="201"/>
      <c r="AB62" s="201"/>
    </row>
    <row r="63" spans="1:28" ht="24" customHeight="1" x14ac:dyDescent="0.25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35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1"/>
      <c r="AB63" s="201"/>
    </row>
    <row r="64" spans="1:28" ht="24" customHeight="1" x14ac:dyDescent="0.25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35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  <c r="AB64" s="201"/>
    </row>
    <row r="65" spans="1:28" ht="24" customHeight="1" x14ac:dyDescent="0.25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35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  <c r="AB65" s="201"/>
    </row>
    <row r="66" spans="1:28" ht="24" customHeight="1" x14ac:dyDescent="0.25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35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1"/>
      <c r="AB66" s="201"/>
    </row>
    <row r="67" spans="1:28" ht="24" customHeight="1" x14ac:dyDescent="0.25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35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1"/>
      <c r="AB67" s="201"/>
    </row>
    <row r="68" spans="1:28" ht="24" customHeight="1" x14ac:dyDescent="0.25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35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1"/>
      <c r="AB68" s="201"/>
    </row>
    <row r="69" spans="1:28" ht="24" customHeight="1" x14ac:dyDescent="0.25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35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  <c r="AB69" s="201"/>
    </row>
    <row r="70" spans="1:28" ht="24" customHeight="1" x14ac:dyDescent="0.25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35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1"/>
      <c r="AB70" s="201"/>
    </row>
    <row r="71" spans="1:28" ht="24" customHeight="1" x14ac:dyDescent="0.25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35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1"/>
      <c r="AB71" s="201"/>
    </row>
    <row r="72" spans="1:28" ht="24" customHeight="1" x14ac:dyDescent="0.25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35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1"/>
      <c r="AB72" s="201"/>
    </row>
    <row r="73" spans="1:28" ht="24" customHeight="1" x14ac:dyDescent="0.25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35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1"/>
      <c r="AB73" s="201"/>
    </row>
    <row r="74" spans="1:28" ht="24" customHeight="1" x14ac:dyDescent="0.25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35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1"/>
      <c r="AB74" s="201"/>
    </row>
    <row r="75" spans="1:28" ht="24" customHeight="1" x14ac:dyDescent="0.25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35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1"/>
      <c r="AB75" s="201"/>
    </row>
    <row r="76" spans="1:28" ht="24" customHeight="1" x14ac:dyDescent="0.25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35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1"/>
      <c r="AB76" s="201"/>
    </row>
    <row r="77" spans="1:28" ht="24" customHeight="1" x14ac:dyDescent="0.25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35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1"/>
      <c r="AB77" s="201"/>
    </row>
    <row r="78" spans="1:28" ht="24" customHeight="1" x14ac:dyDescent="0.25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35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1"/>
      <c r="AB78" s="201"/>
    </row>
    <row r="79" spans="1:28" ht="24" customHeight="1" x14ac:dyDescent="0.25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35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1"/>
      <c r="AB79" s="201"/>
    </row>
    <row r="80" spans="1:28" ht="24" customHeight="1" x14ac:dyDescent="0.25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35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1"/>
      <c r="AB80" s="201"/>
    </row>
    <row r="81" spans="1:28" ht="24" customHeight="1" x14ac:dyDescent="0.25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35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1"/>
      <c r="AB81" s="201"/>
    </row>
    <row r="82" spans="1:28" ht="24" customHeight="1" x14ac:dyDescent="0.25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35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1"/>
      <c r="AB82" s="201"/>
    </row>
    <row r="83" spans="1:28" ht="24" customHeight="1" x14ac:dyDescent="0.25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35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1"/>
      <c r="AB83" s="201"/>
    </row>
    <row r="84" spans="1:28" ht="24" customHeight="1" x14ac:dyDescent="0.25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35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1"/>
      <c r="AB84" s="201"/>
    </row>
    <row r="85" spans="1:28" ht="24" customHeight="1" x14ac:dyDescent="0.25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35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1"/>
      <c r="AB85" s="201"/>
    </row>
    <row r="86" spans="1:28" ht="24" customHeight="1" x14ac:dyDescent="0.25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35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1"/>
      <c r="AB86" s="201"/>
    </row>
    <row r="87" spans="1:28" ht="24" customHeight="1" x14ac:dyDescent="0.25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35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1"/>
      <c r="AB87" s="201"/>
    </row>
    <row r="88" spans="1:28" ht="24" customHeight="1" x14ac:dyDescent="0.25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35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1"/>
      <c r="AB88" s="201"/>
    </row>
    <row r="89" spans="1:28" ht="24" customHeight="1" x14ac:dyDescent="0.25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35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1"/>
      <c r="AB89" s="201"/>
    </row>
    <row r="90" spans="1:28" ht="24" customHeight="1" x14ac:dyDescent="0.25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35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1"/>
      <c r="AB90" s="201"/>
    </row>
    <row r="91" spans="1:28" ht="24" customHeight="1" x14ac:dyDescent="0.25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35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1"/>
      <c r="AB91" s="201"/>
    </row>
    <row r="92" spans="1:28" ht="24" customHeight="1" x14ac:dyDescent="0.25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35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1"/>
      <c r="AB92" s="201"/>
    </row>
    <row r="93" spans="1:28" ht="24" customHeight="1" x14ac:dyDescent="0.25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35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1"/>
      <c r="AB93" s="201"/>
    </row>
    <row r="94" spans="1:28" ht="24" customHeight="1" x14ac:dyDescent="0.25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35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1"/>
      <c r="AB94" s="201"/>
    </row>
    <row r="95" spans="1:28" ht="24" customHeight="1" x14ac:dyDescent="0.25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35"/>
      <c r="Q95" s="200"/>
      <c r="R95" s="200"/>
      <c r="S95" s="200"/>
      <c r="T95" s="200"/>
      <c r="U95" s="200"/>
      <c r="V95" s="200"/>
      <c r="W95" s="200"/>
      <c r="X95" s="200"/>
      <c r="Y95" s="200"/>
      <c r="Z95" s="200"/>
      <c r="AA95" s="201"/>
      <c r="AB95" s="201"/>
    </row>
    <row r="96" spans="1:28" ht="24" customHeight="1" x14ac:dyDescent="0.25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35"/>
      <c r="Q96" s="200"/>
      <c r="R96" s="200"/>
      <c r="S96" s="200"/>
      <c r="T96" s="200"/>
      <c r="U96" s="200"/>
      <c r="V96" s="200"/>
      <c r="W96" s="200"/>
      <c r="X96" s="200"/>
      <c r="Y96" s="200"/>
      <c r="Z96" s="200"/>
      <c r="AA96" s="201"/>
      <c r="AB96" s="201"/>
    </row>
    <row r="97" spans="1:28" ht="24" customHeight="1" x14ac:dyDescent="0.25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35"/>
      <c r="Q97" s="200"/>
      <c r="R97" s="200"/>
      <c r="S97" s="200"/>
      <c r="T97" s="200"/>
      <c r="U97" s="200"/>
      <c r="V97" s="200"/>
      <c r="W97" s="200"/>
      <c r="X97" s="200"/>
      <c r="Y97" s="200"/>
      <c r="Z97" s="200"/>
      <c r="AA97" s="201"/>
      <c r="AB97" s="201"/>
    </row>
    <row r="98" spans="1:28" ht="24" customHeight="1" x14ac:dyDescent="0.25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35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1"/>
      <c r="AB98" s="201"/>
    </row>
    <row r="99" spans="1:28" ht="24" customHeight="1" x14ac:dyDescent="0.25">
      <c r="A99" s="200"/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35"/>
      <c r="Q99" s="200"/>
      <c r="R99" s="200"/>
      <c r="S99" s="200"/>
      <c r="T99" s="200"/>
      <c r="U99" s="200"/>
      <c r="V99" s="200"/>
      <c r="W99" s="200"/>
      <c r="X99" s="200"/>
      <c r="Y99" s="200"/>
      <c r="Z99" s="200"/>
      <c r="AA99" s="201"/>
      <c r="AB99" s="201"/>
    </row>
    <row r="100" spans="1:28" ht="24" customHeight="1" x14ac:dyDescent="0.25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35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1"/>
      <c r="AB100" s="201"/>
    </row>
    <row r="101" spans="1:28" ht="24" customHeight="1" x14ac:dyDescent="0.25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35"/>
      <c r="Q101" s="200"/>
      <c r="R101" s="200"/>
      <c r="S101" s="200"/>
      <c r="T101" s="200"/>
      <c r="U101" s="200"/>
      <c r="V101" s="200"/>
      <c r="W101" s="200"/>
      <c r="X101" s="200"/>
      <c r="Y101" s="200"/>
      <c r="Z101" s="200"/>
      <c r="AA101" s="201"/>
      <c r="AB101" s="201"/>
    </row>
    <row r="102" spans="1:28" ht="24" customHeight="1" x14ac:dyDescent="0.25">
      <c r="A102" s="200"/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35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1"/>
      <c r="AB102" s="201"/>
    </row>
    <row r="103" spans="1:28" ht="24" customHeight="1" x14ac:dyDescent="0.25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35"/>
      <c r="Q103" s="200"/>
      <c r="R103" s="200"/>
      <c r="S103" s="200"/>
      <c r="T103" s="200"/>
      <c r="U103" s="200"/>
      <c r="V103" s="200"/>
      <c r="W103" s="200"/>
      <c r="X103" s="200"/>
      <c r="Y103" s="200"/>
      <c r="Z103" s="200"/>
      <c r="AA103" s="201"/>
      <c r="AB103" s="201"/>
    </row>
    <row r="104" spans="1:28" ht="24" customHeight="1" x14ac:dyDescent="0.25">
      <c r="A104" s="200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35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1"/>
      <c r="AB104" s="201"/>
    </row>
    <row r="105" spans="1:28" ht="24" customHeight="1" x14ac:dyDescent="0.25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35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1"/>
      <c r="AB105" s="201"/>
    </row>
    <row r="106" spans="1:28" ht="24" customHeight="1" x14ac:dyDescent="0.25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35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1"/>
      <c r="AB106" s="201"/>
    </row>
    <row r="107" spans="1:28" ht="24" customHeight="1" x14ac:dyDescent="0.25">
      <c r="A107" s="200"/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35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1"/>
      <c r="AB107" s="201"/>
    </row>
    <row r="108" spans="1:28" ht="24" customHeight="1" x14ac:dyDescent="0.25">
      <c r="A108" s="200"/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35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1"/>
      <c r="AB108" s="201"/>
    </row>
    <row r="109" spans="1:28" ht="24" customHeight="1" x14ac:dyDescent="0.25">
      <c r="A109" s="200"/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35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1"/>
      <c r="AB109" s="201"/>
    </row>
    <row r="110" spans="1:28" ht="24" customHeight="1" x14ac:dyDescent="0.25">
      <c r="A110" s="200"/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35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1"/>
      <c r="AB110" s="201"/>
    </row>
    <row r="111" spans="1:28" ht="24" customHeight="1" x14ac:dyDescent="0.25">
      <c r="A111" s="200"/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35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1"/>
      <c r="AB111" s="201"/>
    </row>
    <row r="112" spans="1:28" ht="24" customHeight="1" x14ac:dyDescent="0.25">
      <c r="A112" s="200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35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1"/>
      <c r="AB112" s="201"/>
    </row>
    <row r="113" spans="1:28" ht="24" customHeight="1" x14ac:dyDescent="0.25">
      <c r="A113" s="200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35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1"/>
      <c r="AB113" s="201"/>
    </row>
    <row r="114" spans="1:28" ht="24" customHeight="1" x14ac:dyDescent="0.25">
      <c r="A114" s="200"/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35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1"/>
      <c r="AB114" s="201"/>
    </row>
    <row r="115" spans="1:28" ht="24" customHeight="1" x14ac:dyDescent="0.25">
      <c r="A115" s="200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35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1"/>
      <c r="AB115" s="201"/>
    </row>
    <row r="116" spans="1:28" ht="24" customHeight="1" x14ac:dyDescent="0.25">
      <c r="A116" s="200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35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1"/>
      <c r="AB116" s="201"/>
    </row>
    <row r="117" spans="1:28" ht="24" customHeight="1" x14ac:dyDescent="0.25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35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1"/>
      <c r="AB117" s="201"/>
    </row>
    <row r="118" spans="1:28" ht="24" customHeight="1" x14ac:dyDescent="0.25">
      <c r="A118" s="200"/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35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1"/>
      <c r="AB118" s="201"/>
    </row>
    <row r="119" spans="1:28" ht="24" customHeight="1" x14ac:dyDescent="0.25">
      <c r="A119" s="200"/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35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1"/>
      <c r="AB119" s="201"/>
    </row>
    <row r="120" spans="1:28" ht="24" customHeight="1" x14ac:dyDescent="0.25">
      <c r="A120" s="200"/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35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1"/>
      <c r="AB120" s="201"/>
    </row>
    <row r="121" spans="1:28" ht="24" customHeight="1" x14ac:dyDescent="0.25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35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1"/>
      <c r="AB121" s="201"/>
    </row>
    <row r="122" spans="1:28" ht="24" customHeight="1" x14ac:dyDescent="0.25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35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1"/>
      <c r="AB122" s="201"/>
    </row>
    <row r="123" spans="1:28" ht="24" customHeight="1" x14ac:dyDescent="0.25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35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1"/>
      <c r="AB123" s="201"/>
    </row>
    <row r="124" spans="1:28" ht="24" customHeight="1" x14ac:dyDescent="0.25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35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1"/>
      <c r="AB124" s="201"/>
    </row>
    <row r="125" spans="1:28" ht="24" customHeight="1" x14ac:dyDescent="0.25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35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1"/>
      <c r="AB125" s="201"/>
    </row>
    <row r="126" spans="1:28" ht="24" customHeight="1" x14ac:dyDescent="0.25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35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1"/>
      <c r="AB126" s="201"/>
    </row>
    <row r="127" spans="1:28" ht="24" customHeight="1" x14ac:dyDescent="0.25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35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1"/>
      <c r="AB127" s="201"/>
    </row>
    <row r="128" spans="1:28" ht="24" customHeight="1" x14ac:dyDescent="0.25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35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1"/>
      <c r="AB128" s="201"/>
    </row>
    <row r="129" spans="1:28" ht="24" customHeight="1" x14ac:dyDescent="0.25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35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1"/>
      <c r="AB129" s="201"/>
    </row>
    <row r="130" spans="1:28" ht="24" customHeight="1" x14ac:dyDescent="0.25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35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1"/>
      <c r="AB130" s="201"/>
    </row>
    <row r="131" spans="1:28" ht="24" customHeight="1" x14ac:dyDescent="0.25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35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1"/>
      <c r="AB131" s="201"/>
    </row>
    <row r="132" spans="1:28" ht="24" customHeight="1" x14ac:dyDescent="0.25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35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1"/>
      <c r="AB132" s="201"/>
    </row>
    <row r="133" spans="1:28" ht="24" customHeight="1" x14ac:dyDescent="0.25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35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1"/>
      <c r="AB133" s="201"/>
    </row>
    <row r="134" spans="1:28" ht="24" customHeight="1" x14ac:dyDescent="0.25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35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1"/>
      <c r="AB134" s="201"/>
    </row>
    <row r="135" spans="1:28" ht="24" customHeight="1" x14ac:dyDescent="0.25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35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1"/>
      <c r="AB135" s="201"/>
    </row>
    <row r="136" spans="1:28" ht="24" customHeight="1" x14ac:dyDescent="0.25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35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1"/>
      <c r="AB136" s="201"/>
    </row>
    <row r="137" spans="1:28" ht="24" customHeight="1" x14ac:dyDescent="0.25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35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1"/>
      <c r="AB137" s="201"/>
    </row>
    <row r="138" spans="1:28" ht="24" customHeight="1" x14ac:dyDescent="0.25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35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1"/>
      <c r="AB138" s="201"/>
    </row>
    <row r="139" spans="1:28" ht="24" customHeight="1" x14ac:dyDescent="0.25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35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1"/>
      <c r="AB139" s="201"/>
    </row>
    <row r="140" spans="1:28" ht="24" customHeight="1" x14ac:dyDescent="0.25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35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1"/>
      <c r="AB140" s="201"/>
    </row>
    <row r="141" spans="1:28" ht="24" customHeight="1" x14ac:dyDescent="0.25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35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1"/>
      <c r="AB141" s="201"/>
    </row>
    <row r="142" spans="1:28" ht="24" customHeight="1" x14ac:dyDescent="0.25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35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1"/>
      <c r="AB142" s="201"/>
    </row>
    <row r="143" spans="1:28" ht="24" customHeight="1" x14ac:dyDescent="0.25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35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1"/>
      <c r="AB143" s="201"/>
    </row>
    <row r="144" spans="1:28" ht="24" customHeight="1" x14ac:dyDescent="0.25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35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1"/>
      <c r="AB144" s="201"/>
    </row>
    <row r="145" spans="1:28" ht="24" customHeight="1" x14ac:dyDescent="0.25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35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1"/>
      <c r="AB145" s="201"/>
    </row>
    <row r="146" spans="1:28" ht="24" customHeight="1" x14ac:dyDescent="0.25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35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1"/>
      <c r="AB146" s="201"/>
    </row>
    <row r="147" spans="1:28" ht="24" customHeight="1" x14ac:dyDescent="0.25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35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1"/>
      <c r="AB147" s="201"/>
    </row>
    <row r="148" spans="1:28" ht="24" customHeight="1" x14ac:dyDescent="0.25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35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1"/>
      <c r="AB148" s="201"/>
    </row>
    <row r="149" spans="1:28" ht="24" customHeight="1" x14ac:dyDescent="0.25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35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1"/>
      <c r="AB149" s="201"/>
    </row>
    <row r="150" spans="1:28" ht="24" customHeight="1" x14ac:dyDescent="0.25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35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1"/>
      <c r="AB150" s="201"/>
    </row>
    <row r="151" spans="1:28" ht="24" customHeight="1" x14ac:dyDescent="0.25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35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1"/>
      <c r="AB151" s="201"/>
    </row>
    <row r="152" spans="1:28" ht="24" customHeight="1" x14ac:dyDescent="0.25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35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1"/>
      <c r="AB152" s="201"/>
    </row>
    <row r="153" spans="1:28" ht="24" customHeight="1" x14ac:dyDescent="0.25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35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1"/>
      <c r="AB153" s="201"/>
    </row>
    <row r="154" spans="1:28" ht="24" customHeight="1" x14ac:dyDescent="0.25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35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1"/>
      <c r="AB154" s="201"/>
    </row>
    <row r="155" spans="1:28" ht="24" customHeight="1" x14ac:dyDescent="0.25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35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1"/>
      <c r="AB155" s="201"/>
    </row>
    <row r="156" spans="1:28" ht="24" customHeight="1" x14ac:dyDescent="0.25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35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1"/>
      <c r="AB156" s="201"/>
    </row>
    <row r="157" spans="1:28" ht="24" customHeight="1" x14ac:dyDescent="0.25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35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1"/>
      <c r="AB157" s="201"/>
    </row>
    <row r="158" spans="1:28" ht="24" customHeight="1" x14ac:dyDescent="0.25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35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1"/>
      <c r="AB158" s="201"/>
    </row>
    <row r="159" spans="1:28" ht="24" customHeight="1" x14ac:dyDescent="0.25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35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1"/>
      <c r="AB159" s="201"/>
    </row>
    <row r="160" spans="1:28" ht="24" customHeight="1" x14ac:dyDescent="0.25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35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1"/>
      <c r="AB160" s="201"/>
    </row>
    <row r="161" spans="1:28" ht="24" customHeight="1" x14ac:dyDescent="0.25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35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1"/>
      <c r="AB161" s="201"/>
    </row>
    <row r="162" spans="1:28" ht="24" customHeight="1" x14ac:dyDescent="0.25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35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1"/>
      <c r="AB162" s="201"/>
    </row>
    <row r="163" spans="1:28" ht="24" customHeight="1" x14ac:dyDescent="0.25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35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1"/>
      <c r="AB163" s="201"/>
    </row>
    <row r="164" spans="1:28" ht="24" customHeight="1" x14ac:dyDescent="0.25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35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1"/>
      <c r="AB164" s="201"/>
    </row>
    <row r="165" spans="1:28" ht="24" customHeight="1" x14ac:dyDescent="0.25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35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1"/>
      <c r="AB165" s="201"/>
    </row>
    <row r="166" spans="1:28" ht="24" customHeight="1" x14ac:dyDescent="0.25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35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1"/>
      <c r="AB166" s="201"/>
    </row>
    <row r="167" spans="1:28" ht="24" customHeight="1" x14ac:dyDescent="0.25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35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1"/>
      <c r="AB167" s="201"/>
    </row>
    <row r="168" spans="1:28" ht="24" customHeight="1" x14ac:dyDescent="0.25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35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1"/>
      <c r="AB168" s="201"/>
    </row>
    <row r="169" spans="1:28" ht="24" customHeight="1" x14ac:dyDescent="0.25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35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1"/>
      <c r="AB169" s="201"/>
    </row>
    <row r="170" spans="1:28" ht="24" customHeight="1" x14ac:dyDescent="0.25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35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1"/>
      <c r="AB170" s="201"/>
    </row>
    <row r="171" spans="1:28" ht="24" customHeight="1" x14ac:dyDescent="0.25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35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1"/>
      <c r="AB171" s="201"/>
    </row>
    <row r="172" spans="1:28" ht="24" customHeight="1" x14ac:dyDescent="0.25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35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1"/>
      <c r="AB172" s="201"/>
    </row>
    <row r="173" spans="1:28" ht="24" customHeight="1" x14ac:dyDescent="0.25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35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1"/>
      <c r="AB173" s="201"/>
    </row>
    <row r="174" spans="1:28" ht="24" customHeight="1" x14ac:dyDescent="0.25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35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1"/>
      <c r="AB174" s="201"/>
    </row>
    <row r="175" spans="1:28" ht="24" customHeight="1" x14ac:dyDescent="0.25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35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1"/>
      <c r="AB175" s="201"/>
    </row>
    <row r="176" spans="1:28" ht="24" customHeight="1" x14ac:dyDescent="0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35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1"/>
      <c r="AB176" s="201"/>
    </row>
    <row r="177" spans="1:28" ht="24" customHeight="1" x14ac:dyDescent="0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35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1"/>
      <c r="AB177" s="201"/>
    </row>
    <row r="178" spans="1:28" ht="24" customHeight="1" x14ac:dyDescent="0.2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35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1"/>
      <c r="AB178" s="201"/>
    </row>
    <row r="179" spans="1:28" ht="24" customHeight="1" x14ac:dyDescent="0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35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1"/>
      <c r="AB179" s="201"/>
    </row>
    <row r="180" spans="1:28" ht="24" customHeight="1" x14ac:dyDescent="0.25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35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1"/>
      <c r="AB180" s="201"/>
    </row>
    <row r="181" spans="1:28" ht="24" customHeight="1" x14ac:dyDescent="0.25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35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1"/>
      <c r="AB181" s="201"/>
    </row>
    <row r="182" spans="1:28" ht="24" customHeight="1" x14ac:dyDescent="0.25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35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1"/>
      <c r="AB182" s="201"/>
    </row>
    <row r="183" spans="1:28" ht="24" customHeight="1" x14ac:dyDescent="0.25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35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1"/>
      <c r="AB183" s="201"/>
    </row>
    <row r="184" spans="1:28" ht="24" customHeight="1" x14ac:dyDescent="0.25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35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1"/>
      <c r="AB184" s="201"/>
    </row>
    <row r="185" spans="1:28" ht="24" customHeight="1" x14ac:dyDescent="0.25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35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1"/>
      <c r="AB185" s="201"/>
    </row>
    <row r="186" spans="1:28" ht="24" customHeight="1" x14ac:dyDescent="0.25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35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1"/>
      <c r="AB186" s="201"/>
    </row>
    <row r="187" spans="1:28" ht="24" customHeight="1" x14ac:dyDescent="0.25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35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1"/>
      <c r="AB187" s="201"/>
    </row>
    <row r="188" spans="1:28" ht="24" customHeight="1" x14ac:dyDescent="0.25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35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1"/>
      <c r="AB188" s="201"/>
    </row>
    <row r="189" spans="1:28" ht="24" customHeight="1" x14ac:dyDescent="0.25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35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1"/>
      <c r="AB189" s="201"/>
    </row>
    <row r="190" spans="1:28" ht="24" customHeight="1" x14ac:dyDescent="0.25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35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1"/>
      <c r="AB190" s="201"/>
    </row>
    <row r="191" spans="1:28" ht="24" customHeight="1" x14ac:dyDescent="0.25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35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1"/>
      <c r="AB191" s="201"/>
    </row>
    <row r="192" spans="1:28" ht="24" customHeight="1" x14ac:dyDescent="0.25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35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1"/>
      <c r="AB192" s="201"/>
    </row>
    <row r="193" spans="1:28" ht="24" customHeight="1" x14ac:dyDescent="0.25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35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1"/>
      <c r="AB193" s="201"/>
    </row>
    <row r="194" spans="1:28" ht="24" customHeight="1" x14ac:dyDescent="0.25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35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1"/>
      <c r="AB194" s="201"/>
    </row>
    <row r="195" spans="1:28" ht="24" customHeight="1" x14ac:dyDescent="0.25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35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1"/>
      <c r="AB195" s="201"/>
    </row>
    <row r="196" spans="1:28" ht="24" customHeight="1" x14ac:dyDescent="0.25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35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1"/>
      <c r="AB196" s="201"/>
    </row>
    <row r="197" spans="1:28" ht="24" customHeight="1" x14ac:dyDescent="0.25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35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1"/>
      <c r="AB197" s="201"/>
    </row>
    <row r="198" spans="1:28" ht="24" customHeight="1" x14ac:dyDescent="0.25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35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1"/>
      <c r="AB198" s="201"/>
    </row>
    <row r="199" spans="1:28" ht="24" customHeight="1" x14ac:dyDescent="0.25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35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1"/>
      <c r="AB199" s="201"/>
    </row>
    <row r="200" spans="1:28" ht="24" customHeight="1" x14ac:dyDescent="0.25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35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1"/>
      <c r="AB200" s="201"/>
    </row>
    <row r="201" spans="1:28" ht="24" customHeight="1" x14ac:dyDescent="0.25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35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1"/>
      <c r="AB201" s="201"/>
    </row>
    <row r="202" spans="1:28" ht="24" customHeight="1" x14ac:dyDescent="0.25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35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1"/>
      <c r="AB202" s="201"/>
    </row>
    <row r="203" spans="1:28" ht="24" customHeight="1" x14ac:dyDescent="0.25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35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1"/>
      <c r="AB203" s="201"/>
    </row>
    <row r="204" spans="1:28" ht="24" customHeight="1" x14ac:dyDescent="0.25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35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1"/>
      <c r="AB204" s="201"/>
    </row>
    <row r="205" spans="1:28" ht="24" customHeight="1" x14ac:dyDescent="0.25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35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1"/>
      <c r="AB205" s="201"/>
    </row>
    <row r="206" spans="1:28" ht="24" customHeight="1" x14ac:dyDescent="0.25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35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1"/>
      <c r="AB206" s="201"/>
    </row>
    <row r="207" spans="1:28" ht="24" customHeight="1" x14ac:dyDescent="0.25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35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1"/>
      <c r="AB207" s="201"/>
    </row>
    <row r="208" spans="1:28" ht="24" customHeight="1" x14ac:dyDescent="0.25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35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1"/>
      <c r="AB208" s="201"/>
    </row>
    <row r="209" spans="1:28" ht="24" customHeight="1" x14ac:dyDescent="0.25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35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1"/>
      <c r="AB209" s="201"/>
    </row>
    <row r="210" spans="1:28" ht="24" customHeight="1" x14ac:dyDescent="0.25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35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1"/>
      <c r="AB210" s="201"/>
    </row>
    <row r="211" spans="1:28" ht="24" customHeight="1" x14ac:dyDescent="0.25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35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1"/>
      <c r="AB211" s="201"/>
    </row>
    <row r="212" spans="1:28" ht="24" customHeight="1" x14ac:dyDescent="0.25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35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1"/>
      <c r="AB212" s="201"/>
    </row>
    <row r="213" spans="1:28" ht="24" customHeight="1" x14ac:dyDescent="0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35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1"/>
      <c r="AB213" s="201"/>
    </row>
    <row r="214" spans="1:28" ht="24" customHeight="1" x14ac:dyDescent="0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35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1"/>
      <c r="AB214" s="201"/>
    </row>
    <row r="215" spans="1:28" ht="24" customHeight="1" x14ac:dyDescent="0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35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1"/>
      <c r="AB215" s="201"/>
    </row>
    <row r="216" spans="1:28" ht="24" customHeight="1" x14ac:dyDescent="0.25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35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1"/>
      <c r="AB216" s="201"/>
    </row>
    <row r="217" spans="1:28" ht="24" customHeight="1" x14ac:dyDescent="0.25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35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1"/>
      <c r="AB217" s="201"/>
    </row>
    <row r="218" spans="1:28" ht="24" customHeight="1" x14ac:dyDescent="0.25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35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1"/>
      <c r="AB218" s="201"/>
    </row>
    <row r="219" spans="1:28" ht="24" customHeight="1" x14ac:dyDescent="0.25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35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1"/>
      <c r="AB219" s="201"/>
    </row>
    <row r="220" spans="1:28" ht="24" customHeight="1" x14ac:dyDescent="0.25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35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1"/>
      <c r="AB220" s="201"/>
    </row>
    <row r="221" spans="1:28" ht="24" customHeight="1" x14ac:dyDescent="0.25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35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1"/>
      <c r="AB221" s="201"/>
    </row>
    <row r="222" spans="1:28" ht="24" customHeight="1" x14ac:dyDescent="0.25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35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1"/>
      <c r="AB222" s="201"/>
    </row>
    <row r="223" spans="1:28" ht="24" customHeight="1" x14ac:dyDescent="0.25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35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1"/>
      <c r="AB223" s="201"/>
    </row>
    <row r="224" spans="1:28" ht="24" customHeight="1" x14ac:dyDescent="0.25">
      <c r="A224" s="200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35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1"/>
      <c r="AB224" s="201"/>
    </row>
    <row r="225" spans="1:28" ht="24" customHeight="1" x14ac:dyDescent="0.25">
      <c r="A225" s="200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35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1"/>
      <c r="AB225" s="201"/>
    </row>
    <row r="226" spans="1:28" ht="24" customHeight="1" x14ac:dyDescent="0.25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</row>
    <row r="227" spans="1:28" ht="24" customHeight="1" x14ac:dyDescent="0.25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</row>
    <row r="228" spans="1:28" ht="24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</row>
    <row r="229" spans="1:28" ht="24" customHeight="1" x14ac:dyDescent="0.25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</row>
    <row r="230" spans="1:28" ht="24" customHeight="1" x14ac:dyDescent="0.25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</row>
    <row r="231" spans="1:28" ht="24" customHeight="1" x14ac:dyDescent="0.25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  <c r="AB231" s="201"/>
    </row>
    <row r="232" spans="1:28" ht="24" customHeight="1" x14ac:dyDescent="0.25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</row>
    <row r="233" spans="1:28" ht="24" customHeight="1" x14ac:dyDescent="0.25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  <c r="AB233" s="201"/>
    </row>
    <row r="234" spans="1:28" ht="24" customHeight="1" x14ac:dyDescent="0.25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</row>
    <row r="235" spans="1:28" ht="24" customHeight="1" x14ac:dyDescent="0.25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</row>
    <row r="236" spans="1:28" ht="24" customHeight="1" x14ac:dyDescent="0.25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</row>
    <row r="237" spans="1:28" ht="24" customHeight="1" x14ac:dyDescent="0.25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</row>
    <row r="238" spans="1:28" ht="24" customHeight="1" x14ac:dyDescent="0.25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  <c r="AB238" s="201"/>
    </row>
    <row r="239" spans="1:28" ht="24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  <c r="AB239" s="201"/>
    </row>
    <row r="240" spans="1:28" ht="24" customHeight="1" x14ac:dyDescent="0.25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  <c r="AB240" s="201"/>
    </row>
    <row r="241" spans="1:28" ht="24" customHeight="1" x14ac:dyDescent="0.25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</row>
    <row r="242" spans="1:28" ht="24" customHeight="1" x14ac:dyDescent="0.25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</row>
    <row r="243" spans="1:28" ht="24" customHeight="1" x14ac:dyDescent="0.25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</row>
    <row r="244" spans="1:28" ht="24" customHeight="1" x14ac:dyDescent="0.25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</row>
    <row r="245" spans="1:28" ht="24" customHeight="1" x14ac:dyDescent="0.25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</row>
    <row r="246" spans="1:28" ht="24" customHeight="1" x14ac:dyDescent="0.25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</row>
    <row r="247" spans="1:28" ht="24" customHeight="1" x14ac:dyDescent="0.25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</row>
    <row r="248" spans="1:28" ht="24" customHeight="1" x14ac:dyDescent="0.25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</row>
    <row r="249" spans="1:28" ht="24" customHeight="1" x14ac:dyDescent="0.25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</row>
    <row r="250" spans="1:28" ht="24" customHeight="1" x14ac:dyDescent="0.25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</row>
    <row r="251" spans="1:28" ht="24" customHeight="1" x14ac:dyDescent="0.25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</row>
    <row r="252" spans="1:28" ht="24" customHeight="1" x14ac:dyDescent="0.25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</row>
    <row r="253" spans="1:28" ht="24" customHeight="1" x14ac:dyDescent="0.25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</row>
    <row r="254" spans="1:28" ht="24" customHeight="1" x14ac:dyDescent="0.25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</row>
    <row r="255" spans="1:28" ht="24" customHeight="1" x14ac:dyDescent="0.25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</row>
    <row r="256" spans="1:28" ht="24" customHeight="1" x14ac:dyDescent="0.25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</row>
    <row r="257" spans="1:28" ht="24" customHeight="1" x14ac:dyDescent="0.25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</row>
    <row r="258" spans="1:28" ht="24" customHeight="1" x14ac:dyDescent="0.25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</row>
    <row r="259" spans="1:28" ht="24" customHeight="1" x14ac:dyDescent="0.25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</row>
    <row r="260" spans="1:28" ht="24" customHeight="1" x14ac:dyDescent="0.25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</row>
    <row r="261" spans="1:28" ht="24" customHeight="1" x14ac:dyDescent="0.25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</row>
    <row r="262" spans="1:28" ht="24" customHeight="1" x14ac:dyDescent="0.25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</row>
    <row r="263" spans="1:28" ht="24" customHeight="1" x14ac:dyDescent="0.25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</row>
    <row r="264" spans="1:28" ht="24" customHeight="1" x14ac:dyDescent="0.25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</row>
    <row r="265" spans="1:28" ht="24" customHeight="1" x14ac:dyDescent="0.25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</row>
    <row r="266" spans="1:28" ht="24" customHeight="1" x14ac:dyDescent="0.25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</row>
    <row r="267" spans="1:28" ht="24" customHeight="1" x14ac:dyDescent="0.25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</row>
    <row r="268" spans="1:28" ht="24" customHeight="1" x14ac:dyDescent="0.25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</row>
    <row r="269" spans="1:28" ht="24" customHeight="1" x14ac:dyDescent="0.25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</row>
    <row r="270" spans="1:28" ht="24" customHeight="1" x14ac:dyDescent="0.25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</row>
    <row r="271" spans="1:28" ht="24" customHeight="1" x14ac:dyDescent="0.25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</row>
    <row r="272" spans="1:28" ht="24" customHeight="1" x14ac:dyDescent="0.25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</row>
    <row r="273" spans="1:28" ht="24" customHeight="1" x14ac:dyDescent="0.25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</row>
    <row r="274" spans="1:28" ht="24" customHeight="1" x14ac:dyDescent="0.25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  <c r="AB274" s="201"/>
    </row>
    <row r="275" spans="1:28" ht="24" customHeight="1" x14ac:dyDescent="0.25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  <c r="AB275" s="201"/>
    </row>
    <row r="276" spans="1:28" ht="24" customHeight="1" x14ac:dyDescent="0.25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  <c r="AB276" s="201"/>
    </row>
    <row r="277" spans="1:28" ht="24" customHeight="1" x14ac:dyDescent="0.25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</row>
    <row r="278" spans="1:28" ht="24" customHeight="1" x14ac:dyDescent="0.25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</row>
    <row r="279" spans="1:28" ht="24" customHeight="1" x14ac:dyDescent="0.25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  <c r="AB279" s="201"/>
    </row>
    <row r="280" spans="1:28" ht="24" customHeight="1" x14ac:dyDescent="0.25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</row>
    <row r="281" spans="1:28" ht="24" customHeight="1" x14ac:dyDescent="0.25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</row>
    <row r="282" spans="1:28" ht="24" customHeight="1" x14ac:dyDescent="0.25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</row>
    <row r="283" spans="1:28" ht="24" customHeight="1" x14ac:dyDescent="0.25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  <c r="AB283" s="201"/>
    </row>
    <row r="284" spans="1:28" ht="24" customHeight="1" x14ac:dyDescent="0.25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  <c r="AB284" s="201"/>
    </row>
    <row r="285" spans="1:28" ht="24" customHeight="1" x14ac:dyDescent="0.25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  <c r="AB285" s="201"/>
    </row>
    <row r="286" spans="1:28" ht="24" customHeight="1" x14ac:dyDescent="0.25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  <c r="AB286" s="201"/>
    </row>
    <row r="287" spans="1:28" ht="24" customHeight="1" x14ac:dyDescent="0.25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  <c r="AB287" s="201"/>
    </row>
    <row r="288" spans="1:28" ht="24" customHeight="1" x14ac:dyDescent="0.25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  <c r="AB288" s="201"/>
    </row>
    <row r="289" spans="1:28" ht="24" customHeight="1" x14ac:dyDescent="0.25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  <c r="AB289" s="201"/>
    </row>
    <row r="290" spans="1:28" ht="24" customHeight="1" x14ac:dyDescent="0.25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  <c r="AB290" s="201"/>
    </row>
    <row r="291" spans="1:28" ht="24" customHeight="1" x14ac:dyDescent="0.25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  <c r="AB291" s="201"/>
    </row>
    <row r="292" spans="1:28" ht="24" customHeight="1" x14ac:dyDescent="0.25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  <c r="AB292" s="201"/>
    </row>
    <row r="293" spans="1:28" ht="24" customHeight="1" x14ac:dyDescent="0.25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</row>
    <row r="294" spans="1:28" ht="24" customHeight="1" x14ac:dyDescent="0.25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  <c r="AB294" s="201"/>
    </row>
    <row r="295" spans="1:28" ht="24" customHeight="1" x14ac:dyDescent="0.25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</row>
    <row r="296" spans="1:28" ht="24" customHeight="1" x14ac:dyDescent="0.25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  <c r="AB296" s="201"/>
    </row>
    <row r="297" spans="1:28" ht="24" customHeight="1" x14ac:dyDescent="0.25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  <c r="AB297" s="201"/>
    </row>
    <row r="298" spans="1:28" ht="24" customHeight="1" x14ac:dyDescent="0.25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</row>
    <row r="299" spans="1:28" ht="24" customHeight="1" x14ac:dyDescent="0.25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  <c r="AB299" s="201"/>
    </row>
    <row r="300" spans="1:28" ht="24" customHeight="1" x14ac:dyDescent="0.25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</row>
    <row r="301" spans="1:28" ht="24" customHeight="1" x14ac:dyDescent="0.25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  <c r="AB301" s="201"/>
    </row>
    <row r="302" spans="1:28" ht="24" customHeight="1" x14ac:dyDescent="0.25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  <c r="AB302" s="201"/>
    </row>
    <row r="303" spans="1:28" ht="24" customHeight="1" x14ac:dyDescent="0.25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  <c r="AB303" s="201"/>
    </row>
    <row r="304" spans="1:28" ht="24" customHeight="1" x14ac:dyDescent="0.25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  <c r="AB304" s="201"/>
    </row>
    <row r="305" spans="1:28" ht="24" customHeight="1" x14ac:dyDescent="0.25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  <c r="AB305" s="201"/>
    </row>
    <row r="306" spans="1:28" ht="24" customHeight="1" x14ac:dyDescent="0.25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  <c r="AB306" s="201"/>
    </row>
    <row r="307" spans="1:28" ht="24" customHeight="1" x14ac:dyDescent="0.25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  <c r="AB307" s="201"/>
    </row>
    <row r="308" spans="1:28" ht="24" customHeight="1" x14ac:dyDescent="0.25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  <c r="AB308" s="201"/>
    </row>
    <row r="309" spans="1:28" ht="24" customHeight="1" x14ac:dyDescent="0.25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</row>
    <row r="310" spans="1:28" ht="24" customHeight="1" x14ac:dyDescent="0.25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  <c r="AB310" s="201"/>
    </row>
    <row r="311" spans="1:28" ht="24" customHeight="1" x14ac:dyDescent="0.25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  <c r="AB311" s="201"/>
    </row>
    <row r="312" spans="1:28" ht="24" customHeight="1" x14ac:dyDescent="0.25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  <c r="AB312" s="201"/>
    </row>
    <row r="313" spans="1:28" ht="24" customHeight="1" x14ac:dyDescent="0.25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  <c r="AB313" s="201"/>
    </row>
    <row r="314" spans="1:28" ht="24" customHeight="1" x14ac:dyDescent="0.25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</row>
    <row r="315" spans="1:28" ht="24" customHeight="1" x14ac:dyDescent="0.25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  <c r="AB315" s="201"/>
    </row>
    <row r="316" spans="1:28" ht="24" customHeight="1" x14ac:dyDescent="0.25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</row>
    <row r="317" spans="1:28" ht="24" customHeight="1" x14ac:dyDescent="0.25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</row>
    <row r="318" spans="1:28" ht="24" customHeight="1" x14ac:dyDescent="0.25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</row>
    <row r="319" spans="1:28" ht="24" customHeight="1" x14ac:dyDescent="0.25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  <c r="AB319" s="201"/>
    </row>
    <row r="320" spans="1:28" ht="24" customHeight="1" x14ac:dyDescent="0.25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  <c r="AB320" s="201"/>
    </row>
    <row r="321" spans="1:28" ht="24" customHeight="1" x14ac:dyDescent="0.25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  <c r="AB321" s="201"/>
    </row>
    <row r="322" spans="1:28" ht="24" customHeight="1" x14ac:dyDescent="0.25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  <c r="AB322" s="201"/>
    </row>
    <row r="323" spans="1:28" ht="24" customHeight="1" x14ac:dyDescent="0.25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</row>
    <row r="324" spans="1:28" ht="24" customHeight="1" x14ac:dyDescent="0.25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  <c r="AB324" s="201"/>
    </row>
    <row r="325" spans="1:28" ht="24" customHeight="1" x14ac:dyDescent="0.25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  <c r="AB325" s="201"/>
    </row>
    <row r="326" spans="1:28" ht="24" customHeight="1" x14ac:dyDescent="0.25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  <c r="AB326" s="201"/>
    </row>
    <row r="327" spans="1:28" ht="24" customHeight="1" x14ac:dyDescent="0.25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</row>
    <row r="328" spans="1:28" ht="24" customHeight="1" x14ac:dyDescent="0.25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  <c r="AB328" s="201"/>
    </row>
    <row r="329" spans="1:28" ht="24" customHeight="1" x14ac:dyDescent="0.25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</row>
    <row r="330" spans="1:28" ht="24" customHeight="1" x14ac:dyDescent="0.25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  <c r="AB330" s="201"/>
    </row>
    <row r="331" spans="1:28" ht="24" customHeight="1" x14ac:dyDescent="0.25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  <c r="AB331" s="201"/>
    </row>
    <row r="332" spans="1:28" ht="24" customHeight="1" x14ac:dyDescent="0.25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</row>
    <row r="333" spans="1:28" ht="24" customHeight="1" x14ac:dyDescent="0.25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  <c r="AB333" s="201"/>
    </row>
    <row r="334" spans="1:28" ht="24" customHeight="1" x14ac:dyDescent="0.25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</row>
    <row r="335" spans="1:28" ht="24" customHeight="1" x14ac:dyDescent="0.25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</row>
    <row r="336" spans="1:28" ht="24" customHeight="1" x14ac:dyDescent="0.25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  <c r="AB336" s="201"/>
    </row>
    <row r="337" spans="1:28" ht="24" customHeight="1" x14ac:dyDescent="0.25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  <c r="AB337" s="201"/>
    </row>
    <row r="338" spans="1:28" ht="24" customHeight="1" x14ac:dyDescent="0.25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  <c r="AB338" s="201"/>
    </row>
    <row r="339" spans="1:28" ht="24" customHeight="1" x14ac:dyDescent="0.25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</row>
    <row r="340" spans="1:28" ht="24" customHeight="1" x14ac:dyDescent="0.25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  <c r="AB340" s="201"/>
    </row>
    <row r="341" spans="1:28" ht="24" customHeight="1" x14ac:dyDescent="0.25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  <c r="AB341" s="201"/>
    </row>
    <row r="342" spans="1:28" ht="24" customHeight="1" x14ac:dyDescent="0.25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  <c r="AB342" s="201"/>
    </row>
    <row r="343" spans="1:28" ht="24" customHeight="1" x14ac:dyDescent="0.25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</row>
    <row r="344" spans="1:28" ht="24" customHeight="1" x14ac:dyDescent="0.25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  <c r="AB344" s="201"/>
    </row>
    <row r="345" spans="1:28" ht="24" customHeight="1" x14ac:dyDescent="0.25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  <c r="AB345" s="201"/>
    </row>
    <row r="346" spans="1:28" ht="24" customHeight="1" x14ac:dyDescent="0.25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</row>
    <row r="347" spans="1:28" ht="24" customHeight="1" x14ac:dyDescent="0.25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</row>
    <row r="348" spans="1:28" ht="24" customHeight="1" x14ac:dyDescent="0.25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  <c r="AB348" s="201"/>
    </row>
    <row r="349" spans="1:28" ht="24" customHeight="1" x14ac:dyDescent="0.25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</row>
    <row r="350" spans="1:28" ht="24" customHeight="1" x14ac:dyDescent="0.25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  <c r="AB350" s="201"/>
    </row>
    <row r="351" spans="1:28" ht="24" customHeight="1" x14ac:dyDescent="0.25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  <c r="AB351" s="201"/>
    </row>
    <row r="352" spans="1:28" ht="24" customHeight="1" x14ac:dyDescent="0.25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</row>
    <row r="353" spans="1:28" ht="24" customHeight="1" x14ac:dyDescent="0.25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  <c r="AB353" s="201"/>
    </row>
    <row r="354" spans="1:28" ht="24" customHeight="1" x14ac:dyDescent="0.25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  <c r="AB354" s="201"/>
    </row>
    <row r="355" spans="1:28" ht="24" customHeight="1" x14ac:dyDescent="0.25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  <c r="AB355" s="201"/>
    </row>
    <row r="356" spans="1:28" ht="24" customHeight="1" x14ac:dyDescent="0.25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  <c r="AB356" s="201"/>
    </row>
    <row r="357" spans="1:28" ht="24" customHeight="1" x14ac:dyDescent="0.25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  <c r="AB357" s="201"/>
    </row>
    <row r="358" spans="1:28" ht="24" customHeight="1" x14ac:dyDescent="0.25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  <c r="AB358" s="201"/>
    </row>
    <row r="359" spans="1:28" ht="24" customHeight="1" x14ac:dyDescent="0.25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  <c r="AB359" s="201"/>
    </row>
    <row r="360" spans="1:28" ht="24" customHeight="1" x14ac:dyDescent="0.25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  <c r="AB360" s="201"/>
    </row>
    <row r="361" spans="1:28" ht="24" customHeight="1" x14ac:dyDescent="0.25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  <c r="AB361" s="201"/>
    </row>
    <row r="362" spans="1:28" ht="24" customHeight="1" x14ac:dyDescent="0.25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  <c r="AB362" s="201"/>
    </row>
    <row r="363" spans="1:28" ht="24" customHeight="1" x14ac:dyDescent="0.25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</row>
    <row r="364" spans="1:28" ht="24" customHeight="1" x14ac:dyDescent="0.25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</row>
    <row r="365" spans="1:28" ht="24" customHeight="1" x14ac:dyDescent="0.25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  <c r="AB365" s="201"/>
    </row>
    <row r="366" spans="1:28" ht="24" customHeight="1" x14ac:dyDescent="0.25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  <c r="AB366" s="201"/>
    </row>
    <row r="367" spans="1:28" ht="24" customHeight="1" x14ac:dyDescent="0.25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  <c r="AB367" s="201"/>
    </row>
    <row r="368" spans="1:28" ht="24" customHeight="1" x14ac:dyDescent="0.25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</row>
    <row r="369" spans="1:28" ht="24" customHeight="1" x14ac:dyDescent="0.25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  <c r="AB369" s="201"/>
    </row>
    <row r="370" spans="1:28" ht="24" customHeight="1" x14ac:dyDescent="0.25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  <c r="AB370" s="201"/>
    </row>
    <row r="371" spans="1:28" ht="24" customHeight="1" x14ac:dyDescent="0.25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  <c r="AB371" s="201"/>
    </row>
    <row r="372" spans="1:28" ht="24" customHeight="1" x14ac:dyDescent="0.25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  <c r="AB372" s="201"/>
    </row>
    <row r="373" spans="1:28" ht="24" customHeight="1" x14ac:dyDescent="0.25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  <c r="AB373" s="201"/>
    </row>
    <row r="374" spans="1:28" ht="24" customHeight="1" x14ac:dyDescent="0.25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  <c r="AB374" s="201"/>
    </row>
    <row r="375" spans="1:28" ht="24" customHeight="1" x14ac:dyDescent="0.25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  <c r="AB375" s="201"/>
    </row>
    <row r="376" spans="1:28" ht="24" customHeight="1" x14ac:dyDescent="0.25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  <c r="AB376" s="201"/>
    </row>
    <row r="377" spans="1:28" ht="24" customHeight="1" x14ac:dyDescent="0.25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  <c r="AB377" s="201"/>
    </row>
    <row r="378" spans="1:28" ht="24" customHeight="1" x14ac:dyDescent="0.25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  <c r="AB378" s="201"/>
    </row>
    <row r="379" spans="1:28" ht="24" customHeight="1" x14ac:dyDescent="0.25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  <c r="AB379" s="201"/>
    </row>
    <row r="380" spans="1:28" ht="24" customHeight="1" x14ac:dyDescent="0.25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  <c r="AB380" s="201"/>
    </row>
    <row r="381" spans="1:28" ht="24" customHeight="1" x14ac:dyDescent="0.25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  <c r="AB381" s="201"/>
    </row>
    <row r="382" spans="1:28" ht="24" customHeight="1" x14ac:dyDescent="0.25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  <c r="AB382" s="201"/>
    </row>
    <row r="383" spans="1:28" ht="24" customHeight="1" x14ac:dyDescent="0.25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  <c r="AB383" s="201"/>
    </row>
    <row r="384" spans="1:28" ht="24" customHeight="1" x14ac:dyDescent="0.25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  <c r="AB384" s="201"/>
    </row>
    <row r="385" spans="1:28" ht="24" customHeight="1" x14ac:dyDescent="0.25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  <c r="AB385" s="201"/>
    </row>
    <row r="386" spans="1:28" ht="24" customHeight="1" x14ac:dyDescent="0.25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  <c r="AB386" s="201"/>
    </row>
    <row r="387" spans="1:28" ht="24" customHeight="1" x14ac:dyDescent="0.25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  <c r="AB387" s="201"/>
    </row>
    <row r="388" spans="1:28" ht="24" customHeight="1" x14ac:dyDescent="0.25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  <c r="AB388" s="201"/>
    </row>
    <row r="389" spans="1:28" ht="24" customHeight="1" x14ac:dyDescent="0.25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  <c r="AB389" s="201"/>
    </row>
    <row r="390" spans="1:28" ht="24" customHeight="1" x14ac:dyDescent="0.25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</row>
    <row r="391" spans="1:28" ht="24" customHeight="1" x14ac:dyDescent="0.25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  <c r="AB391" s="201"/>
    </row>
    <row r="392" spans="1:28" ht="24" customHeight="1" x14ac:dyDescent="0.25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  <c r="AB392" s="201"/>
    </row>
    <row r="393" spans="1:28" ht="24" customHeight="1" x14ac:dyDescent="0.25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  <c r="AB393" s="201"/>
    </row>
    <row r="394" spans="1:28" ht="24" customHeight="1" x14ac:dyDescent="0.25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  <c r="AB394" s="201"/>
    </row>
    <row r="395" spans="1:28" ht="24" customHeight="1" x14ac:dyDescent="0.25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  <c r="AB395" s="201"/>
    </row>
    <row r="396" spans="1:28" ht="24" customHeight="1" x14ac:dyDescent="0.25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  <c r="AB396" s="201"/>
    </row>
    <row r="397" spans="1:28" ht="24" customHeight="1" x14ac:dyDescent="0.25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  <c r="AB397" s="201"/>
    </row>
    <row r="398" spans="1:28" ht="24" customHeight="1" x14ac:dyDescent="0.25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</row>
    <row r="399" spans="1:28" ht="24" customHeight="1" x14ac:dyDescent="0.25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  <c r="AB399" s="201"/>
    </row>
    <row r="400" spans="1:28" ht="24" customHeight="1" x14ac:dyDescent="0.25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  <c r="AB400" s="201"/>
    </row>
    <row r="401" spans="1:28" ht="24" customHeight="1" x14ac:dyDescent="0.25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</row>
    <row r="402" spans="1:28" ht="24" customHeight="1" x14ac:dyDescent="0.25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  <c r="AB402" s="201"/>
    </row>
    <row r="403" spans="1:28" ht="24" customHeight="1" x14ac:dyDescent="0.25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</row>
    <row r="404" spans="1:28" ht="24" customHeight="1" x14ac:dyDescent="0.25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  <c r="AB404" s="201"/>
    </row>
    <row r="405" spans="1:28" ht="24" customHeight="1" x14ac:dyDescent="0.25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  <c r="AB405" s="201"/>
    </row>
    <row r="406" spans="1:28" ht="24" customHeight="1" x14ac:dyDescent="0.25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  <c r="AB406" s="201"/>
    </row>
    <row r="407" spans="1:28" ht="24" customHeight="1" x14ac:dyDescent="0.25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  <c r="AB407" s="201"/>
    </row>
    <row r="408" spans="1:28" ht="24" customHeight="1" x14ac:dyDescent="0.25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  <c r="AB408" s="201"/>
    </row>
    <row r="409" spans="1:28" ht="24" customHeight="1" x14ac:dyDescent="0.25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  <c r="AB409" s="201"/>
    </row>
    <row r="410" spans="1:28" ht="24" customHeight="1" x14ac:dyDescent="0.25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</row>
    <row r="411" spans="1:28" ht="24" customHeight="1" x14ac:dyDescent="0.25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</row>
    <row r="412" spans="1:28" ht="24" customHeight="1" x14ac:dyDescent="0.25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</row>
    <row r="413" spans="1:28" ht="24" customHeight="1" x14ac:dyDescent="0.25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</row>
    <row r="414" spans="1:28" ht="24" customHeight="1" x14ac:dyDescent="0.25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</row>
    <row r="415" spans="1:28" ht="24" customHeight="1" x14ac:dyDescent="0.25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</row>
    <row r="416" spans="1:28" ht="24" customHeight="1" x14ac:dyDescent="0.25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</row>
    <row r="417" spans="1:28" ht="24" customHeight="1" x14ac:dyDescent="0.25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</row>
    <row r="418" spans="1:28" ht="24" customHeight="1" x14ac:dyDescent="0.25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</row>
    <row r="419" spans="1:28" ht="24" customHeight="1" x14ac:dyDescent="0.25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</row>
    <row r="420" spans="1:28" ht="24" customHeight="1" x14ac:dyDescent="0.25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</row>
    <row r="421" spans="1:28" ht="24" customHeight="1" x14ac:dyDescent="0.25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</row>
    <row r="422" spans="1:28" ht="24" customHeight="1" x14ac:dyDescent="0.25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  <c r="AB422" s="201"/>
    </row>
    <row r="423" spans="1:28" ht="24" customHeight="1" x14ac:dyDescent="0.25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  <c r="AB423" s="201"/>
    </row>
    <row r="424" spans="1:28" ht="24" customHeight="1" x14ac:dyDescent="0.25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  <c r="AB424" s="201"/>
    </row>
    <row r="425" spans="1:28" ht="24" customHeight="1" x14ac:dyDescent="0.25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  <c r="AB425" s="201"/>
    </row>
    <row r="426" spans="1:28" ht="24" customHeight="1" x14ac:dyDescent="0.25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  <c r="AB426" s="201"/>
    </row>
    <row r="427" spans="1:28" ht="24" customHeight="1" x14ac:dyDescent="0.25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  <c r="AB427" s="201"/>
    </row>
    <row r="428" spans="1:28" ht="24" customHeight="1" x14ac:dyDescent="0.25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  <c r="AB428" s="201"/>
    </row>
    <row r="429" spans="1:28" ht="24" customHeight="1" x14ac:dyDescent="0.25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  <c r="AB429" s="201"/>
    </row>
    <row r="430" spans="1:28" ht="24" customHeight="1" x14ac:dyDescent="0.25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  <c r="AB430" s="201"/>
    </row>
    <row r="431" spans="1:28" ht="24" customHeight="1" x14ac:dyDescent="0.25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  <c r="AB431" s="201"/>
    </row>
    <row r="432" spans="1:28" ht="24" customHeight="1" x14ac:dyDescent="0.25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  <c r="AB432" s="201"/>
    </row>
    <row r="433" spans="1:28" ht="24" customHeight="1" x14ac:dyDescent="0.25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/>
    </row>
    <row r="434" spans="1:28" ht="24" customHeight="1" x14ac:dyDescent="0.25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</row>
    <row r="435" spans="1:28" ht="24" customHeight="1" x14ac:dyDescent="0.25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</row>
    <row r="436" spans="1:28" ht="24" customHeight="1" x14ac:dyDescent="0.25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</row>
    <row r="437" spans="1:28" ht="24" customHeight="1" x14ac:dyDescent="0.25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</row>
    <row r="438" spans="1:28" ht="24" customHeight="1" x14ac:dyDescent="0.25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</row>
    <row r="439" spans="1:28" ht="24" customHeight="1" x14ac:dyDescent="0.25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</row>
    <row r="440" spans="1:28" ht="24" customHeight="1" x14ac:dyDescent="0.25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</row>
    <row r="441" spans="1:28" ht="24" customHeight="1" x14ac:dyDescent="0.25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</row>
    <row r="442" spans="1:28" ht="24" customHeight="1" x14ac:dyDescent="0.25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</row>
    <row r="443" spans="1:28" ht="24" customHeight="1" x14ac:dyDescent="0.25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</row>
    <row r="444" spans="1:28" ht="24" customHeight="1" x14ac:dyDescent="0.25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</row>
    <row r="445" spans="1:28" ht="24" customHeight="1" x14ac:dyDescent="0.25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</row>
    <row r="446" spans="1:28" ht="24" customHeight="1" x14ac:dyDescent="0.25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</row>
    <row r="447" spans="1:28" ht="24" customHeight="1" x14ac:dyDescent="0.25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</row>
    <row r="448" spans="1:28" ht="24" customHeight="1" x14ac:dyDescent="0.25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</row>
    <row r="449" spans="1:28" ht="24" customHeight="1" x14ac:dyDescent="0.25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</row>
    <row r="450" spans="1:28" ht="24" customHeight="1" x14ac:dyDescent="0.25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</row>
    <row r="451" spans="1:28" ht="24" customHeight="1" x14ac:dyDescent="0.25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  <c r="AB451" s="201"/>
    </row>
    <row r="452" spans="1:28" ht="24" customHeight="1" x14ac:dyDescent="0.25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  <c r="AB452" s="201"/>
    </row>
    <row r="453" spans="1:28" ht="24" customHeight="1" x14ac:dyDescent="0.25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  <c r="AB453" s="201"/>
    </row>
    <row r="454" spans="1:28" ht="24" customHeight="1" x14ac:dyDescent="0.25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  <c r="AB454" s="201"/>
    </row>
    <row r="455" spans="1:28" ht="24" customHeight="1" x14ac:dyDescent="0.25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</row>
    <row r="456" spans="1:28" ht="24" customHeight="1" x14ac:dyDescent="0.25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</row>
    <row r="457" spans="1:28" ht="24" customHeight="1" x14ac:dyDescent="0.25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  <c r="AB457" s="201"/>
    </row>
    <row r="458" spans="1:28" ht="24" customHeight="1" x14ac:dyDescent="0.25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  <c r="AB458" s="201"/>
    </row>
    <row r="459" spans="1:28" ht="24" customHeight="1" x14ac:dyDescent="0.25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</row>
    <row r="460" spans="1:28" ht="24" customHeight="1" x14ac:dyDescent="0.25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  <c r="AB460" s="201"/>
    </row>
    <row r="461" spans="1:28" ht="24" customHeight="1" x14ac:dyDescent="0.25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</row>
    <row r="462" spans="1:28" ht="24" customHeight="1" x14ac:dyDescent="0.25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</row>
    <row r="463" spans="1:28" ht="24" customHeight="1" x14ac:dyDescent="0.25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</row>
    <row r="464" spans="1:28" ht="24" customHeight="1" x14ac:dyDescent="0.25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</row>
    <row r="465" spans="1:28" ht="24" customHeight="1" x14ac:dyDescent="0.25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</row>
    <row r="466" spans="1:28" ht="24" customHeight="1" x14ac:dyDescent="0.25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</row>
    <row r="467" spans="1:28" ht="24" customHeight="1" x14ac:dyDescent="0.25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</row>
    <row r="468" spans="1:28" ht="24" customHeight="1" x14ac:dyDescent="0.25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</row>
    <row r="469" spans="1:28" ht="24" customHeight="1" x14ac:dyDescent="0.25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</row>
    <row r="470" spans="1:28" ht="24" customHeight="1" x14ac:dyDescent="0.25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</row>
    <row r="471" spans="1:28" ht="24" customHeight="1" x14ac:dyDescent="0.25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</row>
    <row r="472" spans="1:28" ht="24" customHeight="1" x14ac:dyDescent="0.25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</row>
    <row r="473" spans="1:28" ht="24" customHeight="1" x14ac:dyDescent="0.25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  <c r="AB473" s="201"/>
    </row>
    <row r="474" spans="1:28" ht="24" customHeight="1" x14ac:dyDescent="0.25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  <c r="AB474" s="201"/>
    </row>
    <row r="475" spans="1:28" ht="24" customHeight="1" x14ac:dyDescent="0.25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  <c r="AB475" s="201"/>
    </row>
    <row r="476" spans="1:28" ht="24" customHeight="1" x14ac:dyDescent="0.25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  <c r="AB476" s="201"/>
    </row>
    <row r="477" spans="1:28" ht="24" customHeight="1" x14ac:dyDescent="0.25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  <c r="AB477" s="201"/>
    </row>
    <row r="478" spans="1:28" ht="24" customHeight="1" x14ac:dyDescent="0.25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</row>
    <row r="479" spans="1:28" ht="24" customHeight="1" x14ac:dyDescent="0.25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</row>
    <row r="480" spans="1:28" ht="24" customHeight="1" x14ac:dyDescent="0.25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</row>
    <row r="481" spans="1:28" ht="24" customHeight="1" x14ac:dyDescent="0.25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</row>
    <row r="482" spans="1:28" ht="24" customHeight="1" x14ac:dyDescent="0.25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  <c r="AB482" s="201"/>
    </row>
    <row r="483" spans="1:28" ht="24" customHeight="1" x14ac:dyDescent="0.25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  <c r="AB483" s="201"/>
    </row>
    <row r="484" spans="1:28" ht="24" customHeight="1" x14ac:dyDescent="0.25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  <c r="AB484" s="201"/>
    </row>
    <row r="485" spans="1:28" ht="24" customHeight="1" x14ac:dyDescent="0.25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  <c r="AB485" s="201"/>
    </row>
    <row r="486" spans="1:28" ht="24" customHeight="1" x14ac:dyDescent="0.25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  <c r="AB486" s="201"/>
    </row>
    <row r="487" spans="1:28" ht="24" customHeight="1" x14ac:dyDescent="0.25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  <c r="AB487" s="201"/>
    </row>
    <row r="488" spans="1:28" ht="24" customHeight="1" x14ac:dyDescent="0.25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  <c r="AB488" s="201"/>
    </row>
    <row r="489" spans="1:28" ht="24" customHeight="1" x14ac:dyDescent="0.25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  <c r="AB489" s="201"/>
    </row>
    <row r="490" spans="1:28" ht="24" customHeight="1" x14ac:dyDescent="0.25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  <c r="AB490" s="201"/>
    </row>
    <row r="491" spans="1:28" ht="24" customHeight="1" x14ac:dyDescent="0.25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  <c r="AB491" s="201"/>
    </row>
    <row r="492" spans="1:28" ht="24" customHeight="1" x14ac:dyDescent="0.25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  <c r="AB492" s="201"/>
    </row>
    <row r="493" spans="1:28" ht="24" customHeight="1" x14ac:dyDescent="0.25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</row>
    <row r="494" spans="1:28" ht="24" customHeight="1" x14ac:dyDescent="0.25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  <c r="AB494" s="201"/>
    </row>
    <row r="495" spans="1:28" ht="24" customHeight="1" x14ac:dyDescent="0.25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  <c r="AB495" s="201"/>
    </row>
    <row r="496" spans="1:28" ht="24" customHeight="1" x14ac:dyDescent="0.25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</row>
    <row r="497" spans="1:28" ht="24" customHeight="1" x14ac:dyDescent="0.25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</row>
    <row r="498" spans="1:28" ht="24" customHeight="1" x14ac:dyDescent="0.25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</row>
    <row r="499" spans="1:28" ht="24" customHeight="1" x14ac:dyDescent="0.25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</row>
    <row r="500" spans="1:28" ht="24" customHeight="1" x14ac:dyDescent="0.25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</row>
    <row r="501" spans="1:28" ht="24" customHeight="1" x14ac:dyDescent="0.25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</row>
    <row r="502" spans="1:28" ht="24" customHeight="1" x14ac:dyDescent="0.25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</row>
    <row r="503" spans="1:28" ht="24" customHeight="1" x14ac:dyDescent="0.25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</row>
    <row r="504" spans="1:28" ht="24" customHeight="1" x14ac:dyDescent="0.25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</row>
    <row r="505" spans="1:28" ht="24" customHeight="1" x14ac:dyDescent="0.25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</row>
    <row r="506" spans="1:28" ht="24" customHeight="1" x14ac:dyDescent="0.25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  <c r="AB506" s="201"/>
    </row>
    <row r="507" spans="1:28" ht="24" customHeight="1" x14ac:dyDescent="0.25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  <c r="AB507" s="201"/>
    </row>
    <row r="508" spans="1:28" ht="24" customHeight="1" x14ac:dyDescent="0.25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  <c r="AB508" s="201"/>
    </row>
    <row r="509" spans="1:28" ht="24" customHeight="1" x14ac:dyDescent="0.25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  <c r="AB509" s="201"/>
    </row>
    <row r="510" spans="1:28" ht="24" customHeight="1" x14ac:dyDescent="0.25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  <c r="AB510" s="201"/>
    </row>
    <row r="511" spans="1:28" ht="24" customHeight="1" x14ac:dyDescent="0.25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  <c r="AB511" s="201"/>
    </row>
    <row r="512" spans="1:28" ht="24" customHeight="1" x14ac:dyDescent="0.25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  <c r="AB512" s="201"/>
    </row>
    <row r="513" spans="1:28" ht="24" customHeight="1" x14ac:dyDescent="0.25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  <c r="AB513" s="201"/>
    </row>
    <row r="514" spans="1:28" ht="24" customHeight="1" x14ac:dyDescent="0.25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  <c r="AB514" s="201"/>
    </row>
    <row r="515" spans="1:28" ht="24" customHeight="1" x14ac:dyDescent="0.25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  <c r="AB515" s="201"/>
    </row>
    <row r="516" spans="1:28" ht="24" customHeight="1" x14ac:dyDescent="0.25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  <c r="AB516" s="201"/>
    </row>
    <row r="517" spans="1:28" ht="24" customHeight="1" x14ac:dyDescent="0.25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  <c r="AB517" s="201"/>
    </row>
    <row r="518" spans="1:28" ht="24" customHeight="1" x14ac:dyDescent="0.25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</row>
    <row r="519" spans="1:28" ht="24" customHeight="1" x14ac:dyDescent="0.25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  <c r="AB519" s="201"/>
    </row>
    <row r="520" spans="1:28" ht="24" customHeight="1" x14ac:dyDescent="0.25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</row>
    <row r="521" spans="1:28" ht="24" customHeight="1" x14ac:dyDescent="0.25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</row>
    <row r="522" spans="1:28" ht="24" customHeight="1" x14ac:dyDescent="0.25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</row>
    <row r="523" spans="1:28" ht="24" customHeight="1" x14ac:dyDescent="0.25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</row>
    <row r="524" spans="1:28" ht="24" customHeight="1" x14ac:dyDescent="0.25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</row>
    <row r="525" spans="1:28" ht="24" customHeight="1" x14ac:dyDescent="0.25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</row>
    <row r="526" spans="1:28" ht="24" customHeight="1" x14ac:dyDescent="0.25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</row>
    <row r="527" spans="1:28" ht="24" customHeight="1" x14ac:dyDescent="0.25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</row>
    <row r="528" spans="1:28" ht="24" customHeight="1" x14ac:dyDescent="0.25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</row>
    <row r="529" spans="1:28" ht="24" customHeight="1" x14ac:dyDescent="0.25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</row>
    <row r="530" spans="1:28" ht="24" customHeight="1" x14ac:dyDescent="0.25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</row>
    <row r="531" spans="1:28" ht="24" customHeight="1" x14ac:dyDescent="0.25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</row>
    <row r="532" spans="1:28" ht="24" customHeight="1" x14ac:dyDescent="0.25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</row>
    <row r="533" spans="1:28" ht="24" customHeight="1" x14ac:dyDescent="0.25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</row>
    <row r="534" spans="1:28" ht="24" customHeight="1" x14ac:dyDescent="0.25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</row>
    <row r="535" spans="1:28" ht="24" customHeight="1" x14ac:dyDescent="0.25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</row>
    <row r="536" spans="1:28" ht="24" customHeight="1" x14ac:dyDescent="0.25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</row>
    <row r="537" spans="1:28" ht="24" customHeight="1" x14ac:dyDescent="0.25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</row>
    <row r="538" spans="1:28" ht="24" customHeight="1" x14ac:dyDescent="0.25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</row>
    <row r="539" spans="1:28" ht="24" customHeight="1" x14ac:dyDescent="0.25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</row>
    <row r="540" spans="1:28" ht="24" customHeight="1" x14ac:dyDescent="0.25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</row>
    <row r="541" spans="1:28" ht="24" customHeight="1" x14ac:dyDescent="0.25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</row>
    <row r="542" spans="1:28" ht="24" customHeight="1" x14ac:dyDescent="0.25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</row>
    <row r="543" spans="1:28" ht="24" customHeight="1" x14ac:dyDescent="0.25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</row>
    <row r="544" spans="1:28" ht="24" customHeight="1" x14ac:dyDescent="0.25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</row>
    <row r="545" spans="1:28" ht="24" customHeight="1" x14ac:dyDescent="0.25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</row>
    <row r="546" spans="1:28" ht="24" customHeight="1" x14ac:dyDescent="0.25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</row>
    <row r="547" spans="1:28" ht="24" customHeight="1" x14ac:dyDescent="0.25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</row>
    <row r="548" spans="1:28" ht="24" customHeight="1" x14ac:dyDescent="0.25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</row>
    <row r="549" spans="1:28" ht="24" customHeight="1" x14ac:dyDescent="0.25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</row>
    <row r="550" spans="1:28" ht="24" customHeight="1" x14ac:dyDescent="0.25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</row>
    <row r="551" spans="1:28" ht="24" customHeight="1" x14ac:dyDescent="0.25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</row>
    <row r="552" spans="1:28" ht="24" customHeight="1" x14ac:dyDescent="0.25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</row>
    <row r="553" spans="1:28" ht="24" customHeight="1" x14ac:dyDescent="0.25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</row>
    <row r="554" spans="1:28" ht="24" customHeight="1" x14ac:dyDescent="0.25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</row>
    <row r="555" spans="1:28" ht="24" customHeight="1" x14ac:dyDescent="0.25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</row>
    <row r="556" spans="1:28" ht="24" customHeight="1" x14ac:dyDescent="0.25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</row>
    <row r="557" spans="1:28" ht="24" customHeight="1" x14ac:dyDescent="0.25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</row>
    <row r="558" spans="1:28" ht="24" customHeight="1" x14ac:dyDescent="0.25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</row>
    <row r="559" spans="1:28" ht="24" customHeight="1" x14ac:dyDescent="0.25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</row>
    <row r="560" spans="1:28" ht="24" customHeight="1" x14ac:dyDescent="0.25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</row>
    <row r="561" spans="1:28" ht="24" customHeight="1" x14ac:dyDescent="0.25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</row>
    <row r="562" spans="1:28" ht="24" customHeight="1" x14ac:dyDescent="0.25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</row>
    <row r="563" spans="1:28" ht="24" customHeight="1" x14ac:dyDescent="0.25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</row>
    <row r="564" spans="1:28" ht="24" customHeight="1" x14ac:dyDescent="0.25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</row>
    <row r="565" spans="1:28" ht="24" customHeight="1" x14ac:dyDescent="0.25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</row>
    <row r="566" spans="1:28" ht="24" customHeight="1" x14ac:dyDescent="0.25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</row>
    <row r="567" spans="1:28" ht="24" customHeight="1" x14ac:dyDescent="0.25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</row>
    <row r="568" spans="1:28" ht="24" customHeight="1" x14ac:dyDescent="0.25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</row>
    <row r="569" spans="1:28" ht="24" customHeight="1" x14ac:dyDescent="0.25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</row>
    <row r="570" spans="1:28" ht="24" customHeight="1" x14ac:dyDescent="0.25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</row>
    <row r="571" spans="1:28" ht="24" customHeight="1" x14ac:dyDescent="0.25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</row>
    <row r="572" spans="1:28" ht="24" customHeight="1" x14ac:dyDescent="0.25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</row>
    <row r="573" spans="1:28" ht="24" customHeight="1" x14ac:dyDescent="0.25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</row>
    <row r="574" spans="1:28" ht="24" customHeight="1" x14ac:dyDescent="0.25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</row>
    <row r="575" spans="1:28" ht="24" customHeight="1" x14ac:dyDescent="0.25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</row>
    <row r="576" spans="1:28" ht="24" customHeight="1" x14ac:dyDescent="0.25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  <c r="AB576" s="201"/>
    </row>
    <row r="577" spans="1:28" ht="24" customHeight="1" x14ac:dyDescent="0.25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  <c r="AB577" s="201"/>
    </row>
    <row r="578" spans="1:28" ht="24" customHeight="1" x14ac:dyDescent="0.25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  <c r="AB578" s="201"/>
    </row>
    <row r="579" spans="1:28" ht="24" customHeight="1" x14ac:dyDescent="0.25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  <c r="AB579" s="201"/>
    </row>
    <row r="580" spans="1:28" ht="24" customHeight="1" x14ac:dyDescent="0.25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  <c r="AB580" s="201"/>
    </row>
    <row r="581" spans="1:28" ht="24" customHeight="1" x14ac:dyDescent="0.25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  <c r="AB581" s="201"/>
    </row>
    <row r="582" spans="1:28" ht="24" customHeight="1" x14ac:dyDescent="0.25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</row>
    <row r="583" spans="1:28" ht="24" customHeight="1" x14ac:dyDescent="0.25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</row>
    <row r="584" spans="1:28" ht="24" customHeight="1" x14ac:dyDescent="0.25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</row>
    <row r="585" spans="1:28" ht="24" customHeight="1" x14ac:dyDescent="0.25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</row>
    <row r="586" spans="1:28" ht="24" customHeight="1" x14ac:dyDescent="0.25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</row>
    <row r="587" spans="1:28" ht="24" customHeight="1" x14ac:dyDescent="0.25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</row>
    <row r="588" spans="1:28" ht="24" customHeight="1" x14ac:dyDescent="0.25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  <c r="AB588" s="201"/>
    </row>
    <row r="589" spans="1:28" ht="24" customHeight="1" x14ac:dyDescent="0.25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  <c r="AB589" s="201"/>
    </row>
    <row r="590" spans="1:28" ht="24" customHeight="1" x14ac:dyDescent="0.25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  <c r="AB590" s="201"/>
    </row>
    <row r="591" spans="1:28" ht="24" customHeight="1" x14ac:dyDescent="0.25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  <c r="AB591" s="201"/>
    </row>
    <row r="592" spans="1:28" ht="24" customHeight="1" x14ac:dyDescent="0.25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  <c r="AB592" s="201"/>
    </row>
    <row r="593" spans="1:28" ht="24" customHeight="1" x14ac:dyDescent="0.25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  <c r="AB593" s="201"/>
    </row>
    <row r="594" spans="1:28" ht="24" customHeight="1" x14ac:dyDescent="0.25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</row>
    <row r="595" spans="1:28" ht="24" customHeight="1" x14ac:dyDescent="0.25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</row>
    <row r="596" spans="1:28" ht="24" customHeight="1" x14ac:dyDescent="0.25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</row>
    <row r="597" spans="1:28" ht="24" customHeight="1" x14ac:dyDescent="0.25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</row>
    <row r="598" spans="1:28" ht="24" customHeight="1" x14ac:dyDescent="0.25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</row>
    <row r="599" spans="1:28" ht="24" customHeight="1" x14ac:dyDescent="0.25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</row>
    <row r="600" spans="1:28" ht="24" customHeight="1" x14ac:dyDescent="0.25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  <c r="AB600" s="201"/>
    </row>
    <row r="601" spans="1:28" ht="24" customHeight="1" x14ac:dyDescent="0.25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  <c r="AB601" s="201"/>
    </row>
    <row r="602" spans="1:28" ht="24" customHeight="1" x14ac:dyDescent="0.25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  <c r="AB602" s="201"/>
    </row>
    <row r="603" spans="1:28" ht="24" customHeight="1" x14ac:dyDescent="0.25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  <c r="AB603" s="201"/>
    </row>
    <row r="604" spans="1:28" ht="24" customHeight="1" x14ac:dyDescent="0.25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  <c r="AB604" s="201"/>
    </row>
    <row r="605" spans="1:28" ht="24" customHeight="1" x14ac:dyDescent="0.25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  <c r="AB605" s="201"/>
    </row>
    <row r="606" spans="1:28" ht="24" customHeight="1" x14ac:dyDescent="0.25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</row>
    <row r="607" spans="1:28" ht="24" customHeight="1" x14ac:dyDescent="0.25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</row>
    <row r="608" spans="1:28" ht="24" customHeight="1" x14ac:dyDescent="0.25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</row>
    <row r="609" spans="1:28" ht="24" customHeight="1" x14ac:dyDescent="0.25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</row>
    <row r="610" spans="1:28" ht="24" customHeight="1" x14ac:dyDescent="0.25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  <c r="AA610" s="201"/>
      <c r="AB610" s="201"/>
    </row>
    <row r="611" spans="1:28" ht="24" customHeight="1" x14ac:dyDescent="0.25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</row>
    <row r="612" spans="1:28" ht="24" customHeight="1" x14ac:dyDescent="0.25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</row>
    <row r="613" spans="1:28" ht="24" customHeight="1" x14ac:dyDescent="0.25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  <c r="AA613" s="201"/>
      <c r="AB613" s="201"/>
    </row>
    <row r="614" spans="1:28" ht="24" customHeight="1" x14ac:dyDescent="0.25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  <c r="AA614" s="201"/>
      <c r="AB614" s="201"/>
    </row>
    <row r="615" spans="1:28" ht="24" customHeight="1" x14ac:dyDescent="0.25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  <c r="AA615" s="201"/>
      <c r="AB615" s="201"/>
    </row>
    <row r="616" spans="1:28" ht="24" customHeight="1" x14ac:dyDescent="0.25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  <c r="AA616" s="201"/>
      <c r="AB616" s="201"/>
    </row>
    <row r="617" spans="1:28" ht="24" customHeight="1" x14ac:dyDescent="0.25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  <c r="AA617" s="201"/>
      <c r="AB617" s="201"/>
    </row>
    <row r="618" spans="1:28" ht="24" customHeight="1" x14ac:dyDescent="0.25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</row>
    <row r="619" spans="1:28" ht="24" customHeight="1" x14ac:dyDescent="0.25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  <c r="AA619" s="201"/>
      <c r="AB619" s="201"/>
    </row>
    <row r="620" spans="1:28" ht="24" customHeight="1" x14ac:dyDescent="0.25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  <c r="AA620" s="201"/>
      <c r="AB620" s="201"/>
    </row>
    <row r="621" spans="1:28" ht="24" customHeight="1" x14ac:dyDescent="0.25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  <c r="AA621" s="201"/>
      <c r="AB621" s="201"/>
    </row>
    <row r="622" spans="1:28" ht="24" customHeight="1" x14ac:dyDescent="0.25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  <c r="AA622" s="201"/>
      <c r="AB622" s="201"/>
    </row>
    <row r="623" spans="1:28" ht="24" customHeight="1" x14ac:dyDescent="0.25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  <c r="AA623" s="201"/>
      <c r="AB623" s="201"/>
    </row>
    <row r="624" spans="1:28" ht="24" customHeight="1" x14ac:dyDescent="0.25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  <c r="AA624" s="201"/>
      <c r="AB624" s="201"/>
    </row>
    <row r="625" spans="1:28" ht="24" customHeight="1" x14ac:dyDescent="0.25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  <c r="AA625" s="201"/>
      <c r="AB625" s="201"/>
    </row>
    <row r="626" spans="1:28" ht="24" customHeight="1" x14ac:dyDescent="0.25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  <c r="AA626" s="201"/>
      <c r="AB626" s="201"/>
    </row>
    <row r="627" spans="1:28" ht="24" customHeight="1" x14ac:dyDescent="0.25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  <c r="AA627" s="201"/>
      <c r="AB627" s="201"/>
    </row>
    <row r="628" spans="1:28" ht="24" customHeight="1" x14ac:dyDescent="0.25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  <c r="AA628" s="201"/>
      <c r="AB628" s="201"/>
    </row>
    <row r="629" spans="1:28" ht="24" customHeight="1" x14ac:dyDescent="0.25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  <c r="AA629" s="201"/>
      <c r="AB629" s="201"/>
    </row>
    <row r="630" spans="1:28" ht="24" customHeight="1" x14ac:dyDescent="0.25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</row>
    <row r="631" spans="1:28" ht="24" customHeight="1" x14ac:dyDescent="0.25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  <c r="AA631" s="201"/>
      <c r="AB631" s="201"/>
    </row>
    <row r="632" spans="1:28" ht="24" customHeight="1" x14ac:dyDescent="0.25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  <c r="AA632" s="201"/>
      <c r="AB632" s="201"/>
    </row>
    <row r="633" spans="1:28" ht="24" customHeight="1" x14ac:dyDescent="0.25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  <c r="AA633" s="201"/>
      <c r="AB633" s="201"/>
    </row>
    <row r="634" spans="1:28" ht="24" customHeight="1" x14ac:dyDescent="0.25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  <c r="AA634" s="201"/>
      <c r="AB634" s="201"/>
    </row>
    <row r="635" spans="1:28" ht="24" customHeight="1" x14ac:dyDescent="0.25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  <c r="AA635" s="201"/>
      <c r="AB635" s="201"/>
    </row>
    <row r="636" spans="1:28" ht="24" customHeight="1" x14ac:dyDescent="0.25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  <c r="AA636" s="201"/>
      <c r="AB636" s="201"/>
    </row>
    <row r="637" spans="1:28" ht="24" customHeight="1" x14ac:dyDescent="0.25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</row>
    <row r="638" spans="1:28" ht="24" customHeight="1" x14ac:dyDescent="0.25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</row>
    <row r="639" spans="1:28" ht="24" customHeight="1" x14ac:dyDescent="0.25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</row>
    <row r="640" spans="1:28" ht="24" customHeight="1" x14ac:dyDescent="0.25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</row>
    <row r="641" spans="1:28" ht="24" customHeight="1" x14ac:dyDescent="0.25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</row>
    <row r="642" spans="1:28" ht="24" customHeight="1" x14ac:dyDescent="0.25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</row>
    <row r="643" spans="1:28" ht="24" customHeight="1" x14ac:dyDescent="0.25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  <c r="AA643" s="201"/>
      <c r="AB643" s="201"/>
    </row>
    <row r="644" spans="1:28" ht="24" customHeight="1" x14ac:dyDescent="0.25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  <c r="AA644" s="201"/>
      <c r="AB644" s="201"/>
    </row>
    <row r="645" spans="1:28" ht="24" customHeight="1" x14ac:dyDescent="0.25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  <c r="AA645" s="201"/>
      <c r="AB645" s="201"/>
    </row>
    <row r="646" spans="1:28" ht="24" customHeight="1" x14ac:dyDescent="0.25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  <c r="AA646" s="201"/>
      <c r="AB646" s="201"/>
    </row>
    <row r="647" spans="1:28" ht="24" customHeight="1" x14ac:dyDescent="0.25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</row>
    <row r="648" spans="1:28" ht="24" customHeight="1" x14ac:dyDescent="0.25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  <c r="AA648" s="201"/>
      <c r="AB648" s="201"/>
    </row>
    <row r="649" spans="1:28" ht="24" customHeight="1" x14ac:dyDescent="0.25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  <c r="AA649" s="201"/>
      <c r="AB649" s="201"/>
    </row>
    <row r="650" spans="1:28" ht="24" customHeight="1" x14ac:dyDescent="0.25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</row>
    <row r="651" spans="1:28" ht="24" customHeight="1" x14ac:dyDescent="0.25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  <c r="AA651" s="201"/>
      <c r="AB651" s="201"/>
    </row>
    <row r="652" spans="1:28" ht="24" customHeight="1" x14ac:dyDescent="0.25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  <c r="AA652" s="201"/>
      <c r="AB652" s="201"/>
    </row>
    <row r="653" spans="1:28" ht="24" customHeight="1" x14ac:dyDescent="0.25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  <c r="AA653" s="201"/>
      <c r="AB653" s="201"/>
    </row>
    <row r="654" spans="1:28" ht="24" customHeight="1" x14ac:dyDescent="0.25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  <c r="AA654" s="201"/>
      <c r="AB654" s="201"/>
    </row>
    <row r="655" spans="1:28" ht="24" customHeight="1" x14ac:dyDescent="0.25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  <c r="AA655" s="201"/>
      <c r="AB655" s="201"/>
    </row>
    <row r="656" spans="1:28" ht="24" customHeight="1" x14ac:dyDescent="0.25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  <c r="AA656" s="201"/>
      <c r="AB656" s="201"/>
    </row>
    <row r="657" spans="1:28" ht="24" customHeight="1" x14ac:dyDescent="0.25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  <c r="AA657" s="201"/>
      <c r="AB657" s="201"/>
    </row>
    <row r="658" spans="1:28" ht="24" customHeight="1" x14ac:dyDescent="0.25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  <c r="AA658" s="201"/>
      <c r="AB658" s="201"/>
    </row>
    <row r="659" spans="1:28" ht="24" customHeight="1" x14ac:dyDescent="0.25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  <c r="AA659" s="201"/>
      <c r="AB659" s="201"/>
    </row>
    <row r="660" spans="1:28" ht="24" customHeight="1" x14ac:dyDescent="0.25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  <c r="AA660" s="201"/>
      <c r="AB660" s="201"/>
    </row>
    <row r="661" spans="1:28" ht="24" customHeight="1" x14ac:dyDescent="0.25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  <c r="AA661" s="201"/>
      <c r="AB661" s="201"/>
    </row>
    <row r="662" spans="1:28" ht="24" customHeight="1" x14ac:dyDescent="0.25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  <c r="AA662" s="201"/>
      <c r="AB662" s="201"/>
    </row>
    <row r="663" spans="1:28" ht="24" customHeight="1" x14ac:dyDescent="0.25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  <c r="AA663" s="201"/>
      <c r="AB663" s="201"/>
    </row>
    <row r="664" spans="1:28" ht="24" customHeight="1" x14ac:dyDescent="0.25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  <c r="AA664" s="201"/>
      <c r="AB664" s="201"/>
    </row>
    <row r="665" spans="1:28" ht="24" customHeight="1" x14ac:dyDescent="0.25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  <c r="AA665" s="201"/>
      <c r="AB665" s="201"/>
    </row>
    <row r="666" spans="1:28" ht="24" customHeight="1" x14ac:dyDescent="0.25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  <c r="AA666" s="201"/>
      <c r="AB666" s="201"/>
    </row>
    <row r="667" spans="1:28" ht="24" customHeight="1" x14ac:dyDescent="0.25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  <c r="AA667" s="201"/>
      <c r="AB667" s="201"/>
    </row>
    <row r="668" spans="1:28" ht="24" customHeight="1" x14ac:dyDescent="0.25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  <c r="AA668" s="201"/>
      <c r="AB668" s="201"/>
    </row>
    <row r="669" spans="1:28" ht="24" customHeight="1" x14ac:dyDescent="0.25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  <c r="AA669" s="201"/>
      <c r="AB669" s="201"/>
    </row>
    <row r="670" spans="1:28" ht="24" customHeight="1" x14ac:dyDescent="0.25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  <c r="AA670" s="201"/>
      <c r="AB670" s="201"/>
    </row>
    <row r="671" spans="1:28" ht="24" customHeight="1" x14ac:dyDescent="0.25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  <c r="AA671" s="201"/>
      <c r="AB671" s="201"/>
    </row>
    <row r="672" spans="1:28" ht="24" customHeight="1" x14ac:dyDescent="0.25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  <c r="AA672" s="201"/>
      <c r="AB672" s="201"/>
    </row>
    <row r="673" spans="1:28" ht="24" customHeight="1" x14ac:dyDescent="0.25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  <c r="AA673" s="201"/>
      <c r="AB673" s="201"/>
    </row>
    <row r="674" spans="1:28" ht="24" customHeight="1" x14ac:dyDescent="0.25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  <c r="AA674" s="201"/>
      <c r="AB674" s="201"/>
    </row>
    <row r="675" spans="1:28" ht="24" customHeight="1" x14ac:dyDescent="0.25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  <c r="AA675" s="201"/>
      <c r="AB675" s="201"/>
    </row>
    <row r="676" spans="1:28" ht="24" customHeight="1" x14ac:dyDescent="0.25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  <c r="AA676" s="201"/>
      <c r="AB676" s="201"/>
    </row>
    <row r="677" spans="1:28" ht="24" customHeight="1" x14ac:dyDescent="0.25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  <c r="AA677" s="201"/>
      <c r="AB677" s="201"/>
    </row>
    <row r="678" spans="1:28" ht="24" customHeight="1" x14ac:dyDescent="0.25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  <c r="AA678" s="201"/>
      <c r="AB678" s="201"/>
    </row>
    <row r="679" spans="1:28" ht="24" customHeight="1" x14ac:dyDescent="0.25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  <c r="AA679" s="201"/>
      <c r="AB679" s="201"/>
    </row>
    <row r="680" spans="1:28" ht="24" customHeight="1" x14ac:dyDescent="0.25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  <c r="AA680" s="201"/>
      <c r="AB680" s="201"/>
    </row>
    <row r="681" spans="1:28" ht="24" customHeight="1" x14ac:dyDescent="0.25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  <c r="AA681" s="201"/>
      <c r="AB681" s="201"/>
    </row>
    <row r="682" spans="1:28" ht="24" customHeight="1" x14ac:dyDescent="0.25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  <c r="AA682" s="201"/>
      <c r="AB682" s="201"/>
    </row>
    <row r="683" spans="1:28" ht="24" customHeight="1" x14ac:dyDescent="0.25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  <c r="AA683" s="201"/>
      <c r="AB683" s="201"/>
    </row>
    <row r="684" spans="1:28" ht="24" customHeight="1" x14ac:dyDescent="0.25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  <c r="AA684" s="201"/>
      <c r="AB684" s="201"/>
    </row>
    <row r="685" spans="1:28" ht="24" customHeight="1" x14ac:dyDescent="0.25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  <c r="AA685" s="201"/>
      <c r="AB685" s="201"/>
    </row>
    <row r="686" spans="1:28" ht="24" customHeight="1" x14ac:dyDescent="0.25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  <c r="AA686" s="201"/>
      <c r="AB686" s="201"/>
    </row>
    <row r="687" spans="1:28" ht="24" customHeight="1" x14ac:dyDescent="0.25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  <c r="AA687" s="201"/>
      <c r="AB687" s="201"/>
    </row>
    <row r="688" spans="1:28" ht="24" customHeight="1" x14ac:dyDescent="0.25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  <c r="AA688" s="201"/>
      <c r="AB688" s="201"/>
    </row>
    <row r="689" spans="1:28" ht="24" customHeight="1" x14ac:dyDescent="0.25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  <c r="AA689" s="201"/>
      <c r="AB689" s="201"/>
    </row>
    <row r="690" spans="1:28" ht="24" customHeight="1" x14ac:dyDescent="0.25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  <c r="AA690" s="201"/>
      <c r="AB690" s="201"/>
    </row>
    <row r="691" spans="1:28" ht="24" customHeight="1" x14ac:dyDescent="0.25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  <c r="AA691" s="201"/>
      <c r="AB691" s="201"/>
    </row>
    <row r="692" spans="1:28" ht="24" customHeight="1" x14ac:dyDescent="0.25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  <c r="AA692" s="201"/>
      <c r="AB692" s="201"/>
    </row>
    <row r="693" spans="1:28" ht="24" customHeight="1" x14ac:dyDescent="0.25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  <c r="AB693" s="201"/>
    </row>
    <row r="694" spans="1:28" ht="24" customHeight="1" x14ac:dyDescent="0.25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  <c r="AB694" s="201"/>
    </row>
    <row r="695" spans="1:28" ht="24" customHeight="1" x14ac:dyDescent="0.25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  <c r="AB695" s="201"/>
    </row>
    <row r="696" spans="1:28" ht="24" customHeight="1" x14ac:dyDescent="0.25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  <c r="AB696" s="201"/>
    </row>
    <row r="697" spans="1:28" ht="24" customHeight="1" x14ac:dyDescent="0.25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  <c r="AB697" s="201"/>
    </row>
    <row r="698" spans="1:28" ht="24" customHeight="1" x14ac:dyDescent="0.25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  <c r="AB698" s="201"/>
    </row>
    <row r="699" spans="1:28" ht="24" customHeight="1" x14ac:dyDescent="0.25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  <c r="AA699" s="201"/>
      <c r="AB699" s="201"/>
    </row>
    <row r="700" spans="1:28" ht="24" customHeight="1" x14ac:dyDescent="0.25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  <c r="AB700" s="201"/>
    </row>
    <row r="701" spans="1:28" ht="24" customHeight="1" x14ac:dyDescent="0.25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  <c r="AB701" s="201"/>
    </row>
    <row r="702" spans="1:28" ht="24" customHeight="1" x14ac:dyDescent="0.25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  <c r="AB702" s="201"/>
    </row>
    <row r="703" spans="1:28" ht="24" customHeight="1" x14ac:dyDescent="0.25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  <c r="AB703" s="201"/>
    </row>
    <row r="704" spans="1:28" ht="24" customHeight="1" x14ac:dyDescent="0.25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  <c r="AB704" s="201"/>
    </row>
    <row r="705" spans="1:28" ht="24" customHeight="1" x14ac:dyDescent="0.25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  <c r="AB705" s="201"/>
    </row>
    <row r="706" spans="1:28" ht="24" customHeight="1" x14ac:dyDescent="0.25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  <c r="AB706" s="201"/>
    </row>
    <row r="707" spans="1:28" ht="24" customHeight="1" x14ac:dyDescent="0.25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  <c r="AA707" s="201"/>
      <c r="AB707" s="201"/>
    </row>
    <row r="708" spans="1:28" ht="24" customHeight="1" x14ac:dyDescent="0.25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  <c r="AB708" s="201"/>
    </row>
    <row r="709" spans="1:28" ht="24" customHeight="1" x14ac:dyDescent="0.25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  <c r="AA709" s="201"/>
      <c r="AB709" s="201"/>
    </row>
    <row r="710" spans="1:28" ht="24" customHeight="1" x14ac:dyDescent="0.25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  <c r="AB710" s="201"/>
    </row>
    <row r="711" spans="1:28" ht="24" customHeight="1" x14ac:dyDescent="0.25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  <c r="AB711" s="201"/>
    </row>
    <row r="712" spans="1:28" ht="24" customHeight="1" x14ac:dyDescent="0.25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  <c r="AB712" s="201"/>
    </row>
    <row r="713" spans="1:28" ht="24" customHeight="1" x14ac:dyDescent="0.25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</row>
    <row r="714" spans="1:28" ht="24" customHeight="1" x14ac:dyDescent="0.25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</row>
    <row r="715" spans="1:28" ht="24" customHeight="1" x14ac:dyDescent="0.25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</row>
    <row r="716" spans="1:28" ht="24" customHeight="1" x14ac:dyDescent="0.25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  <c r="AB716" s="201"/>
    </row>
    <row r="717" spans="1:28" ht="24" customHeight="1" x14ac:dyDescent="0.25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  <c r="AB717" s="201"/>
    </row>
    <row r="718" spans="1:28" ht="24" customHeight="1" x14ac:dyDescent="0.25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  <c r="AB718" s="201"/>
    </row>
    <row r="719" spans="1:28" ht="24" customHeight="1" x14ac:dyDescent="0.25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  <c r="AB719" s="201"/>
    </row>
    <row r="720" spans="1:28" ht="24" customHeight="1" x14ac:dyDescent="0.25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</row>
    <row r="721" spans="1:28" ht="24" customHeight="1" x14ac:dyDescent="0.25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  <c r="AB721" s="201"/>
    </row>
    <row r="722" spans="1:28" ht="24" customHeight="1" x14ac:dyDescent="0.25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  <c r="AA722" s="201"/>
      <c r="AB722" s="201"/>
    </row>
    <row r="723" spans="1:28" ht="24" customHeight="1" x14ac:dyDescent="0.25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  <c r="AA723" s="201"/>
      <c r="AB723" s="201"/>
    </row>
    <row r="724" spans="1:28" ht="24" customHeight="1" x14ac:dyDescent="0.25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  <c r="AB724" s="201"/>
    </row>
    <row r="725" spans="1:28" ht="24" customHeight="1" x14ac:dyDescent="0.25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  <c r="AB725" s="201"/>
    </row>
    <row r="726" spans="1:28" ht="24" customHeight="1" x14ac:dyDescent="0.25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  <c r="AB726" s="201"/>
    </row>
    <row r="727" spans="1:28" ht="24" customHeight="1" x14ac:dyDescent="0.25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  <c r="AB727" s="201"/>
    </row>
    <row r="728" spans="1:28" ht="24" customHeight="1" x14ac:dyDescent="0.25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  <c r="AB728" s="201"/>
    </row>
    <row r="729" spans="1:28" ht="24" customHeight="1" x14ac:dyDescent="0.25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</row>
    <row r="730" spans="1:28" ht="24" customHeight="1" x14ac:dyDescent="0.25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</row>
    <row r="731" spans="1:28" ht="24" customHeight="1" x14ac:dyDescent="0.25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  <c r="AB731" s="201"/>
    </row>
    <row r="732" spans="1:28" ht="24" customHeight="1" x14ac:dyDescent="0.25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</row>
    <row r="733" spans="1:28" ht="24" customHeight="1" x14ac:dyDescent="0.25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</row>
    <row r="734" spans="1:28" ht="24" customHeight="1" x14ac:dyDescent="0.25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</row>
    <row r="735" spans="1:28" ht="24" customHeight="1" x14ac:dyDescent="0.25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</row>
    <row r="736" spans="1:28" ht="24" customHeight="1" x14ac:dyDescent="0.25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</row>
    <row r="737" spans="1:28" ht="24" customHeight="1" x14ac:dyDescent="0.25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  <c r="AA737" s="201"/>
      <c r="AB737" s="201"/>
    </row>
    <row r="738" spans="1:28" ht="24" customHeight="1" x14ac:dyDescent="0.25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  <c r="AA738" s="201"/>
      <c r="AB738" s="201"/>
    </row>
    <row r="739" spans="1:28" ht="24" customHeight="1" x14ac:dyDescent="0.25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  <c r="AA739" s="201"/>
      <c r="AB739" s="201"/>
    </row>
    <row r="740" spans="1:28" ht="24" customHeight="1" x14ac:dyDescent="0.25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  <c r="AB740" s="201"/>
    </row>
    <row r="741" spans="1:28" ht="24" customHeight="1" x14ac:dyDescent="0.25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  <c r="AB741" s="201"/>
    </row>
    <row r="742" spans="1:28" ht="24" customHeight="1" x14ac:dyDescent="0.25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  <c r="AB742" s="201"/>
    </row>
    <row r="743" spans="1:28" ht="24" customHeight="1" x14ac:dyDescent="0.25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  <c r="AA743" s="201"/>
      <c r="AB743" s="201"/>
    </row>
    <row r="744" spans="1:28" ht="24" customHeight="1" x14ac:dyDescent="0.25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  <c r="AB744" s="201"/>
    </row>
    <row r="745" spans="1:28" ht="24" customHeight="1" x14ac:dyDescent="0.25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  <c r="AB745" s="201"/>
    </row>
    <row r="746" spans="1:28" ht="24" customHeight="1" x14ac:dyDescent="0.25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  <c r="AA746" s="201"/>
      <c r="AB746" s="201"/>
    </row>
    <row r="747" spans="1:28" ht="24" customHeight="1" x14ac:dyDescent="0.25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  <c r="AA747" s="201"/>
      <c r="AB747" s="201"/>
    </row>
    <row r="748" spans="1:28" ht="24" customHeight="1" x14ac:dyDescent="0.25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  <c r="AB748" s="201"/>
    </row>
    <row r="749" spans="1:28" ht="24" customHeight="1" x14ac:dyDescent="0.25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  <c r="AB749" s="201"/>
    </row>
    <row r="750" spans="1:28" ht="24" customHeight="1" x14ac:dyDescent="0.25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  <c r="AB750" s="201"/>
    </row>
    <row r="751" spans="1:28" ht="24" customHeight="1" x14ac:dyDescent="0.25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  <c r="AB751" s="201"/>
    </row>
    <row r="752" spans="1:28" ht="24" customHeight="1" x14ac:dyDescent="0.25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  <c r="AB752" s="201"/>
    </row>
    <row r="753" spans="1:28" ht="24" customHeight="1" x14ac:dyDescent="0.25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  <c r="AB753" s="201"/>
    </row>
    <row r="754" spans="1:28" ht="24" customHeight="1" x14ac:dyDescent="0.25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  <c r="AB754" s="201"/>
    </row>
    <row r="755" spans="1:28" ht="24" customHeight="1" x14ac:dyDescent="0.25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  <c r="AA755" s="201"/>
      <c r="AB755" s="201"/>
    </row>
    <row r="756" spans="1:28" ht="24" customHeight="1" x14ac:dyDescent="0.25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  <c r="AA756" s="201"/>
      <c r="AB756" s="201"/>
    </row>
    <row r="757" spans="1:28" ht="24" customHeight="1" x14ac:dyDescent="0.25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  <c r="AB757" s="201"/>
    </row>
    <row r="758" spans="1:28" ht="24" customHeight="1" x14ac:dyDescent="0.25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  <c r="AA758" s="201"/>
      <c r="AB758" s="201"/>
    </row>
    <row r="759" spans="1:28" ht="24" customHeight="1" x14ac:dyDescent="0.25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  <c r="AA759" s="201"/>
      <c r="AB759" s="201"/>
    </row>
    <row r="760" spans="1:28" ht="24" customHeight="1" x14ac:dyDescent="0.25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  <c r="AA760" s="201"/>
      <c r="AB760" s="201"/>
    </row>
    <row r="761" spans="1:28" ht="24" customHeight="1" x14ac:dyDescent="0.25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  <c r="AB761" s="201"/>
    </row>
    <row r="762" spans="1:28" ht="24" customHeight="1" x14ac:dyDescent="0.25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  <c r="AB762" s="201"/>
    </row>
    <row r="763" spans="1:28" ht="24" customHeight="1" x14ac:dyDescent="0.25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  <c r="AB763" s="201"/>
    </row>
    <row r="764" spans="1:28" ht="24" customHeight="1" x14ac:dyDescent="0.25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  <c r="AB764" s="201"/>
    </row>
    <row r="765" spans="1:28" ht="24" customHeight="1" x14ac:dyDescent="0.25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</row>
    <row r="766" spans="1:28" ht="24" customHeight="1" x14ac:dyDescent="0.25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</row>
    <row r="767" spans="1:28" ht="24" customHeight="1" x14ac:dyDescent="0.25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  <c r="AB767" s="201"/>
    </row>
    <row r="768" spans="1:28" ht="24" customHeight="1" x14ac:dyDescent="0.25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  <c r="AA768" s="201"/>
      <c r="AB768" s="201"/>
    </row>
    <row r="769" spans="1:28" ht="24" customHeight="1" x14ac:dyDescent="0.25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  <c r="AA769" s="201"/>
      <c r="AB769" s="201"/>
    </row>
    <row r="770" spans="1:28" ht="24" customHeight="1" x14ac:dyDescent="0.25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  <c r="AA770" s="201"/>
      <c r="AB770" s="201"/>
    </row>
    <row r="771" spans="1:28" ht="24" customHeight="1" x14ac:dyDescent="0.25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  <c r="AB771" s="201"/>
    </row>
    <row r="772" spans="1:28" ht="24" customHeight="1" x14ac:dyDescent="0.25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</row>
    <row r="773" spans="1:28" ht="24" customHeight="1" x14ac:dyDescent="0.25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  <c r="AB773" s="201"/>
    </row>
    <row r="774" spans="1:28" ht="24" customHeight="1" x14ac:dyDescent="0.25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  <c r="AB774" s="201"/>
    </row>
    <row r="775" spans="1:28" ht="24" customHeight="1" x14ac:dyDescent="0.25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  <c r="AB775" s="201"/>
    </row>
    <row r="776" spans="1:28" ht="24" customHeight="1" x14ac:dyDescent="0.25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  <c r="AA776" s="201"/>
      <c r="AB776" s="201"/>
    </row>
    <row r="777" spans="1:28" ht="24" customHeight="1" x14ac:dyDescent="0.25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  <c r="AA777" s="201"/>
      <c r="AB777" s="201"/>
    </row>
    <row r="778" spans="1:28" ht="24" customHeight="1" x14ac:dyDescent="0.25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  <c r="AA778" s="201"/>
      <c r="AB778" s="201"/>
    </row>
    <row r="779" spans="1:28" ht="24" customHeight="1" x14ac:dyDescent="0.25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  <c r="AA779" s="201"/>
      <c r="AB779" s="201"/>
    </row>
    <row r="780" spans="1:28" ht="24" customHeight="1" x14ac:dyDescent="0.25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  <c r="AA780" s="201"/>
      <c r="AB780" s="201"/>
    </row>
    <row r="781" spans="1:28" ht="24" customHeight="1" x14ac:dyDescent="0.25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  <c r="AA781" s="201"/>
      <c r="AB781" s="201"/>
    </row>
    <row r="782" spans="1:28" ht="24" customHeight="1" x14ac:dyDescent="0.25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  <c r="AB782" s="201"/>
    </row>
    <row r="783" spans="1:28" ht="24" customHeight="1" x14ac:dyDescent="0.25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  <c r="AB783" s="201"/>
    </row>
    <row r="784" spans="1:28" ht="24" customHeight="1" x14ac:dyDescent="0.25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  <c r="AB784" s="201"/>
    </row>
    <row r="785" spans="1:28" ht="24" customHeight="1" x14ac:dyDescent="0.25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  <c r="AB785" s="201"/>
    </row>
    <row r="786" spans="1:28" ht="24" customHeight="1" x14ac:dyDescent="0.25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</row>
    <row r="787" spans="1:28" ht="24" customHeight="1" x14ac:dyDescent="0.25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  <c r="AB787" s="201"/>
    </row>
    <row r="788" spans="1:28" ht="24" customHeight="1" x14ac:dyDescent="0.25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  <c r="AB788" s="201"/>
    </row>
    <row r="789" spans="1:28" ht="24" customHeight="1" x14ac:dyDescent="0.25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</row>
    <row r="790" spans="1:28" ht="24" customHeight="1" x14ac:dyDescent="0.25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</row>
    <row r="791" spans="1:28" ht="24" customHeight="1" x14ac:dyDescent="0.25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</row>
    <row r="792" spans="1:28" ht="24" customHeight="1" x14ac:dyDescent="0.25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</row>
    <row r="793" spans="1:28" ht="24" customHeight="1" x14ac:dyDescent="0.25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</row>
    <row r="794" spans="1:28" ht="24" customHeight="1" x14ac:dyDescent="0.25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</row>
    <row r="795" spans="1:28" ht="24" customHeight="1" x14ac:dyDescent="0.25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</row>
    <row r="796" spans="1:28" ht="24" customHeight="1" x14ac:dyDescent="0.25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</row>
    <row r="797" spans="1:28" ht="24" customHeight="1" x14ac:dyDescent="0.25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  <c r="AB797" s="201"/>
    </row>
    <row r="798" spans="1:28" ht="24" customHeight="1" x14ac:dyDescent="0.25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  <c r="AB798" s="201"/>
    </row>
    <row r="799" spans="1:28" ht="24" customHeight="1" x14ac:dyDescent="0.25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</row>
    <row r="800" spans="1:28" ht="24" customHeight="1" x14ac:dyDescent="0.25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  <c r="AA800" s="201"/>
      <c r="AB800" s="201"/>
    </row>
    <row r="801" spans="1:28" ht="24" customHeight="1" x14ac:dyDescent="0.25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  <c r="AA801" s="201"/>
      <c r="AB801" s="201"/>
    </row>
    <row r="802" spans="1:28" ht="24" customHeight="1" x14ac:dyDescent="0.25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  <c r="AA802" s="201"/>
      <c r="AB802" s="201"/>
    </row>
    <row r="803" spans="1:28" ht="24" customHeight="1" x14ac:dyDescent="0.25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  <c r="AA803" s="201"/>
      <c r="AB803" s="201"/>
    </row>
    <row r="804" spans="1:28" ht="24" customHeight="1" x14ac:dyDescent="0.25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  <c r="AA804" s="201"/>
      <c r="AB804" s="201"/>
    </row>
    <row r="805" spans="1:28" ht="24" customHeight="1" x14ac:dyDescent="0.25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  <c r="AA805" s="201"/>
      <c r="AB805" s="201"/>
    </row>
    <row r="806" spans="1:28" ht="24" customHeight="1" x14ac:dyDescent="0.25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  <c r="AB806" s="201"/>
    </row>
    <row r="807" spans="1:28" ht="24" customHeight="1" x14ac:dyDescent="0.25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</row>
    <row r="808" spans="1:28" ht="24" customHeight="1" x14ac:dyDescent="0.25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</row>
    <row r="809" spans="1:28" ht="24" customHeight="1" x14ac:dyDescent="0.25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</row>
    <row r="810" spans="1:28" ht="24" customHeight="1" x14ac:dyDescent="0.25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</row>
    <row r="811" spans="1:28" ht="24" customHeight="1" x14ac:dyDescent="0.25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</row>
    <row r="812" spans="1:28" ht="24" customHeight="1" x14ac:dyDescent="0.25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</row>
    <row r="813" spans="1:28" ht="24" customHeight="1" x14ac:dyDescent="0.25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</row>
    <row r="814" spans="1:28" ht="24" customHeight="1" x14ac:dyDescent="0.25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</row>
    <row r="815" spans="1:28" ht="24" customHeight="1" x14ac:dyDescent="0.25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</row>
    <row r="816" spans="1:28" ht="24" customHeight="1" x14ac:dyDescent="0.25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</row>
    <row r="817" spans="1:28" ht="24" customHeight="1" x14ac:dyDescent="0.25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  <c r="AB817" s="201"/>
    </row>
    <row r="818" spans="1:28" ht="24" customHeight="1" x14ac:dyDescent="0.25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  <c r="AA818" s="201"/>
      <c r="AB818" s="201"/>
    </row>
    <row r="819" spans="1:28" ht="24" customHeight="1" x14ac:dyDescent="0.25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  <c r="AA819" s="201"/>
      <c r="AB819" s="201"/>
    </row>
    <row r="820" spans="1:28" ht="24" customHeight="1" x14ac:dyDescent="0.25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  <c r="AA820" s="201"/>
      <c r="AB820" s="201"/>
    </row>
    <row r="821" spans="1:28" ht="24" customHeight="1" x14ac:dyDescent="0.25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  <c r="AB821" s="201"/>
    </row>
    <row r="822" spans="1:28" ht="24" customHeight="1" x14ac:dyDescent="0.25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</row>
    <row r="823" spans="1:28" ht="24" customHeight="1" x14ac:dyDescent="0.25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  <c r="AB823" s="201"/>
    </row>
    <row r="824" spans="1:28" ht="24" customHeight="1" x14ac:dyDescent="0.25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  <c r="AB824" s="201"/>
    </row>
    <row r="825" spans="1:28" ht="24" customHeight="1" x14ac:dyDescent="0.25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  <c r="AB825" s="201"/>
    </row>
    <row r="826" spans="1:28" ht="24" customHeight="1" x14ac:dyDescent="0.25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  <c r="AA826" s="201"/>
      <c r="AB826" s="201"/>
    </row>
    <row r="827" spans="1:28" ht="24" customHeight="1" x14ac:dyDescent="0.25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  <c r="AA827" s="201"/>
      <c r="AB827" s="201"/>
    </row>
    <row r="828" spans="1:28" ht="24" customHeight="1" x14ac:dyDescent="0.25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  <c r="AA828" s="201"/>
      <c r="AB828" s="201"/>
    </row>
    <row r="829" spans="1:28" ht="24" customHeight="1" x14ac:dyDescent="0.25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  <c r="AA829" s="201"/>
      <c r="AB829" s="201"/>
    </row>
    <row r="830" spans="1:28" ht="24" customHeight="1" x14ac:dyDescent="0.25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  <c r="AA830" s="201"/>
      <c r="AB830" s="201"/>
    </row>
    <row r="831" spans="1:28" ht="24" customHeight="1" x14ac:dyDescent="0.25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  <c r="AA831" s="201"/>
      <c r="AB831" s="201"/>
    </row>
    <row r="832" spans="1:28" ht="24" customHeight="1" x14ac:dyDescent="0.25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  <c r="AA832" s="201"/>
      <c r="AB832" s="201"/>
    </row>
    <row r="833" spans="1:28" ht="24" customHeight="1" x14ac:dyDescent="0.25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  <c r="AA833" s="201"/>
      <c r="AB833" s="201"/>
    </row>
    <row r="834" spans="1:28" ht="24" customHeight="1" x14ac:dyDescent="0.25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  <c r="AA834" s="201"/>
      <c r="AB834" s="201"/>
    </row>
    <row r="835" spans="1:28" ht="24" customHeight="1" x14ac:dyDescent="0.25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  <c r="AA835" s="201"/>
      <c r="AB835" s="201"/>
    </row>
    <row r="836" spans="1:28" ht="24" customHeight="1" x14ac:dyDescent="0.25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  <c r="AA836" s="201"/>
      <c r="AB836" s="201"/>
    </row>
    <row r="837" spans="1:28" ht="24" customHeight="1" x14ac:dyDescent="0.25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  <c r="AA837" s="201"/>
      <c r="AB837" s="201"/>
    </row>
    <row r="838" spans="1:28" ht="24" customHeight="1" x14ac:dyDescent="0.25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  <c r="AA838" s="201"/>
      <c r="AB838" s="201"/>
    </row>
    <row r="839" spans="1:28" ht="24" customHeight="1" x14ac:dyDescent="0.25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  <c r="AA839" s="201"/>
      <c r="AB839" s="201"/>
    </row>
    <row r="840" spans="1:28" ht="24" customHeight="1" x14ac:dyDescent="0.25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  <c r="AA840" s="201"/>
      <c r="AB840" s="201"/>
    </row>
    <row r="841" spans="1:28" ht="24" customHeight="1" x14ac:dyDescent="0.25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  <c r="AA841" s="201"/>
      <c r="AB841" s="201"/>
    </row>
    <row r="842" spans="1:28" ht="24" customHeight="1" x14ac:dyDescent="0.25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  <c r="AA842" s="201"/>
      <c r="AB842" s="201"/>
    </row>
    <row r="843" spans="1:28" ht="24" customHeight="1" x14ac:dyDescent="0.25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  <c r="AA843" s="201"/>
      <c r="AB843" s="201"/>
    </row>
    <row r="844" spans="1:28" ht="24" customHeight="1" x14ac:dyDescent="0.25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  <c r="AA844" s="201"/>
      <c r="AB844" s="201"/>
    </row>
    <row r="845" spans="1:28" ht="24" customHeight="1" x14ac:dyDescent="0.25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  <c r="AA845" s="201"/>
      <c r="AB845" s="201"/>
    </row>
    <row r="846" spans="1:28" ht="24" customHeight="1" x14ac:dyDescent="0.25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  <c r="AA846" s="201"/>
      <c r="AB846" s="201"/>
    </row>
    <row r="847" spans="1:28" ht="24" customHeight="1" x14ac:dyDescent="0.25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  <c r="AA847" s="201"/>
      <c r="AB847" s="201"/>
    </row>
    <row r="848" spans="1:28" ht="24" customHeight="1" x14ac:dyDescent="0.25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  <c r="AA848" s="201"/>
      <c r="AB848" s="201"/>
    </row>
    <row r="849" spans="1:28" ht="24" customHeight="1" x14ac:dyDescent="0.25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</row>
    <row r="850" spans="1:28" ht="24" customHeight="1" x14ac:dyDescent="0.25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  <c r="AA850" s="201"/>
      <c r="AB850" s="201"/>
    </row>
    <row r="851" spans="1:28" ht="24" customHeight="1" x14ac:dyDescent="0.25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  <c r="AA851" s="201"/>
      <c r="AB851" s="201"/>
    </row>
    <row r="852" spans="1:28" ht="24" customHeight="1" x14ac:dyDescent="0.25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  <c r="AA852" s="201"/>
      <c r="AB852" s="201"/>
    </row>
    <row r="853" spans="1:28" ht="24" customHeight="1" x14ac:dyDescent="0.25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  <c r="AA853" s="201"/>
      <c r="AB853" s="201"/>
    </row>
    <row r="854" spans="1:28" ht="24" customHeight="1" x14ac:dyDescent="0.25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  <c r="AA854" s="201"/>
      <c r="AB854" s="201"/>
    </row>
    <row r="855" spans="1:28" ht="24" customHeight="1" x14ac:dyDescent="0.25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  <c r="AA855" s="201"/>
      <c r="AB855" s="201"/>
    </row>
    <row r="856" spans="1:28" ht="24" customHeight="1" x14ac:dyDescent="0.25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  <c r="AA856" s="201"/>
      <c r="AB856" s="201"/>
    </row>
    <row r="857" spans="1:28" ht="24" customHeight="1" x14ac:dyDescent="0.25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  <c r="AA857" s="201"/>
      <c r="AB857" s="201"/>
    </row>
    <row r="858" spans="1:28" ht="24" customHeight="1" x14ac:dyDescent="0.25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  <c r="AA858" s="201"/>
      <c r="AB858" s="201"/>
    </row>
    <row r="859" spans="1:28" ht="24" customHeight="1" x14ac:dyDescent="0.25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  <c r="AA859" s="201"/>
      <c r="AB859" s="201"/>
    </row>
    <row r="860" spans="1:28" ht="24" customHeight="1" x14ac:dyDescent="0.25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  <c r="AA860" s="201"/>
      <c r="AB860" s="201"/>
    </row>
    <row r="861" spans="1:28" ht="24" customHeight="1" x14ac:dyDescent="0.25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  <c r="AA861" s="201"/>
      <c r="AB861" s="201"/>
    </row>
    <row r="862" spans="1:28" ht="24" customHeight="1" x14ac:dyDescent="0.25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  <c r="AA862" s="201"/>
      <c r="AB862" s="201"/>
    </row>
    <row r="863" spans="1:28" ht="24" customHeight="1" x14ac:dyDescent="0.25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  <c r="AA863" s="201"/>
      <c r="AB863" s="201"/>
    </row>
    <row r="864" spans="1:28" ht="24" customHeight="1" x14ac:dyDescent="0.25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  <c r="AA864" s="201"/>
      <c r="AB864" s="201"/>
    </row>
    <row r="865" spans="1:28" ht="24" customHeight="1" x14ac:dyDescent="0.25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  <c r="AA865" s="201"/>
      <c r="AB865" s="201"/>
    </row>
    <row r="866" spans="1:28" ht="24" customHeight="1" x14ac:dyDescent="0.25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  <c r="AA866" s="201"/>
      <c r="AB866" s="201"/>
    </row>
    <row r="867" spans="1:28" ht="24" customHeight="1" x14ac:dyDescent="0.25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  <c r="AA867" s="201"/>
      <c r="AB867" s="201"/>
    </row>
    <row r="868" spans="1:28" ht="24" customHeight="1" x14ac:dyDescent="0.25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  <c r="AA868" s="201"/>
      <c r="AB868" s="201"/>
    </row>
    <row r="869" spans="1:28" ht="24" customHeight="1" x14ac:dyDescent="0.25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  <c r="AA869" s="201"/>
      <c r="AB869" s="201"/>
    </row>
    <row r="870" spans="1:28" ht="24" customHeight="1" x14ac:dyDescent="0.25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  <c r="AA870" s="201"/>
      <c r="AB870" s="201"/>
    </row>
    <row r="871" spans="1:28" ht="24" customHeight="1" x14ac:dyDescent="0.25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  <c r="AA871" s="201"/>
      <c r="AB871" s="201"/>
    </row>
    <row r="872" spans="1:28" ht="24" customHeight="1" x14ac:dyDescent="0.25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  <c r="AA872" s="201"/>
      <c r="AB872" s="201"/>
    </row>
    <row r="873" spans="1:28" ht="24" customHeight="1" x14ac:dyDescent="0.25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  <c r="AA873" s="201"/>
      <c r="AB873" s="201"/>
    </row>
    <row r="874" spans="1:28" ht="24" customHeight="1" x14ac:dyDescent="0.25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  <c r="AA874" s="201"/>
      <c r="AB874" s="201"/>
    </row>
    <row r="875" spans="1:28" ht="24" customHeight="1" x14ac:dyDescent="0.25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  <c r="AA875" s="201"/>
      <c r="AB875" s="201"/>
    </row>
    <row r="876" spans="1:28" ht="24" customHeight="1" x14ac:dyDescent="0.25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  <c r="AA876" s="201"/>
      <c r="AB876" s="201"/>
    </row>
    <row r="877" spans="1:28" ht="24" customHeight="1" x14ac:dyDescent="0.25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  <c r="AA877" s="201"/>
      <c r="AB877" s="201"/>
    </row>
    <row r="878" spans="1:28" ht="24" customHeight="1" x14ac:dyDescent="0.25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  <c r="AA878" s="201"/>
      <c r="AB878" s="201"/>
    </row>
    <row r="879" spans="1:28" ht="24" customHeight="1" x14ac:dyDescent="0.25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  <c r="AA879" s="201"/>
      <c r="AB879" s="201"/>
    </row>
    <row r="880" spans="1:28" ht="24" customHeight="1" x14ac:dyDescent="0.25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  <c r="AA880" s="201"/>
      <c r="AB880" s="201"/>
    </row>
    <row r="881" spans="1:28" ht="24" customHeight="1" x14ac:dyDescent="0.25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  <c r="AA881" s="201"/>
      <c r="AB881" s="201"/>
    </row>
    <row r="882" spans="1:28" ht="24" customHeight="1" x14ac:dyDescent="0.25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  <c r="AA882" s="201"/>
      <c r="AB882" s="201"/>
    </row>
    <row r="883" spans="1:28" ht="24" customHeight="1" x14ac:dyDescent="0.25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  <c r="AA883" s="201"/>
      <c r="AB883" s="201"/>
    </row>
    <row r="884" spans="1:28" ht="24" customHeight="1" x14ac:dyDescent="0.25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  <c r="AA884" s="201"/>
      <c r="AB884" s="201"/>
    </row>
    <row r="885" spans="1:28" ht="24" customHeight="1" x14ac:dyDescent="0.25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  <c r="AA885" s="201"/>
      <c r="AB885" s="201"/>
    </row>
    <row r="886" spans="1:28" ht="24" customHeight="1" x14ac:dyDescent="0.25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  <c r="AA886" s="201"/>
      <c r="AB886" s="201"/>
    </row>
    <row r="887" spans="1:28" ht="24" customHeight="1" x14ac:dyDescent="0.25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  <c r="AA887" s="201"/>
      <c r="AB887" s="201"/>
    </row>
    <row r="888" spans="1:28" ht="24" customHeight="1" x14ac:dyDescent="0.25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  <c r="AA888" s="201"/>
      <c r="AB888" s="201"/>
    </row>
    <row r="889" spans="1:28" ht="24" customHeight="1" x14ac:dyDescent="0.25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  <c r="AA889" s="201"/>
      <c r="AB889" s="201"/>
    </row>
    <row r="890" spans="1:28" ht="24" customHeight="1" x14ac:dyDescent="0.25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  <c r="AA890" s="201"/>
      <c r="AB890" s="201"/>
    </row>
    <row r="891" spans="1:28" ht="24" customHeight="1" x14ac:dyDescent="0.25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  <c r="AA891" s="201"/>
      <c r="AB891" s="201"/>
    </row>
    <row r="892" spans="1:28" ht="24" customHeight="1" x14ac:dyDescent="0.25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  <c r="AA892" s="201"/>
      <c r="AB892" s="201"/>
    </row>
    <row r="893" spans="1:28" ht="24" customHeight="1" x14ac:dyDescent="0.25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  <c r="AA893" s="201"/>
      <c r="AB893" s="201"/>
    </row>
    <row r="894" spans="1:28" ht="24" customHeight="1" x14ac:dyDescent="0.25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  <c r="AA894" s="201"/>
      <c r="AB894" s="201"/>
    </row>
    <row r="895" spans="1:28" ht="24" customHeight="1" x14ac:dyDescent="0.25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  <c r="AA895" s="201"/>
      <c r="AB895" s="201"/>
    </row>
    <row r="896" spans="1:28" ht="24" customHeight="1" x14ac:dyDescent="0.25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  <c r="AA896" s="201"/>
      <c r="AB896" s="201"/>
    </row>
    <row r="897" spans="1:28" ht="24" customHeight="1" x14ac:dyDescent="0.25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  <c r="AA897" s="201"/>
      <c r="AB897" s="201"/>
    </row>
    <row r="898" spans="1:28" ht="24" customHeight="1" x14ac:dyDescent="0.25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  <c r="AA898" s="201"/>
      <c r="AB898" s="201"/>
    </row>
    <row r="899" spans="1:28" ht="24" customHeight="1" x14ac:dyDescent="0.25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  <c r="AA899" s="201"/>
      <c r="AB899" s="201"/>
    </row>
    <row r="900" spans="1:28" ht="24" customHeight="1" x14ac:dyDescent="0.25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  <c r="AA900" s="201"/>
      <c r="AB900" s="201"/>
    </row>
    <row r="901" spans="1:28" ht="24" customHeight="1" x14ac:dyDescent="0.25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  <c r="AA901" s="201"/>
      <c r="AB901" s="201"/>
    </row>
    <row r="902" spans="1:28" ht="24" customHeight="1" x14ac:dyDescent="0.25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  <c r="AA902" s="201"/>
      <c r="AB902" s="201"/>
    </row>
    <row r="903" spans="1:28" ht="24" customHeight="1" x14ac:dyDescent="0.25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  <c r="AA903" s="201"/>
      <c r="AB903" s="201"/>
    </row>
    <row r="904" spans="1:28" ht="24" customHeight="1" x14ac:dyDescent="0.25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  <c r="AA904" s="201"/>
      <c r="AB904" s="201"/>
    </row>
    <row r="905" spans="1:28" ht="24" customHeight="1" x14ac:dyDescent="0.25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  <c r="AA905" s="201"/>
      <c r="AB905" s="201"/>
    </row>
    <row r="906" spans="1:28" ht="24" customHeight="1" x14ac:dyDescent="0.25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  <c r="AA906" s="201"/>
      <c r="AB906" s="201"/>
    </row>
    <row r="907" spans="1:28" ht="24" customHeight="1" x14ac:dyDescent="0.25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  <c r="AA907" s="201"/>
      <c r="AB907" s="201"/>
    </row>
    <row r="908" spans="1:28" ht="24" customHeight="1" x14ac:dyDescent="0.25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  <c r="AA908" s="201"/>
      <c r="AB908" s="201"/>
    </row>
    <row r="909" spans="1:28" ht="24" customHeight="1" x14ac:dyDescent="0.25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  <c r="AA909" s="201"/>
      <c r="AB909" s="201"/>
    </row>
    <row r="910" spans="1:28" ht="24" customHeight="1" x14ac:dyDescent="0.25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  <c r="AA910" s="201"/>
      <c r="AB910" s="201"/>
    </row>
    <row r="911" spans="1:28" ht="24" customHeight="1" x14ac:dyDescent="0.25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  <c r="AA911" s="201"/>
      <c r="AB911" s="201"/>
    </row>
    <row r="912" spans="1:28" ht="24" customHeight="1" x14ac:dyDescent="0.25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  <c r="AA912" s="201"/>
      <c r="AB912" s="201"/>
    </row>
    <row r="913" spans="1:28" ht="24" customHeight="1" x14ac:dyDescent="0.25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  <c r="AA913" s="201"/>
      <c r="AB913" s="201"/>
    </row>
    <row r="914" spans="1:28" ht="24" customHeight="1" x14ac:dyDescent="0.25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  <c r="AA914" s="201"/>
      <c r="AB914" s="201"/>
    </row>
    <row r="915" spans="1:28" ht="24" customHeight="1" x14ac:dyDescent="0.25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  <c r="AA915" s="201"/>
      <c r="AB915" s="201"/>
    </row>
    <row r="916" spans="1:28" ht="24" customHeight="1" x14ac:dyDescent="0.25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  <c r="AA916" s="201"/>
      <c r="AB916" s="201"/>
    </row>
    <row r="917" spans="1:28" ht="24" customHeight="1" x14ac:dyDescent="0.25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  <c r="AA917" s="201"/>
      <c r="AB917" s="201"/>
    </row>
    <row r="918" spans="1:28" ht="24" customHeight="1" x14ac:dyDescent="0.25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  <c r="AA918" s="201"/>
      <c r="AB918" s="201"/>
    </row>
    <row r="919" spans="1:28" ht="24" customHeight="1" x14ac:dyDescent="0.25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  <c r="AA919" s="201"/>
      <c r="AB919" s="201"/>
    </row>
    <row r="920" spans="1:28" ht="24" customHeight="1" x14ac:dyDescent="0.25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  <c r="AA920" s="201"/>
      <c r="AB920" s="201"/>
    </row>
    <row r="921" spans="1:28" ht="24" customHeight="1" x14ac:dyDescent="0.25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  <c r="AA921" s="201"/>
      <c r="AB921" s="201"/>
    </row>
    <row r="922" spans="1:28" ht="24" customHeight="1" x14ac:dyDescent="0.25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  <c r="AA922" s="201"/>
      <c r="AB922" s="201"/>
    </row>
    <row r="923" spans="1:28" ht="24" customHeight="1" x14ac:dyDescent="0.25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  <c r="AA923" s="201"/>
      <c r="AB923" s="201"/>
    </row>
    <row r="924" spans="1:28" ht="24" customHeight="1" x14ac:dyDescent="0.25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  <c r="AA924" s="201"/>
      <c r="AB924" s="201"/>
    </row>
    <row r="925" spans="1:28" ht="24" customHeight="1" x14ac:dyDescent="0.25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  <c r="AA925" s="201"/>
      <c r="AB925" s="201"/>
    </row>
    <row r="926" spans="1:28" ht="24" customHeight="1" x14ac:dyDescent="0.25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  <c r="AA926" s="201"/>
      <c r="AB926" s="201"/>
    </row>
    <row r="927" spans="1:28" ht="24" customHeight="1" x14ac:dyDescent="0.25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  <c r="AA927" s="201"/>
      <c r="AB927" s="201"/>
    </row>
    <row r="928" spans="1:28" ht="24" customHeight="1" x14ac:dyDescent="0.25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  <c r="AA928" s="201"/>
      <c r="AB928" s="201"/>
    </row>
    <row r="929" spans="1:28" ht="24" customHeight="1" x14ac:dyDescent="0.25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  <c r="AA929" s="201"/>
      <c r="AB929" s="201"/>
    </row>
    <row r="930" spans="1:28" ht="24" customHeight="1" x14ac:dyDescent="0.25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  <c r="AA930" s="201"/>
      <c r="AB930" s="201"/>
    </row>
    <row r="931" spans="1:28" ht="24" customHeight="1" x14ac:dyDescent="0.25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  <c r="AA931" s="201"/>
      <c r="AB931" s="201"/>
    </row>
    <row r="932" spans="1:28" ht="24" customHeight="1" x14ac:dyDescent="0.25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  <c r="AA932" s="201"/>
      <c r="AB932" s="201"/>
    </row>
    <row r="933" spans="1:28" ht="24" customHeight="1" x14ac:dyDescent="0.25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  <c r="AA933" s="201"/>
      <c r="AB933" s="201"/>
    </row>
    <row r="934" spans="1:28" ht="24" customHeight="1" x14ac:dyDescent="0.25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  <c r="AA934" s="201"/>
      <c r="AB934" s="201"/>
    </row>
    <row r="935" spans="1:28" ht="24" customHeight="1" x14ac:dyDescent="0.25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  <c r="AA935" s="201"/>
      <c r="AB935" s="201"/>
    </row>
    <row r="936" spans="1:28" ht="24" customHeight="1" x14ac:dyDescent="0.25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  <c r="AA936" s="201"/>
      <c r="AB936" s="201"/>
    </row>
    <row r="937" spans="1:28" ht="24" customHeight="1" x14ac:dyDescent="0.25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  <c r="AA937" s="201"/>
      <c r="AB937" s="201"/>
    </row>
    <row r="938" spans="1:28" ht="24" customHeight="1" x14ac:dyDescent="0.25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  <c r="AA938" s="201"/>
      <c r="AB938" s="201"/>
    </row>
    <row r="939" spans="1:28" ht="24" customHeight="1" x14ac:dyDescent="0.25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  <c r="AA939" s="201"/>
      <c r="AB939" s="201"/>
    </row>
    <row r="940" spans="1:28" ht="24" customHeight="1" x14ac:dyDescent="0.25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  <c r="AA940" s="201"/>
      <c r="AB940" s="201"/>
    </row>
    <row r="941" spans="1:28" ht="24" customHeight="1" x14ac:dyDescent="0.25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  <c r="AA941" s="201"/>
      <c r="AB941" s="201"/>
    </row>
    <row r="942" spans="1:28" ht="24" customHeight="1" x14ac:dyDescent="0.25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  <c r="AA942" s="201"/>
      <c r="AB942" s="201"/>
    </row>
    <row r="943" spans="1:28" ht="24" customHeight="1" x14ac:dyDescent="0.25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  <c r="AA943" s="201"/>
      <c r="AB943" s="201"/>
    </row>
    <row r="944" spans="1:28" ht="24" customHeight="1" x14ac:dyDescent="0.25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  <c r="AA944" s="201"/>
      <c r="AB944" s="201"/>
    </row>
    <row r="945" spans="1:28" ht="24" customHeight="1" x14ac:dyDescent="0.25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  <c r="AA945" s="201"/>
      <c r="AB945" s="201"/>
    </row>
    <row r="946" spans="1:28" ht="24" customHeight="1" x14ac:dyDescent="0.25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  <c r="AA946" s="201"/>
      <c r="AB946" s="201"/>
    </row>
    <row r="947" spans="1:28" ht="24" customHeight="1" x14ac:dyDescent="0.25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  <c r="AA947" s="201"/>
      <c r="AB947" s="201"/>
    </row>
    <row r="948" spans="1:28" ht="24" customHeight="1" x14ac:dyDescent="0.25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  <c r="AA948" s="201"/>
      <c r="AB948" s="201"/>
    </row>
    <row r="949" spans="1:28" ht="24" customHeight="1" x14ac:dyDescent="0.25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  <c r="AA949" s="201"/>
      <c r="AB949" s="201"/>
    </row>
    <row r="950" spans="1:28" ht="24" customHeight="1" x14ac:dyDescent="0.25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  <c r="AA950" s="201"/>
      <c r="AB950" s="201"/>
    </row>
    <row r="951" spans="1:28" ht="24" customHeight="1" x14ac:dyDescent="0.25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  <c r="AA951" s="201"/>
      <c r="AB951" s="201"/>
    </row>
    <row r="952" spans="1:28" ht="24" customHeight="1" x14ac:dyDescent="0.25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  <c r="AA952" s="201"/>
      <c r="AB952" s="201"/>
    </row>
    <row r="953" spans="1:28" ht="24" customHeight="1" x14ac:dyDescent="0.25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  <c r="AA953" s="201"/>
      <c r="AB953" s="201"/>
    </row>
    <row r="954" spans="1:28" ht="24" customHeight="1" x14ac:dyDescent="0.25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  <c r="AA954" s="201"/>
      <c r="AB954" s="201"/>
    </row>
    <row r="955" spans="1:28" ht="24" customHeight="1" x14ac:dyDescent="0.25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  <c r="AA955" s="201"/>
      <c r="AB955" s="201"/>
    </row>
    <row r="956" spans="1:28" ht="24" customHeight="1" x14ac:dyDescent="0.25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  <c r="AA956" s="201"/>
      <c r="AB956" s="201"/>
    </row>
    <row r="957" spans="1:28" ht="24" customHeight="1" x14ac:dyDescent="0.25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  <c r="AA957" s="201"/>
      <c r="AB957" s="201"/>
    </row>
    <row r="958" spans="1:28" ht="24" customHeight="1" x14ac:dyDescent="0.25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  <c r="AA958" s="201"/>
      <c r="AB958" s="201"/>
    </row>
    <row r="959" spans="1:28" ht="24" customHeight="1" x14ac:dyDescent="0.25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  <c r="AA959" s="201"/>
      <c r="AB959" s="201"/>
    </row>
    <row r="960" spans="1:28" ht="24" customHeight="1" x14ac:dyDescent="0.25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  <c r="AA960" s="201"/>
      <c r="AB960" s="201"/>
    </row>
    <row r="961" spans="1:28" ht="24" customHeight="1" x14ac:dyDescent="0.25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  <c r="AA961" s="201"/>
      <c r="AB961" s="201"/>
    </row>
    <row r="962" spans="1:28" ht="24" customHeight="1" x14ac:dyDescent="0.25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  <c r="AA962" s="201"/>
      <c r="AB962" s="201"/>
    </row>
    <row r="963" spans="1:28" ht="24" customHeight="1" x14ac:dyDescent="0.25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  <c r="AA963" s="201"/>
      <c r="AB963" s="201"/>
    </row>
    <row r="964" spans="1:28" ht="24" customHeight="1" x14ac:dyDescent="0.25">
      <c r="A964" s="201"/>
      <c r="B964" s="201"/>
      <c r="C964" s="201"/>
      <c r="D964" s="201"/>
      <c r="E964" s="201"/>
      <c r="F964" s="201"/>
      <c r="G964" s="20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  <c r="AA964" s="201"/>
      <c r="AB964" s="201"/>
    </row>
    <row r="965" spans="1:28" ht="24" customHeight="1" x14ac:dyDescent="0.25">
      <c r="A965" s="201"/>
      <c r="B965" s="201"/>
      <c r="C965" s="201"/>
      <c r="D965" s="201"/>
      <c r="E965" s="201"/>
      <c r="F965" s="201"/>
      <c r="G965" s="20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  <c r="AA965" s="201"/>
      <c r="AB965" s="201"/>
    </row>
    <row r="966" spans="1:28" ht="24" customHeight="1" x14ac:dyDescent="0.25">
      <c r="A966" s="201"/>
      <c r="B966" s="201"/>
      <c r="C966" s="201"/>
      <c r="D966" s="201"/>
      <c r="E966" s="201"/>
      <c r="F966" s="201"/>
      <c r="G966" s="20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  <c r="AA966" s="201"/>
      <c r="AB966" s="201"/>
    </row>
    <row r="967" spans="1:28" ht="24" customHeight="1" x14ac:dyDescent="0.25">
      <c r="A967" s="201"/>
      <c r="B967" s="201"/>
      <c r="C967" s="201"/>
      <c r="D967" s="201"/>
      <c r="E967" s="201"/>
      <c r="F967" s="201"/>
      <c r="G967" s="20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  <c r="AA967" s="201"/>
      <c r="AB967" s="201"/>
    </row>
    <row r="968" spans="1:28" ht="24" customHeight="1" x14ac:dyDescent="0.25">
      <c r="A968" s="201"/>
      <c r="B968" s="201"/>
      <c r="C968" s="201"/>
      <c r="D968" s="201"/>
      <c r="E968" s="201"/>
      <c r="F968" s="201"/>
      <c r="G968" s="20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  <c r="AA968" s="201"/>
      <c r="AB968" s="201"/>
    </row>
    <row r="969" spans="1:28" ht="24" customHeight="1" x14ac:dyDescent="0.25">
      <c r="A969" s="201"/>
      <c r="B969" s="201"/>
      <c r="C969" s="201"/>
      <c r="D969" s="201"/>
      <c r="E969" s="201"/>
      <c r="F969" s="201"/>
      <c r="G969" s="20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  <c r="AA969" s="201"/>
      <c r="AB969" s="201"/>
    </row>
    <row r="970" spans="1:28" ht="24" customHeight="1" x14ac:dyDescent="0.25">
      <c r="A970" s="201"/>
      <c r="B970" s="201"/>
      <c r="C970" s="201"/>
      <c r="D970" s="201"/>
      <c r="E970" s="201"/>
      <c r="F970" s="201"/>
      <c r="G970" s="20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  <c r="AA970" s="201"/>
      <c r="AB970" s="201"/>
    </row>
    <row r="971" spans="1:28" ht="24" customHeight="1" x14ac:dyDescent="0.25">
      <c r="A971" s="201"/>
      <c r="B971" s="201"/>
      <c r="C971" s="201"/>
      <c r="D971" s="201"/>
      <c r="E971" s="201"/>
      <c r="F971" s="201"/>
      <c r="G971" s="20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  <c r="AA971" s="201"/>
      <c r="AB971" s="201"/>
    </row>
  </sheetData>
  <mergeCells count="39">
    <mergeCell ref="B2:B23"/>
    <mergeCell ref="C2:O2"/>
    <mergeCell ref="P2:S2"/>
    <mergeCell ref="C3:C4"/>
    <mergeCell ref="D3:O3"/>
    <mergeCell ref="P3:S3"/>
    <mergeCell ref="D4:I4"/>
    <mergeCell ref="J4:O4"/>
    <mergeCell ref="P4:S4"/>
    <mergeCell ref="C5:C12"/>
    <mergeCell ref="J8:K8"/>
    <mergeCell ref="L8:M8"/>
    <mergeCell ref="N8:O8"/>
    <mergeCell ref="D9:E9"/>
    <mergeCell ref="F9:G9"/>
    <mergeCell ref="H9:I9"/>
    <mergeCell ref="J22:O22"/>
    <mergeCell ref="D12:I12"/>
    <mergeCell ref="J12:O12"/>
    <mergeCell ref="D13:G13"/>
    <mergeCell ref="H13:I13"/>
    <mergeCell ref="J13:M13"/>
    <mergeCell ref="N13:O13"/>
    <mergeCell ref="D23:G23"/>
    <mergeCell ref="H23:I23"/>
    <mergeCell ref="J23:M23"/>
    <mergeCell ref="N23:O23"/>
    <mergeCell ref="C14:C15"/>
    <mergeCell ref="D14:O14"/>
    <mergeCell ref="D15:I15"/>
    <mergeCell ref="J15:O15"/>
    <mergeCell ref="C16:C22"/>
    <mergeCell ref="D20:E20"/>
    <mergeCell ref="F20:G20"/>
    <mergeCell ref="H20:I20"/>
    <mergeCell ref="J20:K20"/>
    <mergeCell ref="L20:M20"/>
    <mergeCell ref="N20:O20"/>
    <mergeCell ref="D22:I22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216" priority="2" stopIfTrue="1">
      <formula>LEN($D4)=14</formula>
    </cfRule>
  </conditionalFormatting>
  <conditionalFormatting sqref="J4:O4">
    <cfRule type="expression" dxfId="215" priority="3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575C-E886-4093-A02B-698220BB5D96}">
  <dimension ref="A1:AF81"/>
  <sheetViews>
    <sheetView zoomScale="70" zoomScaleNormal="70" workbookViewId="0">
      <selection activeCell="B2" sqref="B2:B25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310" t="s">
        <v>40</v>
      </c>
      <c r="C2" s="2" t="s">
        <v>41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42</v>
      </c>
      <c r="AC2" s="7"/>
      <c r="AD2" s="7"/>
      <c r="AE2" s="8"/>
    </row>
    <row r="3" spans="1:31" ht="24" customHeight="1" thickBot="1" x14ac:dyDescent="0.3">
      <c r="B3" s="311"/>
      <c r="C3" s="308">
        <v>1.3888888888888888E-2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3</v>
      </c>
      <c r="AC3" s="11"/>
      <c r="AD3" s="11"/>
      <c r="AE3" s="12"/>
    </row>
    <row r="4" spans="1:31" ht="24" customHeight="1" thickBot="1" x14ac:dyDescent="0.3">
      <c r="B4" s="311"/>
      <c r="C4" s="31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9" t="s">
        <v>43</v>
      </c>
      <c r="W4" s="7"/>
      <c r="X4" s="7"/>
      <c r="Y4" s="7"/>
      <c r="Z4" s="7"/>
      <c r="AA4" s="7"/>
      <c r="AB4" s="6" t="str">
        <f>CONCATENATE(COUNT(AB6:AB24,AD6:AD24)," VIAGENS")</f>
        <v>38 VIAGENS</v>
      </c>
      <c r="AC4" s="7"/>
      <c r="AD4" s="7"/>
      <c r="AE4" s="8"/>
    </row>
    <row r="5" spans="1:31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6" t="s">
        <v>14</v>
      </c>
      <c r="AC5" s="17" t="s">
        <v>15</v>
      </c>
      <c r="AD5" s="16" t="s">
        <v>14</v>
      </c>
      <c r="AE5" s="17" t="s">
        <v>15</v>
      </c>
    </row>
    <row r="6" spans="1:31" ht="24" customHeight="1" x14ac:dyDescent="0.25">
      <c r="B6" s="311"/>
      <c r="C6" s="314"/>
      <c r="D6" s="18">
        <v>0.21875</v>
      </c>
      <c r="E6" s="19">
        <v>0.23680555555555549</v>
      </c>
      <c r="F6" s="19">
        <v>0.26944444444444438</v>
      </c>
      <c r="G6" s="20">
        <f>F6-D6</f>
        <v>5.0694444444444375E-2</v>
      </c>
      <c r="H6" s="55">
        <v>120</v>
      </c>
      <c r="I6" s="22">
        <v>1</v>
      </c>
      <c r="J6" s="18">
        <v>0.2361111111111111</v>
      </c>
      <c r="K6" s="19">
        <v>0.25555555555555548</v>
      </c>
      <c r="L6" s="19">
        <v>0.28749999999999998</v>
      </c>
      <c r="M6" s="20">
        <f t="shared" ref="M6:M7" si="0">L6-J6</f>
        <v>5.1388888888888873E-2</v>
      </c>
      <c r="N6" s="55">
        <v>120</v>
      </c>
      <c r="O6" s="22">
        <v>2</v>
      </c>
      <c r="P6" s="18">
        <v>0.25</v>
      </c>
      <c r="Q6" s="19">
        <v>0.27569444444444452</v>
      </c>
      <c r="R6" s="19">
        <v>0.30625000000000002</v>
      </c>
      <c r="S6" s="20">
        <f t="shared" ref="S6:S8" si="1">R6-P6</f>
        <v>5.6250000000000022E-2</v>
      </c>
      <c r="T6" s="55">
        <v>120</v>
      </c>
      <c r="U6" s="22">
        <v>3</v>
      </c>
      <c r="V6" s="18">
        <v>0.2638888888888889</v>
      </c>
      <c r="W6" s="19">
        <v>0.28958333333333341</v>
      </c>
      <c r="X6" s="19">
        <v>0.32013888888888892</v>
      </c>
      <c r="Y6" s="20">
        <f t="shared" ref="Y6:Y7" si="2">X6-V6</f>
        <v>5.6250000000000022E-2</v>
      </c>
      <c r="Z6" s="55">
        <v>120</v>
      </c>
      <c r="AA6" s="22">
        <v>4</v>
      </c>
      <c r="AB6" s="23">
        <v>0.21875</v>
      </c>
      <c r="AC6" s="24"/>
      <c r="AD6" s="25">
        <v>0.60138888888888886</v>
      </c>
      <c r="AE6" s="26">
        <f>AD6-AB24</f>
        <v>2.430555555555558E-2</v>
      </c>
    </row>
    <row r="7" spans="1:31" ht="24" customHeight="1" thickBot="1" x14ac:dyDescent="0.3">
      <c r="B7" s="311"/>
      <c r="C7" s="314"/>
      <c r="D7" s="18">
        <v>0.28125</v>
      </c>
      <c r="E7" s="19">
        <v>0.30694444444444452</v>
      </c>
      <c r="F7" s="19">
        <v>0.33888888888888891</v>
      </c>
      <c r="G7" s="20">
        <f t="shared" ref="G7:G8" si="3">F7-D7</f>
        <v>5.7638888888888906E-2</v>
      </c>
      <c r="H7" s="55">
        <v>120</v>
      </c>
      <c r="I7" s="22">
        <v>1</v>
      </c>
      <c r="J7" s="18">
        <v>0.2986111111111111</v>
      </c>
      <c r="K7" s="19">
        <v>0.32291666666666669</v>
      </c>
      <c r="L7" s="19">
        <v>0.35555555555555562</v>
      </c>
      <c r="M7" s="20">
        <f t="shared" si="0"/>
        <v>5.694444444444452E-2</v>
      </c>
      <c r="N7" s="55">
        <v>120</v>
      </c>
      <c r="O7" s="22">
        <v>2</v>
      </c>
      <c r="P7" s="18">
        <v>0.31597222222222221</v>
      </c>
      <c r="Q7" s="19">
        <v>0.34027777777777779</v>
      </c>
      <c r="R7" s="19">
        <v>0.37083333333333329</v>
      </c>
      <c r="S7" s="20">
        <f t="shared" si="1"/>
        <v>5.4861111111111083E-2</v>
      </c>
      <c r="T7" s="55">
        <v>120</v>
      </c>
      <c r="U7" s="22">
        <v>3</v>
      </c>
      <c r="V7" s="18">
        <v>0.33194444444444438</v>
      </c>
      <c r="W7" s="19">
        <v>0.35625000000000001</v>
      </c>
      <c r="X7" s="19">
        <v>0.38680555555555562</v>
      </c>
      <c r="Y7" s="20">
        <f t="shared" si="2"/>
        <v>5.4861111111111249E-2</v>
      </c>
      <c r="Z7" s="55">
        <v>120</v>
      </c>
      <c r="AA7" s="22">
        <v>4</v>
      </c>
      <c r="AB7" s="27">
        <v>0.2361111111111111</v>
      </c>
      <c r="AC7" s="28">
        <f t="shared" ref="AC7:AC24" si="4">AB7-AB6</f>
        <v>1.7361111111111105E-2</v>
      </c>
      <c r="AD7" s="29">
        <v>0.62569444444444444</v>
      </c>
      <c r="AE7" s="30">
        <f t="shared" ref="AE7:AE24" si="5">AD7-AD6</f>
        <v>2.430555555555558E-2</v>
      </c>
    </row>
    <row r="8" spans="1:31" ht="24" customHeight="1" thickBot="1" x14ac:dyDescent="0.3">
      <c r="B8" s="311"/>
      <c r="C8" s="314"/>
      <c r="D8" s="18">
        <v>0.35069444444444442</v>
      </c>
      <c r="E8" s="19">
        <v>0.37430555555555561</v>
      </c>
      <c r="F8" s="19">
        <v>0.40486111111111112</v>
      </c>
      <c r="G8" s="20">
        <f t="shared" si="3"/>
        <v>5.4166666666666696E-2</v>
      </c>
      <c r="H8" s="55">
        <v>120</v>
      </c>
      <c r="I8" s="22">
        <v>1</v>
      </c>
      <c r="J8" s="31">
        <f>IF(L7="",K7,L7)</f>
        <v>0.35555555555555562</v>
      </c>
      <c r="K8" s="32"/>
      <c r="L8" s="31">
        <f>IF(J9="",K9,J9)</f>
        <v>0.40833333333333333</v>
      </c>
      <c r="M8" s="32"/>
      <c r="N8" s="32">
        <f>L8-J8</f>
        <v>5.2777777777777701E-2</v>
      </c>
      <c r="O8" s="32"/>
      <c r="P8" s="18">
        <v>0.38055555555555548</v>
      </c>
      <c r="Q8" s="19">
        <v>0.40208333333333329</v>
      </c>
      <c r="R8" s="19">
        <v>0.43680555555555561</v>
      </c>
      <c r="S8" s="20">
        <f t="shared" si="1"/>
        <v>5.6250000000000133E-2</v>
      </c>
      <c r="T8" s="55">
        <v>120</v>
      </c>
      <c r="U8" s="22">
        <v>3</v>
      </c>
      <c r="V8" s="31">
        <f>IF(X7="",W7,X7)</f>
        <v>0.38680555555555562</v>
      </c>
      <c r="W8" s="32"/>
      <c r="X8" s="31">
        <f>IF(V9="",W9,V9)</f>
        <v>0.43541666666666667</v>
      </c>
      <c r="Y8" s="32"/>
      <c r="Z8" s="32">
        <f>X8-V8</f>
        <v>4.8611111111111049E-2</v>
      </c>
      <c r="AA8" s="33"/>
      <c r="AB8" s="27">
        <v>0.25</v>
      </c>
      <c r="AC8" s="28">
        <f t="shared" si="4"/>
        <v>1.3888888888888895E-2</v>
      </c>
      <c r="AD8" s="29">
        <v>0.65</v>
      </c>
      <c r="AE8" s="30">
        <f t="shared" si="5"/>
        <v>2.430555555555558E-2</v>
      </c>
    </row>
    <row r="9" spans="1:31" ht="24" customHeight="1" thickBot="1" x14ac:dyDescent="0.3">
      <c r="B9" s="311"/>
      <c r="C9" s="314"/>
      <c r="D9" s="31">
        <f>IF(F8="",E8,F8)</f>
        <v>0.40486111111111112</v>
      </c>
      <c r="E9" s="32"/>
      <c r="F9" s="31">
        <f>IF(D10="",E10,D10)</f>
        <v>0.45902777777777781</v>
      </c>
      <c r="G9" s="32"/>
      <c r="H9" s="32">
        <f>F9-D9</f>
        <v>5.4166666666666696E-2</v>
      </c>
      <c r="I9" s="32"/>
      <c r="J9" s="18">
        <v>0.40833333333333333</v>
      </c>
      <c r="K9" s="19">
        <v>0.43263888888888891</v>
      </c>
      <c r="L9" s="19">
        <v>0.46527777777777779</v>
      </c>
      <c r="M9" s="20">
        <f t="shared" ref="M9:M10" si="6">L9-J9</f>
        <v>5.6944444444444464E-2</v>
      </c>
      <c r="N9" s="55">
        <v>120</v>
      </c>
      <c r="O9" s="22">
        <v>2</v>
      </c>
      <c r="P9" s="31">
        <f>IF(R8="",Q8,R8)</f>
        <v>0.43680555555555561</v>
      </c>
      <c r="Q9" s="32"/>
      <c r="R9" s="31">
        <f>IF(P10="",Q10,P10)</f>
        <v>0.49375000000000002</v>
      </c>
      <c r="S9" s="32"/>
      <c r="T9" s="32">
        <f>R9-P9</f>
        <v>5.6944444444444409E-2</v>
      </c>
      <c r="U9" s="32"/>
      <c r="V9" s="18">
        <v>0.43541666666666667</v>
      </c>
      <c r="W9" s="19">
        <v>0.45555555555555549</v>
      </c>
      <c r="X9" s="19">
        <v>0.48888888888888887</v>
      </c>
      <c r="Y9" s="20">
        <f t="shared" ref="Y9:Y11" si="7">X9-V9</f>
        <v>5.3472222222222199E-2</v>
      </c>
      <c r="Z9" s="55">
        <v>120</v>
      </c>
      <c r="AA9" s="22">
        <v>4</v>
      </c>
      <c r="AB9" s="27">
        <v>0.2638888888888889</v>
      </c>
      <c r="AC9" s="28">
        <f t="shared" si="4"/>
        <v>1.3888888888888895E-2</v>
      </c>
      <c r="AD9" s="29">
        <v>0.6743055555555556</v>
      </c>
      <c r="AE9" s="30">
        <f t="shared" si="5"/>
        <v>2.430555555555558E-2</v>
      </c>
    </row>
    <row r="10" spans="1:31" ht="24" customHeight="1" x14ac:dyDescent="0.25">
      <c r="B10" s="311"/>
      <c r="C10" s="314"/>
      <c r="D10" s="18">
        <v>0.45902777777777781</v>
      </c>
      <c r="E10" s="19">
        <v>0.47986111111111113</v>
      </c>
      <c r="F10" s="19">
        <v>0.51249999999999996</v>
      </c>
      <c r="G10" s="20">
        <f>F10-D10</f>
        <v>5.3472222222222143E-2</v>
      </c>
      <c r="H10" s="55">
        <v>120</v>
      </c>
      <c r="I10" s="22">
        <v>1</v>
      </c>
      <c r="J10" s="18">
        <v>0.47361111111111109</v>
      </c>
      <c r="K10" s="19">
        <v>0.49444444444444452</v>
      </c>
      <c r="L10" s="19">
        <v>0.52708333333333335</v>
      </c>
      <c r="M10" s="20">
        <f t="shared" si="6"/>
        <v>5.3472222222222254E-2</v>
      </c>
      <c r="N10" s="55">
        <v>120</v>
      </c>
      <c r="O10" s="22">
        <v>2</v>
      </c>
      <c r="P10" s="18">
        <v>0.49375000000000002</v>
      </c>
      <c r="Q10" s="19">
        <v>0.51736111111111116</v>
      </c>
      <c r="R10" s="19">
        <v>0.54791666666666672</v>
      </c>
      <c r="S10" s="20">
        <f t="shared" ref="S10:S11" si="8">R10-P10</f>
        <v>5.4166666666666696E-2</v>
      </c>
      <c r="T10" s="55">
        <v>120</v>
      </c>
      <c r="U10" s="22">
        <v>3</v>
      </c>
      <c r="V10" s="18">
        <v>0.51111111111111107</v>
      </c>
      <c r="W10" s="19">
        <v>0.53125</v>
      </c>
      <c r="X10" s="19">
        <v>0.55902777777777779</v>
      </c>
      <c r="Y10" s="20">
        <f t="shared" si="7"/>
        <v>4.7916666666666718E-2</v>
      </c>
      <c r="Z10" s="55">
        <v>120</v>
      </c>
      <c r="AA10" s="22">
        <v>4</v>
      </c>
      <c r="AB10" s="27">
        <v>0.28125</v>
      </c>
      <c r="AC10" s="28">
        <f t="shared" si="4"/>
        <v>1.7361111111111105E-2</v>
      </c>
      <c r="AD10" s="29">
        <v>0.69652777777777775</v>
      </c>
      <c r="AE10" s="30">
        <f t="shared" si="5"/>
        <v>2.2222222222222143E-2</v>
      </c>
    </row>
    <row r="11" spans="1:31" ht="24" customHeight="1" thickBot="1" x14ac:dyDescent="0.3">
      <c r="B11" s="311"/>
      <c r="C11" s="314"/>
      <c r="D11" s="18"/>
      <c r="E11" s="19"/>
      <c r="F11" s="19"/>
      <c r="G11" s="20"/>
      <c r="H11" s="55"/>
      <c r="I11" s="22"/>
      <c r="J11" s="18">
        <v>0.53541666666666665</v>
      </c>
      <c r="K11" s="19">
        <v>0.55486111111111114</v>
      </c>
      <c r="L11" s="19">
        <v>0.58263888888888893</v>
      </c>
      <c r="M11" s="20">
        <f>L11-J11</f>
        <v>4.7222222222222276E-2</v>
      </c>
      <c r="N11" s="55">
        <v>120</v>
      </c>
      <c r="O11" s="22">
        <v>2</v>
      </c>
      <c r="P11" s="18">
        <v>0.55972222222222223</v>
      </c>
      <c r="Q11" s="19">
        <v>0.57986111111111116</v>
      </c>
      <c r="R11" s="19">
        <v>0.6118055555555556</v>
      </c>
      <c r="S11" s="20">
        <f t="shared" si="8"/>
        <v>5.208333333333337E-2</v>
      </c>
      <c r="T11" s="55">
        <v>120</v>
      </c>
      <c r="U11" s="22">
        <v>3</v>
      </c>
      <c r="V11" s="18">
        <v>0.57708333333333328</v>
      </c>
      <c r="W11" s="19">
        <v>0.59722222222222221</v>
      </c>
      <c r="X11" s="19">
        <v>0.62777777777777777</v>
      </c>
      <c r="Y11" s="20">
        <f t="shared" si="7"/>
        <v>5.0694444444444486E-2</v>
      </c>
      <c r="Z11" s="55">
        <v>120</v>
      </c>
      <c r="AA11" s="22">
        <v>4</v>
      </c>
      <c r="AB11" s="27">
        <v>0.2986111111111111</v>
      </c>
      <c r="AC11" s="28">
        <f t="shared" si="4"/>
        <v>1.7361111111111105E-2</v>
      </c>
      <c r="AD11" s="29">
        <v>0.71875</v>
      </c>
      <c r="AE11" s="30">
        <f t="shared" si="5"/>
        <v>2.2222222222222254E-2</v>
      </c>
    </row>
    <row r="12" spans="1:31" s="35" customFormat="1" ht="24" customHeight="1" thickBot="1" x14ac:dyDescent="0.3">
      <c r="A12" s="34"/>
      <c r="B12" s="311"/>
      <c r="C12" s="315"/>
      <c r="D12" s="342" t="s">
        <v>44</v>
      </c>
      <c r="E12" s="321"/>
      <c r="F12" s="321"/>
      <c r="G12" s="321"/>
      <c r="H12" s="321"/>
      <c r="I12" s="322"/>
      <c r="J12" s="342" t="s">
        <v>44</v>
      </c>
      <c r="K12" s="321"/>
      <c r="L12" s="321"/>
      <c r="M12" s="321"/>
      <c r="N12" s="321"/>
      <c r="O12" s="322"/>
      <c r="P12" s="342" t="s">
        <v>44</v>
      </c>
      <c r="Q12" s="321"/>
      <c r="R12" s="321"/>
      <c r="S12" s="321"/>
      <c r="T12" s="321"/>
      <c r="U12" s="322"/>
      <c r="V12" s="342" t="s">
        <v>44</v>
      </c>
      <c r="W12" s="321"/>
      <c r="X12" s="321"/>
      <c r="Y12" s="321"/>
      <c r="Z12" s="321"/>
      <c r="AA12" s="321"/>
      <c r="AB12" s="27">
        <v>0.31597222222222221</v>
      </c>
      <c r="AC12" s="28">
        <f t="shared" si="4"/>
        <v>1.7361111111111105E-2</v>
      </c>
      <c r="AD12" s="29">
        <v>0.74097222222222225</v>
      </c>
      <c r="AE12" s="30">
        <f t="shared" si="5"/>
        <v>2.2222222222222254E-2</v>
      </c>
    </row>
    <row r="13" spans="1:31" ht="24" customHeight="1" thickBot="1" x14ac:dyDescent="0.3">
      <c r="B13" s="311"/>
      <c r="C13" s="36" t="s">
        <v>17</v>
      </c>
      <c r="D13" s="37">
        <f>MAX(E6:F11)-IF(D6="",E6,D6)-MIN(H6:H11)+$C3</f>
        <v>0.25347222222222215</v>
      </c>
      <c r="E13" s="38"/>
      <c r="F13" s="38"/>
      <c r="G13" s="39"/>
      <c r="H13" s="40">
        <f ca="1">OFFSET(H5,MATCH(MIN(H6:H11),H6:H11,0),-4)-IF(D6="",E6,D6)+$C3</f>
        <v>0.2</v>
      </c>
      <c r="I13" s="41"/>
      <c r="J13" s="37">
        <f>MAX(K6:L11)-IF(J6="",K6,J6)-MIN(N6:N11)+$C3</f>
        <v>0.30763888888888902</v>
      </c>
      <c r="K13" s="38"/>
      <c r="L13" s="38"/>
      <c r="M13" s="39"/>
      <c r="N13" s="40">
        <f ca="1">OFFSET(N5,MATCH(MIN(N6:N11),N6:N11,0),-4)-IF(J6="",K6,J6)+$C3</f>
        <v>0.13333333333333341</v>
      </c>
      <c r="O13" s="41"/>
      <c r="P13" s="37">
        <f>MAX(Q6:R11)-IF(P6="",Q6,P6)-MIN(T6:T11)+$C3</f>
        <v>0.31875000000000009</v>
      </c>
      <c r="Q13" s="38"/>
      <c r="R13" s="38"/>
      <c r="S13" s="39"/>
      <c r="T13" s="40">
        <f ca="1">OFFSET(T5,MATCH(MIN(T6:T11),T6:T11,0),-4)-IF(P6="",Q6,P6)+$C3</f>
        <v>0.20069444444444451</v>
      </c>
      <c r="U13" s="41"/>
      <c r="V13" s="37">
        <f>MAX(W6:X11)-IF(V6="",W6,V6)-MIN(Z6:Z11)+$C3</f>
        <v>0.32916666666666672</v>
      </c>
      <c r="W13" s="38"/>
      <c r="X13" s="38"/>
      <c r="Y13" s="39"/>
      <c r="Z13" s="40">
        <f ca="1">OFFSET(Z5,MATCH(MIN(Z6:Z11),Z6:Z11,0),-4)-IF(V6="",W6,V6)+$C3</f>
        <v>0.13680555555555562</v>
      </c>
      <c r="AA13" s="42"/>
      <c r="AB13" s="27">
        <v>0.33194444444444438</v>
      </c>
      <c r="AC13" s="28">
        <f t="shared" si="4"/>
        <v>1.5972222222222165E-2</v>
      </c>
      <c r="AD13" s="29">
        <v>0.7631944444444444</v>
      </c>
      <c r="AE13" s="30">
        <f t="shared" si="5"/>
        <v>2.2222222222222143E-2</v>
      </c>
    </row>
    <row r="14" spans="1:31" ht="24" customHeight="1" thickBot="1" x14ac:dyDescent="0.3">
      <c r="B14" s="311"/>
      <c r="C14" s="308">
        <v>1.3888888888888888E-2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8"/>
      <c r="V14" s="9"/>
      <c r="W14" s="7"/>
      <c r="X14" s="7"/>
      <c r="Y14" s="7"/>
      <c r="Z14" s="7"/>
      <c r="AA14" s="7"/>
      <c r="AB14" s="27">
        <v>0.35069444444444442</v>
      </c>
      <c r="AC14" s="28">
        <f t="shared" si="4"/>
        <v>1.8750000000000044E-2</v>
      </c>
      <c r="AD14" s="29">
        <v>0.78749999999999998</v>
      </c>
      <c r="AE14" s="30">
        <f t="shared" si="5"/>
        <v>2.430555555555558E-2</v>
      </c>
    </row>
    <row r="15" spans="1:31" ht="24" customHeight="1" thickBot="1" x14ac:dyDescent="0.3">
      <c r="B15" s="311"/>
      <c r="C15" s="319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21</v>
      </c>
      <c r="Q15" s="7"/>
      <c r="R15" s="7"/>
      <c r="S15" s="7"/>
      <c r="T15" s="7"/>
      <c r="U15" s="8"/>
      <c r="V15" s="9" t="s">
        <v>45</v>
      </c>
      <c r="W15" s="7"/>
      <c r="X15" s="7"/>
      <c r="Y15" s="7"/>
      <c r="Z15" s="7"/>
      <c r="AA15" s="7"/>
      <c r="AB15" s="27">
        <v>0.38055555555555548</v>
      </c>
      <c r="AC15" s="28">
        <f t="shared" si="4"/>
        <v>2.9861111111111061E-2</v>
      </c>
      <c r="AD15" s="29">
        <v>0.81180555555555556</v>
      </c>
      <c r="AE15" s="30">
        <f t="shared" si="5"/>
        <v>2.430555555555558E-2</v>
      </c>
    </row>
    <row r="16" spans="1:31" ht="24" customHeight="1" thickBot="1" x14ac:dyDescent="0.3">
      <c r="B16" s="311"/>
      <c r="C16" s="302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4" t="s">
        <v>13</v>
      </c>
      <c r="V16" s="13" t="s">
        <v>8</v>
      </c>
      <c r="W16" s="14" t="s">
        <v>9</v>
      </c>
      <c r="X16" s="15" t="s">
        <v>10</v>
      </c>
      <c r="Y16" s="14" t="s">
        <v>11</v>
      </c>
      <c r="Z16" s="15" t="s">
        <v>12</v>
      </c>
      <c r="AA16" s="13" t="s">
        <v>13</v>
      </c>
      <c r="AB16" s="27">
        <v>0.40833333333333333</v>
      </c>
      <c r="AC16" s="28">
        <f t="shared" si="4"/>
        <v>2.7777777777777846E-2</v>
      </c>
      <c r="AD16" s="29">
        <v>0.83611111111111114</v>
      </c>
      <c r="AE16" s="30">
        <f t="shared" si="5"/>
        <v>2.430555555555558E-2</v>
      </c>
    </row>
    <row r="17" spans="1:32" ht="24" customHeight="1" x14ac:dyDescent="0.25">
      <c r="B17" s="311"/>
      <c r="C17" s="303"/>
      <c r="D17" s="23">
        <v>0.60138888888888886</v>
      </c>
      <c r="E17" s="25">
        <v>0.62222222222222223</v>
      </c>
      <c r="F17" s="25">
        <v>0.65277777777777779</v>
      </c>
      <c r="G17" s="20">
        <f t="shared" ref="G17:G19" si="9">F17-D17</f>
        <v>5.1388888888888928E-2</v>
      </c>
      <c r="H17" s="56">
        <v>120</v>
      </c>
      <c r="I17" s="48">
        <v>1</v>
      </c>
      <c r="J17" s="23">
        <v>0.62569444444444444</v>
      </c>
      <c r="K17" s="25">
        <v>0.64583333333333337</v>
      </c>
      <c r="L17" s="25">
        <v>0.67638888888888893</v>
      </c>
      <c r="M17" s="20">
        <f t="shared" ref="M17:M18" si="10">L17-J17</f>
        <v>5.0694444444444486E-2</v>
      </c>
      <c r="N17" s="56">
        <v>120</v>
      </c>
      <c r="O17" s="48">
        <v>2</v>
      </c>
      <c r="P17" s="23">
        <v>0.65</v>
      </c>
      <c r="Q17" s="25">
        <v>0.67013888888888884</v>
      </c>
      <c r="R17" s="25">
        <v>0.69791666666666663</v>
      </c>
      <c r="S17" s="20">
        <f t="shared" ref="S17:S19" si="11">R17-P17</f>
        <v>4.7916666666666607E-2</v>
      </c>
      <c r="T17" s="56">
        <v>120</v>
      </c>
      <c r="U17" s="48">
        <v>3</v>
      </c>
      <c r="V17" s="23">
        <v>0.7631944444444444</v>
      </c>
      <c r="W17" s="25">
        <v>0.7895833333333333</v>
      </c>
      <c r="X17" s="25">
        <v>0.8208333333333333</v>
      </c>
      <c r="Y17" s="20">
        <f t="shared" ref="Y17:Y18" si="12">X17-V17</f>
        <v>5.7638888888888906E-2</v>
      </c>
      <c r="Z17" s="56">
        <v>120</v>
      </c>
      <c r="AA17" s="57">
        <v>4</v>
      </c>
      <c r="AB17" s="27">
        <v>0.43541666666666667</v>
      </c>
      <c r="AC17" s="28">
        <f t="shared" si="4"/>
        <v>2.7083333333333348E-2</v>
      </c>
      <c r="AD17" s="29">
        <v>0.86041666666666672</v>
      </c>
      <c r="AE17" s="30">
        <f t="shared" si="5"/>
        <v>2.430555555555558E-2</v>
      </c>
    </row>
    <row r="18" spans="1:32" ht="24" customHeight="1" thickBot="1" x14ac:dyDescent="0.3">
      <c r="B18" s="311"/>
      <c r="C18" s="303"/>
      <c r="D18" s="27">
        <v>0.6743055555555556</v>
      </c>
      <c r="E18" s="29">
        <v>0.69722222222222219</v>
      </c>
      <c r="F18" s="29">
        <v>0.72916666666666663</v>
      </c>
      <c r="G18" s="20">
        <f t="shared" si="9"/>
        <v>5.4861111111111027E-2</v>
      </c>
      <c r="H18" s="58">
        <v>120</v>
      </c>
      <c r="I18" s="50">
        <v>1</v>
      </c>
      <c r="J18" s="27">
        <v>0.69652777777777775</v>
      </c>
      <c r="K18" s="29">
        <v>0.72083333333333333</v>
      </c>
      <c r="L18" s="29">
        <v>0.75347222222222221</v>
      </c>
      <c r="M18" s="20">
        <f t="shared" si="10"/>
        <v>5.6944444444444464E-2</v>
      </c>
      <c r="N18" s="58">
        <v>120</v>
      </c>
      <c r="O18" s="50">
        <v>2</v>
      </c>
      <c r="P18" s="27">
        <v>0.71875</v>
      </c>
      <c r="Q18" s="29">
        <v>0.74097222222222225</v>
      </c>
      <c r="R18" s="29">
        <v>0.77222222222222225</v>
      </c>
      <c r="S18" s="20">
        <f t="shared" si="11"/>
        <v>5.3472222222222254E-2</v>
      </c>
      <c r="T18" s="58">
        <v>120</v>
      </c>
      <c r="U18" s="50">
        <v>3</v>
      </c>
      <c r="V18" s="27">
        <v>0.83611111111111114</v>
      </c>
      <c r="W18" s="29">
        <v>0.8618055555555556</v>
      </c>
      <c r="X18" s="29">
        <v>0.88958333333333328</v>
      </c>
      <c r="Y18" s="20">
        <f t="shared" si="12"/>
        <v>5.3472222222222143E-2</v>
      </c>
      <c r="Z18" s="58">
        <v>120</v>
      </c>
      <c r="AA18" s="64">
        <v>4</v>
      </c>
      <c r="AB18" s="27">
        <v>0.45902777777777781</v>
      </c>
      <c r="AC18" s="28">
        <f t="shared" si="4"/>
        <v>2.3611111111111138E-2</v>
      </c>
      <c r="AD18" s="29">
        <v>0.88472222222222219</v>
      </c>
      <c r="AE18" s="30">
        <f t="shared" si="5"/>
        <v>2.4305555555555469E-2</v>
      </c>
    </row>
    <row r="19" spans="1:32" ht="24" customHeight="1" thickBot="1" x14ac:dyDescent="0.3">
      <c r="B19" s="311"/>
      <c r="C19" s="303"/>
      <c r="D19" s="27">
        <v>0.74097222222222225</v>
      </c>
      <c r="E19" s="29">
        <v>0.76597222222222228</v>
      </c>
      <c r="F19" s="29">
        <v>0.79652777777777772</v>
      </c>
      <c r="G19" s="20">
        <f t="shared" si="9"/>
        <v>5.5555555555555469E-2</v>
      </c>
      <c r="H19" s="58">
        <v>120</v>
      </c>
      <c r="I19" s="50">
        <v>1</v>
      </c>
      <c r="J19" s="31">
        <f>IF(L18="",K18,L18)</f>
        <v>0.75347222222222221</v>
      </c>
      <c r="K19" s="32"/>
      <c r="L19" s="31">
        <f>IF(J20="",K20,J20)</f>
        <v>0.81180555555555556</v>
      </c>
      <c r="M19" s="32"/>
      <c r="N19" s="32">
        <f>L19-J19</f>
        <v>5.8333333333333348E-2</v>
      </c>
      <c r="O19" s="32"/>
      <c r="P19" s="27">
        <v>0.78749999999999998</v>
      </c>
      <c r="Q19" s="29">
        <v>0.81736111111111109</v>
      </c>
      <c r="R19" s="29">
        <v>0.84791666666666665</v>
      </c>
      <c r="S19" s="20">
        <f t="shared" si="11"/>
        <v>6.0416666666666674E-2</v>
      </c>
      <c r="T19" s="58">
        <v>120</v>
      </c>
      <c r="U19" s="50">
        <v>3</v>
      </c>
      <c r="V19" s="31">
        <f>IF(X18="",W18,X18)</f>
        <v>0.88958333333333328</v>
      </c>
      <c r="W19" s="32"/>
      <c r="X19" s="31">
        <f>IF(V20="",W20,V20)</f>
        <v>0.94374999999999998</v>
      </c>
      <c r="Y19" s="32"/>
      <c r="Z19" s="32">
        <f>X19-V19</f>
        <v>5.4166666666666696E-2</v>
      </c>
      <c r="AA19" s="33"/>
      <c r="AB19" s="27">
        <v>0.47361111111111109</v>
      </c>
      <c r="AC19" s="28">
        <f t="shared" si="4"/>
        <v>1.4583333333333282E-2</v>
      </c>
      <c r="AD19" s="29">
        <v>0.90902777777777777</v>
      </c>
      <c r="AE19" s="30">
        <f t="shared" si="5"/>
        <v>2.430555555555558E-2</v>
      </c>
    </row>
    <row r="20" spans="1:32" ht="24" customHeight="1" thickBot="1" x14ac:dyDescent="0.3">
      <c r="B20" s="311"/>
      <c r="C20" s="303"/>
      <c r="D20" s="31">
        <f>IF(F19="",E19,F19)</f>
        <v>0.79652777777777772</v>
      </c>
      <c r="E20" s="32"/>
      <c r="F20" s="31">
        <f>IF(D21="",E21,D21)</f>
        <v>0.86041666666666672</v>
      </c>
      <c r="G20" s="32"/>
      <c r="H20" s="32">
        <f>F20-D20</f>
        <v>6.3888888888888995E-2</v>
      </c>
      <c r="I20" s="32"/>
      <c r="J20" s="27">
        <v>0.81180555555555556</v>
      </c>
      <c r="K20" s="29">
        <v>0.83680555555555558</v>
      </c>
      <c r="L20" s="29">
        <v>0.86458333333333337</v>
      </c>
      <c r="M20" s="20">
        <f t="shared" ref="M20:M21" si="13">L20-J20</f>
        <v>5.2777777777777812E-2</v>
      </c>
      <c r="N20" s="58">
        <v>120</v>
      </c>
      <c r="O20" s="50">
        <v>2</v>
      </c>
      <c r="P20" s="31">
        <f>IF(R19="",Q19,R19)</f>
        <v>0.84791666666666665</v>
      </c>
      <c r="Q20" s="32"/>
      <c r="R20" s="31">
        <f>IF(P21="",Q21,P21)</f>
        <v>0.90902777777777777</v>
      </c>
      <c r="S20" s="32"/>
      <c r="T20" s="32">
        <f>R20-P20</f>
        <v>6.1111111111111116E-2</v>
      </c>
      <c r="U20" s="32"/>
      <c r="V20" s="27">
        <v>0.94374999999999998</v>
      </c>
      <c r="W20" s="29">
        <v>0.96527777777777779</v>
      </c>
      <c r="X20" s="29">
        <v>0.98750000000000004</v>
      </c>
      <c r="Y20" s="20">
        <f t="shared" ref="Y20:Y23" si="14">X20-V20</f>
        <v>4.3750000000000067E-2</v>
      </c>
      <c r="Z20" s="58">
        <v>120</v>
      </c>
      <c r="AA20" s="64">
        <v>4</v>
      </c>
      <c r="AB20" s="27">
        <v>0.49375000000000002</v>
      </c>
      <c r="AC20" s="28">
        <f t="shared" si="4"/>
        <v>2.0138888888888928E-2</v>
      </c>
      <c r="AD20" s="29">
        <v>0.94374999999999998</v>
      </c>
      <c r="AE20" s="30">
        <f t="shared" si="5"/>
        <v>3.472222222222221E-2</v>
      </c>
    </row>
    <row r="21" spans="1:32" ht="24" customHeight="1" x14ac:dyDescent="0.25">
      <c r="B21" s="311"/>
      <c r="C21" s="303"/>
      <c r="D21" s="27">
        <v>0.86041666666666672</v>
      </c>
      <c r="E21" s="29">
        <v>0.8833333333333333</v>
      </c>
      <c r="F21" s="29">
        <v>0.91111111111111109</v>
      </c>
      <c r="G21" s="20">
        <f>F21-D21</f>
        <v>5.0694444444444375E-2</v>
      </c>
      <c r="H21" s="58">
        <v>120</v>
      </c>
      <c r="I21" s="50">
        <v>1</v>
      </c>
      <c r="J21" s="27">
        <v>0.88472222222222219</v>
      </c>
      <c r="K21" s="29">
        <v>0.90763888888888888</v>
      </c>
      <c r="L21" s="29">
        <v>0.93541666666666667</v>
      </c>
      <c r="M21" s="20">
        <f t="shared" si="13"/>
        <v>5.0694444444444486E-2</v>
      </c>
      <c r="N21" s="58">
        <v>120</v>
      </c>
      <c r="O21" s="50">
        <v>2</v>
      </c>
      <c r="P21" s="27">
        <v>0.90902777777777777</v>
      </c>
      <c r="Q21" s="29">
        <v>0.93055555555555558</v>
      </c>
      <c r="R21" s="29">
        <v>0.95277777777777772</v>
      </c>
      <c r="S21" s="20">
        <f t="shared" ref="S21:S22" si="15">R21-P21</f>
        <v>4.3749999999999956E-2</v>
      </c>
      <c r="T21" s="58">
        <v>120</v>
      </c>
      <c r="U21" s="50">
        <v>3</v>
      </c>
      <c r="V21" s="27">
        <v>1</v>
      </c>
      <c r="W21" s="29">
        <v>1.0159722222222223</v>
      </c>
      <c r="X21" s="29">
        <v>1.0375000000000001</v>
      </c>
      <c r="Y21" s="20">
        <f t="shared" si="14"/>
        <v>3.7500000000000089E-2</v>
      </c>
      <c r="Z21" s="58">
        <v>120</v>
      </c>
      <c r="AA21" s="64">
        <v>4</v>
      </c>
      <c r="AB21" s="27">
        <v>0.51111111111111107</v>
      </c>
      <c r="AC21" s="28">
        <f t="shared" si="4"/>
        <v>1.7361111111111049E-2</v>
      </c>
      <c r="AD21" s="29">
        <v>0.96805555555555556</v>
      </c>
      <c r="AE21" s="30">
        <f t="shared" si="5"/>
        <v>2.430555555555558E-2</v>
      </c>
    </row>
    <row r="22" spans="1:32" ht="24" customHeight="1" x14ac:dyDescent="0.25">
      <c r="B22" s="311"/>
      <c r="C22" s="303"/>
      <c r="D22" s="59"/>
      <c r="E22" s="60"/>
      <c r="F22" s="60"/>
      <c r="G22" s="66"/>
      <c r="H22" s="61"/>
      <c r="I22" s="62"/>
      <c r="J22" s="59"/>
      <c r="K22" s="60"/>
      <c r="L22" s="60"/>
      <c r="M22" s="66"/>
      <c r="N22" s="61"/>
      <c r="O22" s="62"/>
      <c r="P22" s="59">
        <v>0.96805555555555556</v>
      </c>
      <c r="Q22" s="60">
        <v>0.98958333333333337</v>
      </c>
      <c r="R22" s="60">
        <v>1.0118055555555556</v>
      </c>
      <c r="S22" s="20">
        <f t="shared" si="15"/>
        <v>4.3750000000000067E-2</v>
      </c>
      <c r="T22" s="61">
        <v>120</v>
      </c>
      <c r="U22" s="62">
        <v>3</v>
      </c>
      <c r="V22" s="59">
        <v>1.0520833333333333</v>
      </c>
      <c r="W22" s="60">
        <v>1.0694444444444444</v>
      </c>
      <c r="X22" s="60">
        <v>1.0868055555555556</v>
      </c>
      <c r="Y22" s="20">
        <f t="shared" si="14"/>
        <v>3.4722222222222321E-2</v>
      </c>
      <c r="Z22" s="61">
        <v>120</v>
      </c>
      <c r="AA22" s="67">
        <v>4</v>
      </c>
      <c r="AB22" s="27">
        <v>0.53541666666666665</v>
      </c>
      <c r="AC22" s="28">
        <f t="shared" si="4"/>
        <v>2.430555555555558E-2</v>
      </c>
      <c r="AD22" s="63">
        <v>1</v>
      </c>
      <c r="AE22" s="30">
        <f t="shared" si="5"/>
        <v>3.1944444444444442E-2</v>
      </c>
    </row>
    <row r="23" spans="1:32" ht="24" customHeight="1" thickBot="1" x14ac:dyDescent="0.3">
      <c r="B23" s="311"/>
      <c r="C23" s="303"/>
      <c r="D23" s="59"/>
      <c r="E23" s="60"/>
      <c r="F23" s="60"/>
      <c r="G23" s="66"/>
      <c r="H23" s="61"/>
      <c r="I23" s="62"/>
      <c r="J23" s="59"/>
      <c r="K23" s="60"/>
      <c r="L23" s="60"/>
      <c r="M23" s="66"/>
      <c r="N23" s="61"/>
      <c r="O23" s="62"/>
      <c r="P23" s="59"/>
      <c r="Q23" s="60"/>
      <c r="R23" s="60"/>
      <c r="S23" s="66"/>
      <c r="T23" s="61"/>
      <c r="U23" s="62"/>
      <c r="V23" s="59">
        <v>1.0972222222222223</v>
      </c>
      <c r="W23" s="60">
        <v>1.1145833333333333</v>
      </c>
      <c r="X23" s="60">
        <v>1.1319444444444444</v>
      </c>
      <c r="Y23" s="20">
        <f t="shared" si="14"/>
        <v>3.4722222222222099E-2</v>
      </c>
      <c r="Z23" s="61">
        <v>120</v>
      </c>
      <c r="AA23" s="67">
        <v>4</v>
      </c>
      <c r="AB23" s="27">
        <v>0.55972222222222223</v>
      </c>
      <c r="AC23" s="28">
        <f t="shared" si="4"/>
        <v>2.430555555555558E-2</v>
      </c>
      <c r="AD23" s="63">
        <v>1.0520833333333333</v>
      </c>
      <c r="AE23" s="30">
        <f t="shared" si="5"/>
        <v>5.2083333333333259E-2</v>
      </c>
    </row>
    <row r="24" spans="1:32" s="35" customFormat="1" ht="24" customHeight="1" thickBot="1" x14ac:dyDescent="0.3">
      <c r="A24" s="34"/>
      <c r="B24" s="311"/>
      <c r="C24" s="304"/>
      <c r="D24" s="342" t="s">
        <v>44</v>
      </c>
      <c r="E24" s="321"/>
      <c r="F24" s="321"/>
      <c r="G24" s="321"/>
      <c r="H24" s="321"/>
      <c r="I24" s="322"/>
      <c r="J24" s="342" t="s">
        <v>44</v>
      </c>
      <c r="K24" s="321"/>
      <c r="L24" s="321"/>
      <c r="M24" s="321"/>
      <c r="N24" s="321"/>
      <c r="O24" s="322"/>
      <c r="P24" s="342" t="s">
        <v>44</v>
      </c>
      <c r="Q24" s="321"/>
      <c r="R24" s="321"/>
      <c r="S24" s="321"/>
      <c r="T24" s="321"/>
      <c r="U24" s="322"/>
      <c r="V24" s="342" t="s">
        <v>44</v>
      </c>
      <c r="W24" s="321"/>
      <c r="X24" s="321"/>
      <c r="Y24" s="321"/>
      <c r="Z24" s="321"/>
      <c r="AA24" s="321"/>
      <c r="AB24" s="43">
        <v>0.57708333333333328</v>
      </c>
      <c r="AC24" s="44">
        <f t="shared" si="4"/>
        <v>1.7361111111111049E-2</v>
      </c>
      <c r="AD24" s="65">
        <v>1.0972222222222223</v>
      </c>
      <c r="AE24" s="46">
        <f t="shared" si="5"/>
        <v>4.5138888888889062E-2</v>
      </c>
      <c r="AF24" s="1"/>
    </row>
    <row r="25" spans="1:32" ht="24" customHeight="1" thickBot="1" x14ac:dyDescent="0.3">
      <c r="B25" s="312"/>
      <c r="C25" s="36" t="s">
        <v>17</v>
      </c>
      <c r="D25" s="37">
        <f>MAX(E17:F23)-IF(D17="",E17,D17)-MIN(H17:H23)+$C14</f>
        <v>0.25972222222222213</v>
      </c>
      <c r="E25" s="51"/>
      <c r="F25" s="51"/>
      <c r="G25" s="52"/>
      <c r="H25" s="53">
        <f ca="1">OFFSET(H16,MATCH(MIN(H17:H23),H17:H23,0),-4)-IF(D17="",E17,D17)</f>
        <v>0.19513888888888886</v>
      </c>
      <c r="I25" s="54"/>
      <c r="J25" s="37">
        <f>MAX(K17:L23)-IF(J17="",K17,J17)-MIN(N17:N23)+$C14</f>
        <v>0.26527777777777778</v>
      </c>
      <c r="K25" s="38"/>
      <c r="L25" s="38"/>
      <c r="M25" s="39"/>
      <c r="N25" s="53">
        <f ca="1">OFFSET(N16,MATCH(MIN(N17:N23),N17:N23,0),-4)-IF(J17="",K17,J17)</f>
        <v>0.12777777777777777</v>
      </c>
      <c r="O25" s="41"/>
      <c r="P25" s="37">
        <f>MAX(Q17:R23)-IF(P17="",Q17,P17)-MIN(T17:T23)+$C14</f>
        <v>0.31458333333333338</v>
      </c>
      <c r="Q25" s="38"/>
      <c r="R25" s="38"/>
      <c r="S25" s="39"/>
      <c r="T25" s="53">
        <f ca="1">OFFSET(T16,MATCH(MIN(T17:T23),T17:T23,0),-4)-IF(P17="",Q17,P17)</f>
        <v>0.19791666666666663</v>
      </c>
      <c r="U25" s="41"/>
      <c r="V25" s="37">
        <f>MAX(W17:X23)-IF(V17="",W17,V17)-MIN(Z17:Z23)+$C14</f>
        <v>0.32847222222222222</v>
      </c>
      <c r="W25" s="38"/>
      <c r="X25" s="38"/>
      <c r="Y25" s="39"/>
      <c r="Z25" s="53">
        <f ca="1">OFFSET(Z16,MATCH(MIN(Z17:Z23),Z17:Z23,0),-4)-IF(V17="",W17,V17)</f>
        <v>0.12638888888888888</v>
      </c>
      <c r="AA25" s="41"/>
    </row>
    <row r="28" spans="1:32" ht="24" customHeight="1" x14ac:dyDescent="0.25">
      <c r="D28"/>
      <c r="E28"/>
      <c r="F28"/>
      <c r="G28"/>
      <c r="H28"/>
      <c r="I28"/>
      <c r="J28"/>
    </row>
    <row r="29" spans="1:32" ht="24" customHeight="1" thickBo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2" ht="24" customHeight="1" thickBot="1" x14ac:dyDescent="0.3">
      <c r="B30" s="310" t="s">
        <v>46</v>
      </c>
      <c r="C30" s="2" t="s">
        <v>47</v>
      </c>
      <c r="D30" s="3"/>
      <c r="E30" s="3"/>
      <c r="F30" s="3"/>
      <c r="G30" s="3"/>
      <c r="H30" s="4"/>
      <c r="I30" s="5"/>
      <c r="J30" s="3"/>
      <c r="K30" s="3"/>
      <c r="L30" s="3"/>
      <c r="M30" s="3"/>
      <c r="N30" s="4"/>
      <c r="O30" s="5"/>
      <c r="P30" s="3"/>
      <c r="Q30" s="3"/>
      <c r="R30" s="3"/>
      <c r="S30" s="3"/>
      <c r="T30" s="4"/>
      <c r="U30" s="5"/>
      <c r="V30" s="3"/>
      <c r="W30" s="3"/>
      <c r="X30" s="3"/>
      <c r="Y30" s="3"/>
      <c r="Z30" s="4"/>
      <c r="AA30" s="5"/>
      <c r="AB30" s="6" t="s">
        <v>42</v>
      </c>
      <c r="AC30" s="7"/>
      <c r="AD30" s="7"/>
      <c r="AE30" s="8"/>
    </row>
    <row r="31" spans="1:32" ht="24" customHeight="1" thickBot="1" x14ac:dyDescent="0.3">
      <c r="B31" s="311"/>
      <c r="C31" s="308">
        <v>1.3888888888888888E-2</v>
      </c>
      <c r="D31" s="9" t="s">
        <v>2</v>
      </c>
      <c r="E31" s="7"/>
      <c r="F31" s="7"/>
      <c r="G31" s="7"/>
      <c r="H31" s="7"/>
      <c r="I31" s="8"/>
      <c r="J31" s="9"/>
      <c r="K31" s="7"/>
      <c r="L31" s="7"/>
      <c r="M31" s="7"/>
      <c r="N31" s="7"/>
      <c r="O31" s="8"/>
      <c r="P31" s="9"/>
      <c r="Q31" s="7"/>
      <c r="R31" s="7"/>
      <c r="S31" s="7"/>
      <c r="T31" s="7"/>
      <c r="U31" s="8"/>
      <c r="V31" s="9"/>
      <c r="W31" s="7"/>
      <c r="X31" s="7"/>
      <c r="Y31" s="7"/>
      <c r="Z31" s="7"/>
      <c r="AA31" s="8"/>
      <c r="AB31" s="10" t="s">
        <v>23</v>
      </c>
      <c r="AC31" s="11"/>
      <c r="AD31" s="11"/>
      <c r="AE31" s="12"/>
    </row>
    <row r="32" spans="1:32" ht="24" customHeight="1" thickBot="1" x14ac:dyDescent="0.3">
      <c r="B32" s="311"/>
      <c r="C32" s="319"/>
      <c r="D32" s="9" t="s">
        <v>4</v>
      </c>
      <c r="E32" s="7"/>
      <c r="F32" s="7"/>
      <c r="G32" s="7"/>
      <c r="H32" s="7"/>
      <c r="I32" s="8"/>
      <c r="J32" s="9" t="s">
        <v>5</v>
      </c>
      <c r="K32" s="7"/>
      <c r="L32" s="7"/>
      <c r="M32" s="7"/>
      <c r="N32" s="7"/>
      <c r="O32" s="8"/>
      <c r="P32" s="9" t="s">
        <v>6</v>
      </c>
      <c r="Q32" s="7"/>
      <c r="R32" s="7"/>
      <c r="S32" s="7"/>
      <c r="T32" s="7"/>
      <c r="U32" s="8"/>
      <c r="V32" s="9" t="s">
        <v>43</v>
      </c>
      <c r="W32" s="7"/>
      <c r="X32" s="7"/>
      <c r="Y32" s="7"/>
      <c r="Z32" s="7"/>
      <c r="AA32" s="7"/>
      <c r="AB32" s="6" t="str">
        <f>CONCATENATE(COUNT(AB34:AB52,AD34:AD52)," VIAGENS")</f>
        <v>38 VIAGENS</v>
      </c>
      <c r="AC32" s="7"/>
      <c r="AD32" s="7"/>
      <c r="AE32" s="8"/>
    </row>
    <row r="33" spans="2:31" ht="24" customHeight="1" thickBot="1" x14ac:dyDescent="0.3">
      <c r="B33" s="311"/>
      <c r="C33" s="313" t="s">
        <v>7</v>
      </c>
      <c r="D33" s="13" t="s">
        <v>8</v>
      </c>
      <c r="E33" s="14" t="s">
        <v>9</v>
      </c>
      <c r="F33" s="15" t="s">
        <v>10</v>
      </c>
      <c r="G33" s="14" t="s">
        <v>11</v>
      </c>
      <c r="H33" s="15" t="s">
        <v>12</v>
      </c>
      <c r="I33" s="14" t="s">
        <v>13</v>
      </c>
      <c r="J33" s="13" t="s">
        <v>8</v>
      </c>
      <c r="K33" s="14" t="s">
        <v>9</v>
      </c>
      <c r="L33" s="15" t="s">
        <v>10</v>
      </c>
      <c r="M33" s="14" t="s">
        <v>11</v>
      </c>
      <c r="N33" s="15" t="s">
        <v>12</v>
      </c>
      <c r="O33" s="14" t="s">
        <v>13</v>
      </c>
      <c r="P33" s="13" t="s">
        <v>8</v>
      </c>
      <c r="Q33" s="14" t="s">
        <v>9</v>
      </c>
      <c r="R33" s="15" t="s">
        <v>10</v>
      </c>
      <c r="S33" s="14" t="s">
        <v>11</v>
      </c>
      <c r="T33" s="15" t="s">
        <v>12</v>
      </c>
      <c r="U33" s="14" t="s">
        <v>13</v>
      </c>
      <c r="V33" s="13" t="s">
        <v>8</v>
      </c>
      <c r="W33" s="14" t="s">
        <v>9</v>
      </c>
      <c r="X33" s="15" t="s">
        <v>10</v>
      </c>
      <c r="Y33" s="14" t="s">
        <v>11</v>
      </c>
      <c r="Z33" s="15" t="s">
        <v>12</v>
      </c>
      <c r="AA33" s="13" t="s">
        <v>13</v>
      </c>
      <c r="AB33" s="16" t="s">
        <v>14</v>
      </c>
      <c r="AC33" s="17" t="s">
        <v>15</v>
      </c>
      <c r="AD33" s="16" t="s">
        <v>14</v>
      </c>
      <c r="AE33" s="17" t="s">
        <v>15</v>
      </c>
    </row>
    <row r="34" spans="2:31" ht="24" customHeight="1" x14ac:dyDescent="0.25">
      <c r="B34" s="311"/>
      <c r="C34" s="314"/>
      <c r="D34" s="18">
        <v>0.21875</v>
      </c>
      <c r="E34" s="19">
        <v>0.23680555555555549</v>
      </c>
      <c r="F34" s="19">
        <v>0.26944444444444438</v>
      </c>
      <c r="G34" s="20">
        <f>F34-D34</f>
        <v>5.0694444444444375E-2</v>
      </c>
      <c r="H34" s="55">
        <v>120</v>
      </c>
      <c r="I34" s="22">
        <v>1</v>
      </c>
      <c r="J34" s="18">
        <v>0.2361111111111111</v>
      </c>
      <c r="K34" s="19">
        <v>0.25555555555555548</v>
      </c>
      <c r="L34" s="19">
        <v>0.28749999999999998</v>
      </c>
      <c r="M34" s="20">
        <f t="shared" ref="M34:M35" si="16">L34-J34</f>
        <v>5.1388888888888873E-2</v>
      </c>
      <c r="N34" s="55">
        <v>120</v>
      </c>
      <c r="O34" s="22">
        <v>2</v>
      </c>
      <c r="P34" s="18">
        <v>0.25</v>
      </c>
      <c r="Q34" s="19">
        <v>0.27569444444444452</v>
      </c>
      <c r="R34" s="19">
        <v>0.30625000000000002</v>
      </c>
      <c r="S34" s="20">
        <f t="shared" ref="S34:S36" si="17">R34-P34</f>
        <v>5.6250000000000022E-2</v>
      </c>
      <c r="T34" s="55">
        <v>120</v>
      </c>
      <c r="U34" s="22">
        <v>3</v>
      </c>
      <c r="V34" s="18">
        <v>0.2638888888888889</v>
      </c>
      <c r="W34" s="19">
        <v>0.28958333333333341</v>
      </c>
      <c r="X34" s="19">
        <v>0.32013888888888892</v>
      </c>
      <c r="Y34" s="20">
        <f t="shared" ref="Y34:Y35" si="18">X34-V34</f>
        <v>5.6250000000000022E-2</v>
      </c>
      <c r="Z34" s="55">
        <v>120</v>
      </c>
      <c r="AA34" s="22">
        <v>4</v>
      </c>
      <c r="AB34" s="23">
        <v>0.21875</v>
      </c>
      <c r="AC34" s="24"/>
      <c r="AD34" s="25">
        <v>0.60138888888888886</v>
      </c>
      <c r="AE34" s="26">
        <f>AD34-AB52</f>
        <v>2.430555555555558E-2</v>
      </c>
    </row>
    <row r="35" spans="2:31" ht="24" customHeight="1" thickBot="1" x14ac:dyDescent="0.3">
      <c r="B35" s="311"/>
      <c r="C35" s="314"/>
      <c r="D35" s="18">
        <v>0.28125</v>
      </c>
      <c r="E35" s="19">
        <v>0.30694444444444452</v>
      </c>
      <c r="F35" s="19">
        <v>0.33888888888888891</v>
      </c>
      <c r="G35" s="20">
        <f t="shared" ref="G35:G36" si="19">F35-D35</f>
        <v>5.7638888888888906E-2</v>
      </c>
      <c r="H35" s="55">
        <v>120</v>
      </c>
      <c r="I35" s="22">
        <v>1</v>
      </c>
      <c r="J35" s="18">
        <v>0.2986111111111111</v>
      </c>
      <c r="K35" s="19">
        <v>0.32291666666666669</v>
      </c>
      <c r="L35" s="19">
        <v>0.35555555555555562</v>
      </c>
      <c r="M35" s="20">
        <f t="shared" si="16"/>
        <v>5.694444444444452E-2</v>
      </c>
      <c r="N35" s="55">
        <v>120</v>
      </c>
      <c r="O35" s="22">
        <v>2</v>
      </c>
      <c r="P35" s="18">
        <v>0.31597222222222221</v>
      </c>
      <c r="Q35" s="19">
        <v>0.34027777777777779</v>
      </c>
      <c r="R35" s="19">
        <v>0.37083333333333329</v>
      </c>
      <c r="S35" s="20">
        <f t="shared" si="17"/>
        <v>5.4861111111111083E-2</v>
      </c>
      <c r="T35" s="55">
        <v>120</v>
      </c>
      <c r="U35" s="22">
        <v>3</v>
      </c>
      <c r="V35" s="18">
        <v>0.33194444444444438</v>
      </c>
      <c r="W35" s="19">
        <v>0.35625000000000001</v>
      </c>
      <c r="X35" s="19">
        <v>0.38680555555555562</v>
      </c>
      <c r="Y35" s="20">
        <f t="shared" si="18"/>
        <v>5.4861111111111249E-2</v>
      </c>
      <c r="Z35" s="55">
        <v>120</v>
      </c>
      <c r="AA35" s="22">
        <v>4</v>
      </c>
      <c r="AB35" s="27">
        <v>0.2361111111111111</v>
      </c>
      <c r="AC35" s="28">
        <f t="shared" ref="AC35:AC52" si="20">AB35-AB34</f>
        <v>1.7361111111111105E-2</v>
      </c>
      <c r="AD35" s="29">
        <v>0.62569444444444444</v>
      </c>
      <c r="AE35" s="30">
        <f t="shared" ref="AE35:AE52" si="21">AD35-AD34</f>
        <v>2.430555555555558E-2</v>
      </c>
    </row>
    <row r="36" spans="2:31" ht="24" customHeight="1" thickBot="1" x14ac:dyDescent="0.3">
      <c r="B36" s="311"/>
      <c r="C36" s="314"/>
      <c r="D36" s="18">
        <v>0.35069444444444442</v>
      </c>
      <c r="E36" s="19">
        <v>0.37430555555555561</v>
      </c>
      <c r="F36" s="19">
        <v>0.40486111111111112</v>
      </c>
      <c r="G36" s="20">
        <f t="shared" si="19"/>
        <v>5.4166666666666696E-2</v>
      </c>
      <c r="H36" s="55">
        <v>120</v>
      </c>
      <c r="I36" s="22">
        <v>1</v>
      </c>
      <c r="J36" s="31">
        <f>IF(L35="",K35,L35)</f>
        <v>0.35555555555555562</v>
      </c>
      <c r="K36" s="32"/>
      <c r="L36" s="31">
        <f>IF(J37="",K37,J37)</f>
        <v>0.40833333333333333</v>
      </c>
      <c r="M36" s="32"/>
      <c r="N36" s="32">
        <f>L36-J36</f>
        <v>5.2777777777777701E-2</v>
      </c>
      <c r="O36" s="32"/>
      <c r="P36" s="18">
        <v>0.38055555555555548</v>
      </c>
      <c r="Q36" s="19">
        <v>0.40208333333333329</v>
      </c>
      <c r="R36" s="19">
        <v>0.43680555555555561</v>
      </c>
      <c r="S36" s="20">
        <f t="shared" si="17"/>
        <v>5.6250000000000133E-2</v>
      </c>
      <c r="T36" s="55">
        <v>120</v>
      </c>
      <c r="U36" s="22">
        <v>3</v>
      </c>
      <c r="V36" s="31">
        <f>IF(X35="",W35,X35)</f>
        <v>0.38680555555555562</v>
      </c>
      <c r="W36" s="32"/>
      <c r="X36" s="31">
        <f>IF(V37="",W37,V37)</f>
        <v>0.43541666666666667</v>
      </c>
      <c r="Y36" s="32"/>
      <c r="Z36" s="32">
        <f>X36-V36</f>
        <v>4.8611111111111049E-2</v>
      </c>
      <c r="AA36" s="33"/>
      <c r="AB36" s="27">
        <v>0.25</v>
      </c>
      <c r="AC36" s="28">
        <f t="shared" si="20"/>
        <v>1.3888888888888895E-2</v>
      </c>
      <c r="AD36" s="29">
        <v>0.65</v>
      </c>
      <c r="AE36" s="30">
        <f t="shared" si="21"/>
        <v>2.430555555555558E-2</v>
      </c>
    </row>
    <row r="37" spans="2:31" ht="24" customHeight="1" thickBot="1" x14ac:dyDescent="0.3">
      <c r="B37" s="311"/>
      <c r="C37" s="314"/>
      <c r="D37" s="31">
        <f>IF(F36="",E36,F36)</f>
        <v>0.40486111111111112</v>
      </c>
      <c r="E37" s="32"/>
      <c r="F37" s="31">
        <f>IF(D38="",E38,D38)</f>
        <v>0.45902777777777781</v>
      </c>
      <c r="G37" s="32"/>
      <c r="H37" s="32">
        <f>F37-D37</f>
        <v>5.4166666666666696E-2</v>
      </c>
      <c r="I37" s="32"/>
      <c r="J37" s="18">
        <v>0.40833333333333333</v>
      </c>
      <c r="K37" s="19">
        <v>0.43263888888888891</v>
      </c>
      <c r="L37" s="19">
        <v>0.46527777777777779</v>
      </c>
      <c r="M37" s="20">
        <f t="shared" ref="M37:M38" si="22">L37-J37</f>
        <v>5.6944444444444464E-2</v>
      </c>
      <c r="N37" s="55">
        <v>120</v>
      </c>
      <c r="O37" s="22">
        <v>2</v>
      </c>
      <c r="P37" s="31">
        <f>IF(R36="",Q36,R36)</f>
        <v>0.43680555555555561</v>
      </c>
      <c r="Q37" s="32"/>
      <c r="R37" s="31">
        <f>IF(P38="",Q38,P38)</f>
        <v>0.49375000000000002</v>
      </c>
      <c r="S37" s="32"/>
      <c r="T37" s="32">
        <f>R37-P37</f>
        <v>5.6944444444444409E-2</v>
      </c>
      <c r="U37" s="32"/>
      <c r="V37" s="18">
        <v>0.43541666666666667</v>
      </c>
      <c r="W37" s="19">
        <v>0.45555555555555549</v>
      </c>
      <c r="X37" s="19">
        <v>0.48888888888888887</v>
      </c>
      <c r="Y37" s="20">
        <f t="shared" ref="Y37:Y39" si="23">X37-V37</f>
        <v>5.3472222222222199E-2</v>
      </c>
      <c r="Z37" s="55">
        <v>120</v>
      </c>
      <c r="AA37" s="22">
        <v>4</v>
      </c>
      <c r="AB37" s="27">
        <v>0.2638888888888889</v>
      </c>
      <c r="AC37" s="28">
        <f t="shared" si="20"/>
        <v>1.3888888888888895E-2</v>
      </c>
      <c r="AD37" s="29">
        <v>0.6743055555555556</v>
      </c>
      <c r="AE37" s="30">
        <f t="shared" si="21"/>
        <v>2.430555555555558E-2</v>
      </c>
    </row>
    <row r="38" spans="2:31" ht="24" customHeight="1" x14ac:dyDescent="0.25">
      <c r="B38" s="311"/>
      <c r="C38" s="314"/>
      <c r="D38" s="18">
        <v>0.45902777777777781</v>
      </c>
      <c r="E38" s="19">
        <v>0.47986111111111113</v>
      </c>
      <c r="F38" s="19">
        <v>0.51249999999999996</v>
      </c>
      <c r="G38" s="20">
        <f>F38-D38</f>
        <v>5.3472222222222143E-2</v>
      </c>
      <c r="H38" s="55">
        <v>120</v>
      </c>
      <c r="I38" s="22">
        <v>1</v>
      </c>
      <c r="J38" s="18">
        <v>0.47361111111111109</v>
      </c>
      <c r="K38" s="19">
        <v>0.49444444444444452</v>
      </c>
      <c r="L38" s="19">
        <v>0.52708333333333335</v>
      </c>
      <c r="M38" s="20">
        <f t="shared" si="22"/>
        <v>5.3472222222222254E-2</v>
      </c>
      <c r="N38" s="55">
        <v>120</v>
      </c>
      <c r="O38" s="22">
        <v>2</v>
      </c>
      <c r="P38" s="18">
        <v>0.49375000000000002</v>
      </c>
      <c r="Q38" s="19">
        <v>0.51736111111111116</v>
      </c>
      <c r="R38" s="19">
        <v>0.54791666666666672</v>
      </c>
      <c r="S38" s="20">
        <f t="shared" ref="S38:S39" si="24">R38-P38</f>
        <v>5.4166666666666696E-2</v>
      </c>
      <c r="T38" s="55">
        <v>120</v>
      </c>
      <c r="U38" s="22">
        <v>3</v>
      </c>
      <c r="V38" s="18">
        <v>0.51111111111111107</v>
      </c>
      <c r="W38" s="19">
        <v>0.53125</v>
      </c>
      <c r="X38" s="19">
        <v>0.55902777777777779</v>
      </c>
      <c r="Y38" s="20">
        <f t="shared" si="23"/>
        <v>4.7916666666666718E-2</v>
      </c>
      <c r="Z38" s="55">
        <v>120</v>
      </c>
      <c r="AA38" s="22">
        <v>4</v>
      </c>
      <c r="AB38" s="27">
        <v>0.28125</v>
      </c>
      <c r="AC38" s="28">
        <f t="shared" si="20"/>
        <v>1.7361111111111105E-2</v>
      </c>
      <c r="AD38" s="29">
        <v>0.69652777777777775</v>
      </c>
      <c r="AE38" s="30">
        <f t="shared" si="21"/>
        <v>2.2222222222222143E-2</v>
      </c>
    </row>
    <row r="39" spans="2:31" ht="24" customHeight="1" thickBot="1" x14ac:dyDescent="0.3">
      <c r="B39" s="311"/>
      <c r="C39" s="314"/>
      <c r="D39" s="18"/>
      <c r="E39" s="19"/>
      <c r="F39" s="19"/>
      <c r="G39" s="20"/>
      <c r="H39" s="55"/>
      <c r="I39" s="22"/>
      <c r="J39" s="18">
        <v>0.53541666666666665</v>
      </c>
      <c r="K39" s="19">
        <v>0.55486111111111114</v>
      </c>
      <c r="L39" s="19">
        <v>0.58263888888888893</v>
      </c>
      <c r="M39" s="20">
        <f>L39-J39</f>
        <v>4.7222222222222276E-2</v>
      </c>
      <c r="N39" s="55">
        <v>120</v>
      </c>
      <c r="O39" s="22">
        <v>2</v>
      </c>
      <c r="P39" s="18">
        <v>0.55972222222222223</v>
      </c>
      <c r="Q39" s="19">
        <v>0.57986111111111116</v>
      </c>
      <c r="R39" s="19">
        <v>0.6118055555555556</v>
      </c>
      <c r="S39" s="20">
        <f t="shared" si="24"/>
        <v>5.208333333333337E-2</v>
      </c>
      <c r="T39" s="55">
        <v>120</v>
      </c>
      <c r="U39" s="22">
        <v>3</v>
      </c>
      <c r="V39" s="18">
        <v>0.57708333333333328</v>
      </c>
      <c r="W39" s="19">
        <v>0.59722222222222221</v>
      </c>
      <c r="X39" s="19">
        <v>0.62777777777777777</v>
      </c>
      <c r="Y39" s="20">
        <f t="shared" si="23"/>
        <v>5.0694444444444486E-2</v>
      </c>
      <c r="Z39" s="55">
        <v>120</v>
      </c>
      <c r="AA39" s="22">
        <v>4</v>
      </c>
      <c r="AB39" s="27">
        <v>0.2986111111111111</v>
      </c>
      <c r="AC39" s="28">
        <f t="shared" si="20"/>
        <v>1.7361111111111105E-2</v>
      </c>
      <c r="AD39" s="29">
        <v>0.71875</v>
      </c>
      <c r="AE39" s="30">
        <f t="shared" si="21"/>
        <v>2.2222222222222254E-2</v>
      </c>
    </row>
    <row r="40" spans="2:31" ht="24" customHeight="1" thickBot="1" x14ac:dyDescent="0.3">
      <c r="B40" s="311"/>
      <c r="C40" s="315"/>
      <c r="D40" s="342" t="s">
        <v>44</v>
      </c>
      <c r="E40" s="321"/>
      <c r="F40" s="321"/>
      <c r="G40" s="321"/>
      <c r="H40" s="321"/>
      <c r="I40" s="322"/>
      <c r="J40" s="342" t="s">
        <v>44</v>
      </c>
      <c r="K40" s="321"/>
      <c r="L40" s="321"/>
      <c r="M40" s="321"/>
      <c r="N40" s="321"/>
      <c r="O40" s="322"/>
      <c r="P40" s="342" t="s">
        <v>44</v>
      </c>
      <c r="Q40" s="321"/>
      <c r="R40" s="321"/>
      <c r="S40" s="321"/>
      <c r="T40" s="321"/>
      <c r="U40" s="322"/>
      <c r="V40" s="342" t="s">
        <v>44</v>
      </c>
      <c r="W40" s="321"/>
      <c r="X40" s="321"/>
      <c r="Y40" s="321"/>
      <c r="Z40" s="321"/>
      <c r="AA40" s="321"/>
      <c r="AB40" s="27">
        <v>0.31597222222222221</v>
      </c>
      <c r="AC40" s="28">
        <f t="shared" si="20"/>
        <v>1.7361111111111105E-2</v>
      </c>
      <c r="AD40" s="29">
        <v>0.74097222222222225</v>
      </c>
      <c r="AE40" s="30">
        <f t="shared" si="21"/>
        <v>2.2222222222222254E-2</v>
      </c>
    </row>
    <row r="41" spans="2:31" ht="24" customHeight="1" thickBot="1" x14ac:dyDescent="0.3">
      <c r="B41" s="311"/>
      <c r="C41" s="36" t="s">
        <v>17</v>
      </c>
      <c r="D41" s="37">
        <f>MAX(E34:F39)-IF(D34="",E34,D34)-MIN(H34:H39)+$C31</f>
        <v>0.25347222222222215</v>
      </c>
      <c r="E41" s="38"/>
      <c r="F41" s="38"/>
      <c r="G41" s="39"/>
      <c r="H41" s="40">
        <f ca="1">OFFSET(H33,MATCH(MIN(H34:H39),H34:H39,0),-4)-IF(D34="",E34,D34)+$C31</f>
        <v>0.2</v>
      </c>
      <c r="I41" s="41"/>
      <c r="J41" s="37">
        <f>MAX(K34:L39)-IF(J34="",K34,J34)-MIN(N34:N39)+$C31</f>
        <v>0.30763888888888902</v>
      </c>
      <c r="K41" s="38"/>
      <c r="L41" s="38"/>
      <c r="M41" s="39"/>
      <c r="N41" s="40">
        <f ca="1">OFFSET(N33,MATCH(MIN(N34:N39),N34:N39,0),-4)-IF(J34="",K34,J34)+$C31</f>
        <v>0.13333333333333341</v>
      </c>
      <c r="O41" s="41"/>
      <c r="P41" s="37">
        <f>MAX(Q34:R39)-IF(P34="",Q34,P34)-MIN(T34:T39)+$C31</f>
        <v>0.31875000000000009</v>
      </c>
      <c r="Q41" s="38"/>
      <c r="R41" s="38"/>
      <c r="S41" s="39"/>
      <c r="T41" s="40">
        <f ca="1">OFFSET(T33,MATCH(MIN(T34:T39),T34:T39,0),-4)-IF(P34="",Q34,P34)+$C31</f>
        <v>0.20069444444444451</v>
      </c>
      <c r="U41" s="41"/>
      <c r="V41" s="37">
        <f>MAX(W34:X39)-IF(V34="",W34,V34)-MIN(Z34:Z39)+$C31</f>
        <v>0.32916666666666672</v>
      </c>
      <c r="W41" s="38"/>
      <c r="X41" s="38"/>
      <c r="Y41" s="39"/>
      <c r="Z41" s="40">
        <f ca="1">OFFSET(Z33,MATCH(MIN(Z34:Z39),Z34:Z39,0),-4)-IF(V34="",W34,V34)+$C31</f>
        <v>0.13680555555555562</v>
      </c>
      <c r="AA41" s="42"/>
      <c r="AB41" s="27">
        <v>0.33194444444444438</v>
      </c>
      <c r="AC41" s="28">
        <f t="shared" si="20"/>
        <v>1.5972222222222165E-2</v>
      </c>
      <c r="AD41" s="29">
        <v>0.7631944444444444</v>
      </c>
      <c r="AE41" s="30">
        <f t="shared" si="21"/>
        <v>2.2222222222222143E-2</v>
      </c>
    </row>
    <row r="42" spans="2:31" ht="24" customHeight="1" thickBot="1" x14ac:dyDescent="0.3">
      <c r="B42" s="311"/>
      <c r="C42" s="308">
        <v>1.3888888888888888E-2</v>
      </c>
      <c r="D42" s="9" t="s">
        <v>18</v>
      </c>
      <c r="E42" s="7"/>
      <c r="F42" s="7"/>
      <c r="G42" s="7"/>
      <c r="H42" s="7"/>
      <c r="I42" s="8"/>
      <c r="J42" s="9"/>
      <c r="K42" s="7"/>
      <c r="L42" s="7"/>
      <c r="M42" s="7"/>
      <c r="N42" s="7"/>
      <c r="O42" s="8"/>
      <c r="P42" s="9"/>
      <c r="Q42" s="7"/>
      <c r="R42" s="7"/>
      <c r="S42" s="7"/>
      <c r="T42" s="7"/>
      <c r="U42" s="8"/>
      <c r="V42" s="9"/>
      <c r="W42" s="7"/>
      <c r="X42" s="7"/>
      <c r="Y42" s="7"/>
      <c r="Z42" s="7"/>
      <c r="AA42" s="7"/>
      <c r="AB42" s="27">
        <v>0.35069444444444442</v>
      </c>
      <c r="AC42" s="28">
        <f t="shared" si="20"/>
        <v>1.8750000000000044E-2</v>
      </c>
      <c r="AD42" s="29">
        <v>0.78749999999999998</v>
      </c>
      <c r="AE42" s="30">
        <f t="shared" si="21"/>
        <v>2.430555555555558E-2</v>
      </c>
    </row>
    <row r="43" spans="2:31" ht="24" customHeight="1" thickBot="1" x14ac:dyDescent="0.3">
      <c r="B43" s="311"/>
      <c r="C43" s="319"/>
      <c r="D43" s="9" t="s">
        <v>19</v>
      </c>
      <c r="E43" s="7"/>
      <c r="F43" s="7"/>
      <c r="G43" s="7"/>
      <c r="H43" s="7"/>
      <c r="I43" s="8"/>
      <c r="J43" s="9" t="s">
        <v>20</v>
      </c>
      <c r="K43" s="7"/>
      <c r="L43" s="7"/>
      <c r="M43" s="7"/>
      <c r="N43" s="7"/>
      <c r="O43" s="8"/>
      <c r="P43" s="9" t="s">
        <v>21</v>
      </c>
      <c r="Q43" s="7"/>
      <c r="R43" s="7"/>
      <c r="S43" s="7"/>
      <c r="T43" s="7"/>
      <c r="U43" s="8"/>
      <c r="V43" s="9" t="s">
        <v>45</v>
      </c>
      <c r="W43" s="7"/>
      <c r="X43" s="7"/>
      <c r="Y43" s="7"/>
      <c r="Z43" s="7"/>
      <c r="AA43" s="7"/>
      <c r="AB43" s="27">
        <v>0.38055555555555548</v>
      </c>
      <c r="AC43" s="28">
        <f t="shared" si="20"/>
        <v>2.9861111111111061E-2</v>
      </c>
      <c r="AD43" s="29">
        <v>0.81180555555555556</v>
      </c>
      <c r="AE43" s="30">
        <f t="shared" si="21"/>
        <v>2.430555555555558E-2</v>
      </c>
    </row>
    <row r="44" spans="2:31" ht="24" customHeight="1" thickBot="1" x14ac:dyDescent="0.3">
      <c r="B44" s="311"/>
      <c r="C44" s="302" t="s">
        <v>7</v>
      </c>
      <c r="D44" s="13" t="s">
        <v>8</v>
      </c>
      <c r="E44" s="14" t="s">
        <v>9</v>
      </c>
      <c r="F44" s="15" t="s">
        <v>10</v>
      </c>
      <c r="G44" s="14" t="s">
        <v>11</v>
      </c>
      <c r="H44" s="15" t="s">
        <v>12</v>
      </c>
      <c r="I44" s="14" t="s">
        <v>13</v>
      </c>
      <c r="J44" s="15" t="s">
        <v>8</v>
      </c>
      <c r="K44" s="14" t="s">
        <v>9</v>
      </c>
      <c r="L44" s="15" t="s">
        <v>10</v>
      </c>
      <c r="M44" s="14" t="s">
        <v>11</v>
      </c>
      <c r="N44" s="15" t="s">
        <v>12</v>
      </c>
      <c r="O44" s="14" t="s">
        <v>13</v>
      </c>
      <c r="P44" s="13" t="s">
        <v>8</v>
      </c>
      <c r="Q44" s="14" t="s">
        <v>9</v>
      </c>
      <c r="R44" s="15" t="s">
        <v>10</v>
      </c>
      <c r="S44" s="14" t="s">
        <v>11</v>
      </c>
      <c r="T44" s="15" t="s">
        <v>12</v>
      </c>
      <c r="U44" s="14" t="s">
        <v>13</v>
      </c>
      <c r="V44" s="13" t="s">
        <v>8</v>
      </c>
      <c r="W44" s="14" t="s">
        <v>9</v>
      </c>
      <c r="X44" s="15" t="s">
        <v>10</v>
      </c>
      <c r="Y44" s="14" t="s">
        <v>11</v>
      </c>
      <c r="Z44" s="15" t="s">
        <v>12</v>
      </c>
      <c r="AA44" s="13" t="s">
        <v>13</v>
      </c>
      <c r="AB44" s="27">
        <v>0.40833333333333333</v>
      </c>
      <c r="AC44" s="28">
        <f t="shared" si="20"/>
        <v>2.7777777777777846E-2</v>
      </c>
      <c r="AD44" s="29">
        <v>0.83611111111111114</v>
      </c>
      <c r="AE44" s="30">
        <f t="shared" si="21"/>
        <v>2.430555555555558E-2</v>
      </c>
    </row>
    <row r="45" spans="2:31" ht="24" customHeight="1" x14ac:dyDescent="0.25">
      <c r="B45" s="311"/>
      <c r="C45" s="303"/>
      <c r="D45" s="23">
        <v>0.60138888888888886</v>
      </c>
      <c r="E45" s="25">
        <v>0.62222222222222223</v>
      </c>
      <c r="F45" s="25">
        <v>0.65277777777777779</v>
      </c>
      <c r="G45" s="20">
        <f t="shared" ref="G45:G47" si="25">F45-D45</f>
        <v>5.1388888888888928E-2</v>
      </c>
      <c r="H45" s="56">
        <v>120</v>
      </c>
      <c r="I45" s="48">
        <v>1</v>
      </c>
      <c r="J45" s="23">
        <v>0.62569444444444444</v>
      </c>
      <c r="K45" s="25">
        <v>0.64583333333333337</v>
      </c>
      <c r="L45" s="25">
        <v>0.67638888888888893</v>
      </c>
      <c r="M45" s="20">
        <f t="shared" ref="M45:M46" si="26">L45-J45</f>
        <v>5.0694444444444486E-2</v>
      </c>
      <c r="N45" s="56">
        <v>120</v>
      </c>
      <c r="O45" s="48">
        <v>2</v>
      </c>
      <c r="P45" s="23">
        <v>0.65</v>
      </c>
      <c r="Q45" s="25">
        <v>0.67013888888888884</v>
      </c>
      <c r="R45" s="25">
        <v>0.69791666666666663</v>
      </c>
      <c r="S45" s="20">
        <f t="shared" ref="S45:S47" si="27">R45-P45</f>
        <v>4.7916666666666607E-2</v>
      </c>
      <c r="T45" s="56">
        <v>120</v>
      </c>
      <c r="U45" s="48">
        <v>3</v>
      </c>
      <c r="V45" s="23">
        <v>0.7631944444444444</v>
      </c>
      <c r="W45" s="25">
        <v>0.7895833333333333</v>
      </c>
      <c r="X45" s="25">
        <v>0.8208333333333333</v>
      </c>
      <c r="Y45" s="20">
        <f t="shared" ref="Y45:Y46" si="28">X45-V45</f>
        <v>5.7638888888888906E-2</v>
      </c>
      <c r="Z45" s="56">
        <v>120</v>
      </c>
      <c r="AA45" s="57">
        <v>4</v>
      </c>
      <c r="AB45" s="27">
        <v>0.43541666666666667</v>
      </c>
      <c r="AC45" s="28">
        <f t="shared" si="20"/>
        <v>2.7083333333333348E-2</v>
      </c>
      <c r="AD45" s="29">
        <v>0.86041666666666672</v>
      </c>
      <c r="AE45" s="30">
        <f t="shared" si="21"/>
        <v>2.430555555555558E-2</v>
      </c>
    </row>
    <row r="46" spans="2:31" ht="24" customHeight="1" thickBot="1" x14ac:dyDescent="0.3">
      <c r="B46" s="311"/>
      <c r="C46" s="303"/>
      <c r="D46" s="27">
        <v>0.6743055555555556</v>
      </c>
      <c r="E46" s="29">
        <v>0.69722222222222219</v>
      </c>
      <c r="F46" s="29">
        <v>0.72916666666666663</v>
      </c>
      <c r="G46" s="20">
        <f t="shared" si="25"/>
        <v>5.4861111111111027E-2</v>
      </c>
      <c r="H46" s="58">
        <v>120</v>
      </c>
      <c r="I46" s="50">
        <v>1</v>
      </c>
      <c r="J46" s="27">
        <v>0.69652777777777775</v>
      </c>
      <c r="K46" s="29">
        <v>0.72083333333333333</v>
      </c>
      <c r="L46" s="29">
        <v>0.75347222222222221</v>
      </c>
      <c r="M46" s="20">
        <f t="shared" si="26"/>
        <v>5.6944444444444464E-2</v>
      </c>
      <c r="N46" s="58">
        <v>120</v>
      </c>
      <c r="O46" s="50">
        <v>2</v>
      </c>
      <c r="P46" s="27">
        <v>0.71875</v>
      </c>
      <c r="Q46" s="29">
        <v>0.74097222222222225</v>
      </c>
      <c r="R46" s="29">
        <v>0.77222222222222225</v>
      </c>
      <c r="S46" s="20">
        <f t="shared" si="27"/>
        <v>5.3472222222222254E-2</v>
      </c>
      <c r="T46" s="58">
        <v>120</v>
      </c>
      <c r="U46" s="50">
        <v>3</v>
      </c>
      <c r="V46" s="27">
        <v>0.83611111111111114</v>
      </c>
      <c r="W46" s="29">
        <v>0.8618055555555556</v>
      </c>
      <c r="X46" s="29">
        <v>0.88958333333333328</v>
      </c>
      <c r="Y46" s="20">
        <f t="shared" si="28"/>
        <v>5.3472222222222143E-2</v>
      </c>
      <c r="Z46" s="58">
        <v>120</v>
      </c>
      <c r="AA46" s="64">
        <v>4</v>
      </c>
      <c r="AB46" s="27">
        <v>0.45902777777777781</v>
      </c>
      <c r="AC46" s="28">
        <f t="shared" si="20"/>
        <v>2.3611111111111138E-2</v>
      </c>
      <c r="AD46" s="29">
        <v>0.88472222222222219</v>
      </c>
      <c r="AE46" s="30">
        <f t="shared" si="21"/>
        <v>2.4305555555555469E-2</v>
      </c>
    </row>
    <row r="47" spans="2:31" ht="24" customHeight="1" thickBot="1" x14ac:dyDescent="0.3">
      <c r="B47" s="311"/>
      <c r="C47" s="303"/>
      <c r="D47" s="27">
        <v>0.74097222222222225</v>
      </c>
      <c r="E47" s="29">
        <v>0.76597222222222228</v>
      </c>
      <c r="F47" s="29">
        <v>0.79652777777777772</v>
      </c>
      <c r="G47" s="20">
        <f t="shared" si="25"/>
        <v>5.5555555555555469E-2</v>
      </c>
      <c r="H47" s="58">
        <v>120</v>
      </c>
      <c r="I47" s="50">
        <v>1</v>
      </c>
      <c r="J47" s="31">
        <f>IF(L46="",K46,L46)</f>
        <v>0.75347222222222221</v>
      </c>
      <c r="K47" s="32"/>
      <c r="L47" s="31">
        <f>IF(J48="",K48,J48)</f>
        <v>0.81180555555555556</v>
      </c>
      <c r="M47" s="32"/>
      <c r="N47" s="32">
        <f>L47-J47</f>
        <v>5.8333333333333348E-2</v>
      </c>
      <c r="O47" s="32"/>
      <c r="P47" s="27">
        <v>0.78749999999999998</v>
      </c>
      <c r="Q47" s="29">
        <v>0.81736111111111109</v>
      </c>
      <c r="R47" s="29">
        <v>0.84791666666666665</v>
      </c>
      <c r="S47" s="20">
        <f t="shared" si="27"/>
        <v>6.0416666666666674E-2</v>
      </c>
      <c r="T47" s="58">
        <v>120</v>
      </c>
      <c r="U47" s="50">
        <v>3</v>
      </c>
      <c r="V47" s="31">
        <f>IF(X46="",W46,X46)</f>
        <v>0.88958333333333328</v>
      </c>
      <c r="W47" s="32"/>
      <c r="X47" s="31">
        <f>IF(V48="",W48,V48)</f>
        <v>0.94374999999999998</v>
      </c>
      <c r="Y47" s="32"/>
      <c r="Z47" s="32">
        <f>X47-V47</f>
        <v>5.4166666666666696E-2</v>
      </c>
      <c r="AA47" s="33"/>
      <c r="AB47" s="27">
        <v>0.47361111111111109</v>
      </c>
      <c r="AC47" s="28">
        <f t="shared" si="20"/>
        <v>1.4583333333333282E-2</v>
      </c>
      <c r="AD47" s="29">
        <v>0.90902777777777777</v>
      </c>
      <c r="AE47" s="30">
        <f t="shared" si="21"/>
        <v>2.430555555555558E-2</v>
      </c>
    </row>
    <row r="48" spans="2:31" ht="24" customHeight="1" thickBot="1" x14ac:dyDescent="0.3">
      <c r="B48" s="311"/>
      <c r="C48" s="303"/>
      <c r="D48" s="31">
        <f>IF(F47="",E47,F47)</f>
        <v>0.79652777777777772</v>
      </c>
      <c r="E48" s="32"/>
      <c r="F48" s="31">
        <f>IF(D49="",E49,D49)</f>
        <v>0.86041666666666672</v>
      </c>
      <c r="G48" s="32"/>
      <c r="H48" s="32">
        <f>F48-D48</f>
        <v>6.3888888888888995E-2</v>
      </c>
      <c r="I48" s="32"/>
      <c r="J48" s="27">
        <v>0.81180555555555556</v>
      </c>
      <c r="K48" s="29">
        <v>0.83680555555555558</v>
      </c>
      <c r="L48" s="29">
        <v>0.86458333333333337</v>
      </c>
      <c r="M48" s="20">
        <f t="shared" ref="M48:M49" si="29">L48-J48</f>
        <v>5.2777777777777812E-2</v>
      </c>
      <c r="N48" s="58">
        <v>120</v>
      </c>
      <c r="O48" s="50">
        <v>2</v>
      </c>
      <c r="P48" s="31">
        <f>IF(R47="",Q47,R47)</f>
        <v>0.84791666666666665</v>
      </c>
      <c r="Q48" s="32"/>
      <c r="R48" s="31">
        <f>IF(P49="",Q49,P49)</f>
        <v>0.90902777777777777</v>
      </c>
      <c r="S48" s="32"/>
      <c r="T48" s="32">
        <f>R48-P48</f>
        <v>6.1111111111111116E-2</v>
      </c>
      <c r="U48" s="32"/>
      <c r="V48" s="27">
        <v>0.94374999999999998</v>
      </c>
      <c r="W48" s="29">
        <v>0.96527777777777779</v>
      </c>
      <c r="X48" s="29">
        <v>0.98750000000000004</v>
      </c>
      <c r="Y48" s="20">
        <f t="shared" ref="Y48:Y51" si="30">X48-V48</f>
        <v>4.3750000000000067E-2</v>
      </c>
      <c r="Z48" s="58">
        <v>120</v>
      </c>
      <c r="AA48" s="64">
        <v>4</v>
      </c>
      <c r="AB48" s="27">
        <v>0.49375000000000002</v>
      </c>
      <c r="AC48" s="28">
        <f t="shared" si="20"/>
        <v>2.0138888888888928E-2</v>
      </c>
      <c r="AD48" s="29">
        <v>0.94374999999999998</v>
      </c>
      <c r="AE48" s="30">
        <f t="shared" si="21"/>
        <v>3.472222222222221E-2</v>
      </c>
    </row>
    <row r="49" spans="2:31" ht="24" customHeight="1" x14ac:dyDescent="0.25">
      <c r="B49" s="311"/>
      <c r="C49" s="303"/>
      <c r="D49" s="27">
        <v>0.86041666666666672</v>
      </c>
      <c r="E49" s="29">
        <v>0.8833333333333333</v>
      </c>
      <c r="F49" s="29">
        <v>0.91111111111111109</v>
      </c>
      <c r="G49" s="20">
        <f>F49-D49</f>
        <v>5.0694444444444375E-2</v>
      </c>
      <c r="H49" s="58">
        <v>120</v>
      </c>
      <c r="I49" s="50">
        <v>1</v>
      </c>
      <c r="J49" s="27">
        <v>0.88472222222222219</v>
      </c>
      <c r="K49" s="29">
        <v>0.90763888888888888</v>
      </c>
      <c r="L49" s="29">
        <v>0.93541666666666667</v>
      </c>
      <c r="M49" s="20">
        <f t="shared" si="29"/>
        <v>5.0694444444444486E-2</v>
      </c>
      <c r="N49" s="58">
        <v>120</v>
      </c>
      <c r="O49" s="50">
        <v>2</v>
      </c>
      <c r="P49" s="27">
        <v>0.90902777777777777</v>
      </c>
      <c r="Q49" s="29">
        <v>0.93055555555555558</v>
      </c>
      <c r="R49" s="29">
        <v>0.95277777777777772</v>
      </c>
      <c r="S49" s="20">
        <f t="shared" ref="S49:S50" si="31">R49-P49</f>
        <v>4.3749999999999956E-2</v>
      </c>
      <c r="T49" s="58">
        <v>120</v>
      </c>
      <c r="U49" s="50">
        <v>3</v>
      </c>
      <c r="V49" s="27">
        <v>1</v>
      </c>
      <c r="W49" s="29">
        <v>1.0159722222222223</v>
      </c>
      <c r="X49" s="29">
        <v>1.0375000000000001</v>
      </c>
      <c r="Y49" s="20">
        <f t="shared" si="30"/>
        <v>3.7500000000000089E-2</v>
      </c>
      <c r="Z49" s="58">
        <v>120</v>
      </c>
      <c r="AA49" s="64">
        <v>4</v>
      </c>
      <c r="AB49" s="27">
        <v>0.51111111111111107</v>
      </c>
      <c r="AC49" s="28">
        <f t="shared" si="20"/>
        <v>1.7361111111111049E-2</v>
      </c>
      <c r="AD49" s="29">
        <v>0.96805555555555556</v>
      </c>
      <c r="AE49" s="30">
        <f t="shared" si="21"/>
        <v>2.430555555555558E-2</v>
      </c>
    </row>
    <row r="50" spans="2:31" ht="24" customHeight="1" x14ac:dyDescent="0.25">
      <c r="B50" s="311"/>
      <c r="C50" s="303"/>
      <c r="D50" s="59"/>
      <c r="E50" s="60"/>
      <c r="F50" s="60"/>
      <c r="G50" s="66"/>
      <c r="H50" s="61"/>
      <c r="I50" s="62"/>
      <c r="J50" s="59"/>
      <c r="K50" s="60"/>
      <c r="L50" s="60"/>
      <c r="M50" s="66"/>
      <c r="N50" s="61"/>
      <c r="O50" s="62"/>
      <c r="P50" s="59">
        <v>0.96805555555555556</v>
      </c>
      <c r="Q50" s="60">
        <v>0.98958333333333337</v>
      </c>
      <c r="R50" s="60">
        <v>1.0118055555555556</v>
      </c>
      <c r="S50" s="20">
        <f t="shared" si="31"/>
        <v>4.3750000000000067E-2</v>
      </c>
      <c r="T50" s="61">
        <v>120</v>
      </c>
      <c r="U50" s="62">
        <v>3</v>
      </c>
      <c r="V50" s="59">
        <v>1.0520833333333333</v>
      </c>
      <c r="W50" s="60">
        <v>1.0694444444444444</v>
      </c>
      <c r="X50" s="60">
        <v>1.0868055555555556</v>
      </c>
      <c r="Y50" s="20">
        <f t="shared" si="30"/>
        <v>3.4722222222222321E-2</v>
      </c>
      <c r="Z50" s="61">
        <v>120</v>
      </c>
      <c r="AA50" s="67">
        <v>4</v>
      </c>
      <c r="AB50" s="27">
        <v>0.53541666666666665</v>
      </c>
      <c r="AC50" s="28">
        <f t="shared" si="20"/>
        <v>2.430555555555558E-2</v>
      </c>
      <c r="AD50" s="63">
        <v>1</v>
      </c>
      <c r="AE50" s="30">
        <f t="shared" si="21"/>
        <v>3.1944444444444442E-2</v>
      </c>
    </row>
    <row r="51" spans="2:31" ht="24" customHeight="1" thickBot="1" x14ac:dyDescent="0.3">
      <c r="B51" s="311"/>
      <c r="C51" s="303"/>
      <c r="D51" s="59"/>
      <c r="E51" s="60"/>
      <c r="F51" s="60"/>
      <c r="G51" s="66"/>
      <c r="H51" s="61"/>
      <c r="I51" s="62"/>
      <c r="J51" s="59"/>
      <c r="K51" s="60"/>
      <c r="L51" s="60"/>
      <c r="M51" s="66"/>
      <c r="N51" s="61"/>
      <c r="O51" s="62"/>
      <c r="P51" s="59"/>
      <c r="Q51" s="60"/>
      <c r="R51" s="60"/>
      <c r="S51" s="66"/>
      <c r="T51" s="61"/>
      <c r="U51" s="62"/>
      <c r="V51" s="59">
        <v>1.0972222222222223</v>
      </c>
      <c r="W51" s="60">
        <v>1.1145833333333333</v>
      </c>
      <c r="X51" s="60">
        <v>1.1319444444444444</v>
      </c>
      <c r="Y51" s="20">
        <f t="shared" si="30"/>
        <v>3.4722222222222099E-2</v>
      </c>
      <c r="Z51" s="61">
        <v>120</v>
      </c>
      <c r="AA51" s="67">
        <v>4</v>
      </c>
      <c r="AB51" s="27">
        <v>0.55972222222222223</v>
      </c>
      <c r="AC51" s="28">
        <f t="shared" si="20"/>
        <v>2.430555555555558E-2</v>
      </c>
      <c r="AD51" s="63">
        <v>1.0520833333333333</v>
      </c>
      <c r="AE51" s="30">
        <f t="shared" si="21"/>
        <v>5.2083333333333259E-2</v>
      </c>
    </row>
    <row r="52" spans="2:31" ht="24" customHeight="1" thickBot="1" x14ac:dyDescent="0.3">
      <c r="B52" s="311"/>
      <c r="C52" s="304"/>
      <c r="D52" s="342" t="s">
        <v>44</v>
      </c>
      <c r="E52" s="321"/>
      <c r="F52" s="321"/>
      <c r="G52" s="321"/>
      <c r="H52" s="321"/>
      <c r="I52" s="322"/>
      <c r="J52" s="342" t="s">
        <v>44</v>
      </c>
      <c r="K52" s="321"/>
      <c r="L52" s="321"/>
      <c r="M52" s="321"/>
      <c r="N52" s="321"/>
      <c r="O52" s="322"/>
      <c r="P52" s="342" t="s">
        <v>44</v>
      </c>
      <c r="Q52" s="321"/>
      <c r="R52" s="321"/>
      <c r="S52" s="321"/>
      <c r="T52" s="321"/>
      <c r="U52" s="322"/>
      <c r="V52" s="342" t="s">
        <v>44</v>
      </c>
      <c r="W52" s="321"/>
      <c r="X52" s="321"/>
      <c r="Y52" s="321"/>
      <c r="Z52" s="321"/>
      <c r="AA52" s="321"/>
      <c r="AB52" s="43">
        <v>0.57708333333333328</v>
      </c>
      <c r="AC52" s="44">
        <f t="shared" si="20"/>
        <v>1.7361111111111049E-2</v>
      </c>
      <c r="AD52" s="65">
        <v>1.0972222222222223</v>
      </c>
      <c r="AE52" s="46">
        <f t="shared" si="21"/>
        <v>4.5138888888889062E-2</v>
      </c>
    </row>
    <row r="53" spans="2:31" ht="24" customHeight="1" thickBot="1" x14ac:dyDescent="0.3">
      <c r="B53" s="312"/>
      <c r="C53" s="36" t="s">
        <v>17</v>
      </c>
      <c r="D53" s="37">
        <f>MAX(E45:F51)-IF(D45="",E45,D45)-MIN(H45:H51)+$C42</f>
        <v>0.25972222222222213</v>
      </c>
      <c r="E53" s="51"/>
      <c r="F53" s="51"/>
      <c r="G53" s="52"/>
      <c r="H53" s="53">
        <f ca="1">OFFSET(H44,MATCH(MIN(H45:H51),H45:H51,0),-4)-IF(D45="",E45,D45)</f>
        <v>0.19513888888888886</v>
      </c>
      <c r="I53" s="54"/>
      <c r="J53" s="37">
        <f>MAX(K45:L51)-IF(J45="",K45,J45)-MIN(N45:N51)+$C42</f>
        <v>0.26527777777777778</v>
      </c>
      <c r="K53" s="38"/>
      <c r="L53" s="38"/>
      <c r="M53" s="39"/>
      <c r="N53" s="53">
        <f ca="1">OFFSET(N44,MATCH(MIN(N45:N51),N45:N51,0),-4)-IF(J45="",K45,J45)</f>
        <v>0.12777777777777777</v>
      </c>
      <c r="O53" s="41"/>
      <c r="P53" s="37">
        <f>MAX(Q45:R51)-IF(P45="",Q45,P45)-MIN(T45:T51)+$C42</f>
        <v>0.31458333333333338</v>
      </c>
      <c r="Q53" s="38"/>
      <c r="R53" s="38"/>
      <c r="S53" s="39"/>
      <c r="T53" s="53">
        <f ca="1">OFFSET(T44,MATCH(MIN(T45:T51),T45:T51,0),-4)-IF(P45="",Q45,P45)</f>
        <v>0.19791666666666663</v>
      </c>
      <c r="U53" s="41"/>
      <c r="V53" s="37">
        <f>MAX(W45:X51)-IF(V45="",W45,V45)-MIN(Z45:Z51)+$C42</f>
        <v>0.32847222222222222</v>
      </c>
      <c r="W53" s="38"/>
      <c r="X53" s="38"/>
      <c r="Y53" s="39"/>
      <c r="Z53" s="53">
        <f ca="1">OFFSET(Z44,MATCH(MIN(Z45:Z51),Z45:Z51,0),-4)-IF(V45="",W45,V45)</f>
        <v>0.12638888888888888</v>
      </c>
      <c r="AA53" s="41"/>
    </row>
    <row r="54" spans="2:31" ht="24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2:31" ht="24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2:31" ht="24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2:31" ht="24" customHeight="1" thickBot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2:31" ht="24" customHeight="1" thickBot="1" x14ac:dyDescent="0.3">
      <c r="B58" s="310" t="s">
        <v>48</v>
      </c>
      <c r="C58" s="2" t="s">
        <v>49</v>
      </c>
      <c r="D58" s="3"/>
      <c r="E58" s="3"/>
      <c r="F58" s="3"/>
      <c r="G58" s="3"/>
      <c r="H58" s="4"/>
      <c r="I58" s="5"/>
      <c r="J58" s="3"/>
      <c r="K58" s="3"/>
      <c r="L58" s="3"/>
      <c r="M58" s="3"/>
      <c r="N58" s="4"/>
      <c r="O58" s="5"/>
      <c r="P58" s="3"/>
      <c r="Q58" s="3"/>
      <c r="R58" s="3"/>
      <c r="S58" s="3"/>
      <c r="T58" s="4"/>
      <c r="U58" s="5"/>
      <c r="V58" s="3"/>
      <c r="W58" s="3"/>
      <c r="X58" s="3"/>
      <c r="Y58" s="3"/>
      <c r="Z58" s="4"/>
      <c r="AA58" s="5"/>
      <c r="AB58" s="6" t="s">
        <v>42</v>
      </c>
      <c r="AC58" s="7"/>
      <c r="AD58" s="7"/>
      <c r="AE58" s="8"/>
    </row>
    <row r="59" spans="2:31" ht="24" customHeight="1" thickBot="1" x14ac:dyDescent="0.3">
      <c r="B59" s="311"/>
      <c r="C59" s="308">
        <v>1.3888888888888888E-2</v>
      </c>
      <c r="D59" s="9" t="s">
        <v>2</v>
      </c>
      <c r="E59" s="7"/>
      <c r="F59" s="7"/>
      <c r="G59" s="7"/>
      <c r="H59" s="7"/>
      <c r="I59" s="8"/>
      <c r="J59" s="9"/>
      <c r="K59" s="7"/>
      <c r="L59" s="7"/>
      <c r="M59" s="7"/>
      <c r="N59" s="7"/>
      <c r="O59" s="8"/>
      <c r="P59" s="9"/>
      <c r="Q59" s="7"/>
      <c r="R59" s="7"/>
      <c r="S59" s="7"/>
      <c r="T59" s="7"/>
      <c r="U59" s="8"/>
      <c r="V59" s="9"/>
      <c r="W59" s="7"/>
      <c r="X59" s="7"/>
      <c r="Y59" s="7"/>
      <c r="Z59" s="7"/>
      <c r="AA59" s="8"/>
      <c r="AB59" s="10" t="s">
        <v>25</v>
      </c>
      <c r="AC59" s="11"/>
      <c r="AD59" s="11"/>
      <c r="AE59" s="12"/>
    </row>
    <row r="60" spans="2:31" ht="24" customHeight="1" thickBot="1" x14ac:dyDescent="0.3">
      <c r="B60" s="311"/>
      <c r="C60" s="319"/>
      <c r="D60" s="9" t="s">
        <v>4</v>
      </c>
      <c r="E60" s="7"/>
      <c r="F60" s="7"/>
      <c r="G60" s="7"/>
      <c r="H60" s="7"/>
      <c r="I60" s="8"/>
      <c r="J60" s="9" t="s">
        <v>5</v>
      </c>
      <c r="K60" s="7"/>
      <c r="L60" s="7"/>
      <c r="M60" s="7"/>
      <c r="N60" s="7"/>
      <c r="O60" s="8"/>
      <c r="P60" s="9" t="s">
        <v>6</v>
      </c>
      <c r="Q60" s="7"/>
      <c r="R60" s="7"/>
      <c r="S60" s="7"/>
      <c r="T60" s="7"/>
      <c r="U60" s="8"/>
      <c r="V60" s="9" t="s">
        <v>43</v>
      </c>
      <c r="W60" s="7"/>
      <c r="X60" s="7"/>
      <c r="Y60" s="7"/>
      <c r="Z60" s="7"/>
      <c r="AA60" s="7"/>
      <c r="AB60" s="6" t="str">
        <f>CONCATENATE(COUNT(AB62:AB80,AD62:AD80)," VIAGENS")</f>
        <v>38 VIAGENS</v>
      </c>
      <c r="AC60" s="7"/>
      <c r="AD60" s="7"/>
      <c r="AE60" s="8"/>
    </row>
    <row r="61" spans="2:31" ht="24" customHeight="1" thickBot="1" x14ac:dyDescent="0.3">
      <c r="B61" s="311"/>
      <c r="C61" s="313" t="s">
        <v>7</v>
      </c>
      <c r="D61" s="13" t="s">
        <v>8</v>
      </c>
      <c r="E61" s="14" t="s">
        <v>9</v>
      </c>
      <c r="F61" s="15" t="s">
        <v>10</v>
      </c>
      <c r="G61" s="14" t="s">
        <v>11</v>
      </c>
      <c r="H61" s="15" t="s">
        <v>12</v>
      </c>
      <c r="I61" s="14" t="s">
        <v>13</v>
      </c>
      <c r="J61" s="13" t="s">
        <v>8</v>
      </c>
      <c r="K61" s="14" t="s">
        <v>9</v>
      </c>
      <c r="L61" s="15" t="s">
        <v>10</v>
      </c>
      <c r="M61" s="14" t="s">
        <v>11</v>
      </c>
      <c r="N61" s="15" t="s">
        <v>12</v>
      </c>
      <c r="O61" s="14" t="s">
        <v>13</v>
      </c>
      <c r="P61" s="13" t="s">
        <v>8</v>
      </c>
      <c r="Q61" s="14" t="s">
        <v>9</v>
      </c>
      <c r="R61" s="15" t="s">
        <v>10</v>
      </c>
      <c r="S61" s="14" t="s">
        <v>11</v>
      </c>
      <c r="T61" s="15" t="s">
        <v>12</v>
      </c>
      <c r="U61" s="14" t="s">
        <v>13</v>
      </c>
      <c r="V61" s="13" t="s">
        <v>8</v>
      </c>
      <c r="W61" s="14" t="s">
        <v>9</v>
      </c>
      <c r="X61" s="15" t="s">
        <v>10</v>
      </c>
      <c r="Y61" s="14" t="s">
        <v>11</v>
      </c>
      <c r="Z61" s="15" t="s">
        <v>12</v>
      </c>
      <c r="AA61" s="13" t="s">
        <v>13</v>
      </c>
      <c r="AB61" s="16" t="s">
        <v>14</v>
      </c>
      <c r="AC61" s="17" t="s">
        <v>15</v>
      </c>
      <c r="AD61" s="16" t="s">
        <v>14</v>
      </c>
      <c r="AE61" s="17" t="s">
        <v>15</v>
      </c>
    </row>
    <row r="62" spans="2:31" ht="24" customHeight="1" x14ac:dyDescent="0.25">
      <c r="B62" s="311"/>
      <c r="C62" s="314"/>
      <c r="D62" s="18">
        <v>0.21875</v>
      </c>
      <c r="E62" s="19">
        <v>0.23680555555555549</v>
      </c>
      <c r="F62" s="19">
        <v>0.26944444444444438</v>
      </c>
      <c r="G62" s="20">
        <f>F62-D62</f>
        <v>5.0694444444444375E-2</v>
      </c>
      <c r="H62" s="55">
        <v>120</v>
      </c>
      <c r="I62" s="22">
        <v>1</v>
      </c>
      <c r="J62" s="18">
        <v>0.2361111111111111</v>
      </c>
      <c r="K62" s="19">
        <v>0.25555555555555548</v>
      </c>
      <c r="L62" s="19">
        <v>0.28749999999999998</v>
      </c>
      <c r="M62" s="20">
        <f t="shared" ref="M62:M63" si="32">L62-J62</f>
        <v>5.1388888888888873E-2</v>
      </c>
      <c r="N62" s="55">
        <v>120</v>
      </c>
      <c r="O62" s="22">
        <v>2</v>
      </c>
      <c r="P62" s="18">
        <v>0.25</v>
      </c>
      <c r="Q62" s="19">
        <v>0.27569444444444452</v>
      </c>
      <c r="R62" s="19">
        <v>0.30625000000000002</v>
      </c>
      <c r="S62" s="20">
        <f t="shared" ref="S62:S64" si="33">R62-P62</f>
        <v>5.6250000000000022E-2</v>
      </c>
      <c r="T62" s="55">
        <v>120</v>
      </c>
      <c r="U62" s="22">
        <v>3</v>
      </c>
      <c r="V62" s="18">
        <v>0.2638888888888889</v>
      </c>
      <c r="W62" s="19">
        <v>0.28958333333333341</v>
      </c>
      <c r="X62" s="19">
        <v>0.32013888888888892</v>
      </c>
      <c r="Y62" s="20">
        <f t="shared" ref="Y62:Y63" si="34">X62-V62</f>
        <v>5.6250000000000022E-2</v>
      </c>
      <c r="Z62" s="55">
        <v>120</v>
      </c>
      <c r="AA62" s="22">
        <v>4</v>
      </c>
      <c r="AB62" s="23">
        <v>0.21875</v>
      </c>
      <c r="AC62" s="24"/>
      <c r="AD62" s="25">
        <v>0.60138888888888886</v>
      </c>
      <c r="AE62" s="26">
        <f>AD62-AB80</f>
        <v>2.430555555555558E-2</v>
      </c>
    </row>
    <row r="63" spans="2:31" ht="24" customHeight="1" thickBot="1" x14ac:dyDescent="0.3">
      <c r="B63" s="311"/>
      <c r="C63" s="314"/>
      <c r="D63" s="18">
        <v>0.28125</v>
      </c>
      <c r="E63" s="19">
        <v>0.30694444444444452</v>
      </c>
      <c r="F63" s="19">
        <v>0.33888888888888891</v>
      </c>
      <c r="G63" s="20">
        <f t="shared" ref="G63:G64" si="35">F63-D63</f>
        <v>5.7638888888888906E-2</v>
      </c>
      <c r="H63" s="55">
        <v>120</v>
      </c>
      <c r="I63" s="22">
        <v>1</v>
      </c>
      <c r="J63" s="18">
        <v>0.2986111111111111</v>
      </c>
      <c r="K63" s="19">
        <v>0.32291666666666669</v>
      </c>
      <c r="L63" s="19">
        <v>0.35555555555555562</v>
      </c>
      <c r="M63" s="20">
        <f t="shared" si="32"/>
        <v>5.694444444444452E-2</v>
      </c>
      <c r="N63" s="55">
        <v>120</v>
      </c>
      <c r="O63" s="22">
        <v>2</v>
      </c>
      <c r="P63" s="18">
        <v>0.31597222222222221</v>
      </c>
      <c r="Q63" s="19">
        <v>0.34027777777777779</v>
      </c>
      <c r="R63" s="19">
        <v>0.37083333333333329</v>
      </c>
      <c r="S63" s="20">
        <f t="shared" si="33"/>
        <v>5.4861111111111083E-2</v>
      </c>
      <c r="T63" s="55">
        <v>120</v>
      </c>
      <c r="U63" s="22">
        <v>3</v>
      </c>
      <c r="V63" s="18">
        <v>0.33194444444444438</v>
      </c>
      <c r="W63" s="19">
        <v>0.35625000000000001</v>
      </c>
      <c r="X63" s="19">
        <v>0.38680555555555562</v>
      </c>
      <c r="Y63" s="20">
        <f t="shared" si="34"/>
        <v>5.4861111111111249E-2</v>
      </c>
      <c r="Z63" s="55">
        <v>120</v>
      </c>
      <c r="AA63" s="22">
        <v>4</v>
      </c>
      <c r="AB63" s="27">
        <v>0.2361111111111111</v>
      </c>
      <c r="AC63" s="28">
        <f t="shared" ref="AC63:AC80" si="36">AB63-AB62</f>
        <v>1.7361111111111105E-2</v>
      </c>
      <c r="AD63" s="29">
        <v>0.62569444444444444</v>
      </c>
      <c r="AE63" s="30">
        <f t="shared" ref="AE63:AE80" si="37">AD63-AD62</f>
        <v>2.430555555555558E-2</v>
      </c>
    </row>
    <row r="64" spans="2:31" ht="24" customHeight="1" thickBot="1" x14ac:dyDescent="0.3">
      <c r="B64" s="311"/>
      <c r="C64" s="314"/>
      <c r="D64" s="18">
        <v>0.35069444444444442</v>
      </c>
      <c r="E64" s="19">
        <v>0.37430555555555561</v>
      </c>
      <c r="F64" s="19">
        <v>0.40486111111111112</v>
      </c>
      <c r="G64" s="20">
        <f t="shared" si="35"/>
        <v>5.4166666666666696E-2</v>
      </c>
      <c r="H64" s="55">
        <v>120</v>
      </c>
      <c r="I64" s="22">
        <v>1</v>
      </c>
      <c r="J64" s="31">
        <f>IF(L63="",K63,L63)</f>
        <v>0.35555555555555562</v>
      </c>
      <c r="K64" s="32"/>
      <c r="L64" s="31">
        <f>IF(J65="",K65,J65)</f>
        <v>0.40833333333333333</v>
      </c>
      <c r="M64" s="32"/>
      <c r="N64" s="32">
        <f>L64-J64</f>
        <v>5.2777777777777701E-2</v>
      </c>
      <c r="O64" s="32"/>
      <c r="P64" s="18">
        <v>0.38055555555555548</v>
      </c>
      <c r="Q64" s="19">
        <v>0.40208333333333329</v>
      </c>
      <c r="R64" s="19">
        <v>0.43680555555555561</v>
      </c>
      <c r="S64" s="20">
        <f t="shared" si="33"/>
        <v>5.6250000000000133E-2</v>
      </c>
      <c r="T64" s="55">
        <v>120</v>
      </c>
      <c r="U64" s="22">
        <v>3</v>
      </c>
      <c r="V64" s="31">
        <f>IF(X63="",W63,X63)</f>
        <v>0.38680555555555562</v>
      </c>
      <c r="W64" s="32"/>
      <c r="X64" s="31">
        <f>IF(V65="",W65,V65)</f>
        <v>0.43541666666666667</v>
      </c>
      <c r="Y64" s="32"/>
      <c r="Z64" s="32">
        <f>X64-V64</f>
        <v>4.8611111111111049E-2</v>
      </c>
      <c r="AA64" s="33"/>
      <c r="AB64" s="27">
        <v>0.25</v>
      </c>
      <c r="AC64" s="28">
        <f t="shared" si="36"/>
        <v>1.3888888888888895E-2</v>
      </c>
      <c r="AD64" s="29">
        <v>0.65</v>
      </c>
      <c r="AE64" s="30">
        <f t="shared" si="37"/>
        <v>2.430555555555558E-2</v>
      </c>
    </row>
    <row r="65" spans="2:31" ht="24" customHeight="1" thickBot="1" x14ac:dyDescent="0.3">
      <c r="B65" s="311"/>
      <c r="C65" s="314"/>
      <c r="D65" s="31">
        <f>IF(F64="",E64,F64)</f>
        <v>0.40486111111111112</v>
      </c>
      <c r="E65" s="32"/>
      <c r="F65" s="31">
        <f>IF(D66="",E66,D66)</f>
        <v>0.45902777777777781</v>
      </c>
      <c r="G65" s="32"/>
      <c r="H65" s="32">
        <f>F65-D65</f>
        <v>5.4166666666666696E-2</v>
      </c>
      <c r="I65" s="32"/>
      <c r="J65" s="18">
        <v>0.40833333333333333</v>
      </c>
      <c r="K65" s="19">
        <v>0.43263888888888891</v>
      </c>
      <c r="L65" s="19">
        <v>0.46527777777777779</v>
      </c>
      <c r="M65" s="20">
        <f t="shared" ref="M65:M66" si="38">L65-J65</f>
        <v>5.6944444444444464E-2</v>
      </c>
      <c r="N65" s="55">
        <v>120</v>
      </c>
      <c r="O65" s="22">
        <v>2</v>
      </c>
      <c r="P65" s="31">
        <f>IF(R64="",Q64,R64)</f>
        <v>0.43680555555555561</v>
      </c>
      <c r="Q65" s="32"/>
      <c r="R65" s="31">
        <f>IF(P66="",Q66,P66)</f>
        <v>0.49375000000000002</v>
      </c>
      <c r="S65" s="32"/>
      <c r="T65" s="32">
        <f>R65-P65</f>
        <v>5.6944444444444409E-2</v>
      </c>
      <c r="U65" s="32"/>
      <c r="V65" s="18">
        <v>0.43541666666666667</v>
      </c>
      <c r="W65" s="19">
        <v>0.45555555555555549</v>
      </c>
      <c r="X65" s="19">
        <v>0.48888888888888887</v>
      </c>
      <c r="Y65" s="20">
        <f t="shared" ref="Y65:Y67" si="39">X65-V65</f>
        <v>5.3472222222222199E-2</v>
      </c>
      <c r="Z65" s="55">
        <v>120</v>
      </c>
      <c r="AA65" s="22">
        <v>4</v>
      </c>
      <c r="AB65" s="27">
        <v>0.2638888888888889</v>
      </c>
      <c r="AC65" s="28">
        <f t="shared" si="36"/>
        <v>1.3888888888888895E-2</v>
      </c>
      <c r="AD65" s="29">
        <v>0.6743055555555556</v>
      </c>
      <c r="AE65" s="30">
        <f t="shared" si="37"/>
        <v>2.430555555555558E-2</v>
      </c>
    </row>
    <row r="66" spans="2:31" ht="24" customHeight="1" x14ac:dyDescent="0.25">
      <c r="B66" s="311"/>
      <c r="C66" s="314"/>
      <c r="D66" s="18">
        <v>0.45902777777777781</v>
      </c>
      <c r="E66" s="19">
        <v>0.47986111111111113</v>
      </c>
      <c r="F66" s="19">
        <v>0.51249999999999996</v>
      </c>
      <c r="G66" s="20">
        <f>F66-D66</f>
        <v>5.3472222222222143E-2</v>
      </c>
      <c r="H66" s="55">
        <v>120</v>
      </c>
      <c r="I66" s="22">
        <v>1</v>
      </c>
      <c r="J66" s="18">
        <v>0.47361111111111109</v>
      </c>
      <c r="K66" s="19">
        <v>0.49444444444444452</v>
      </c>
      <c r="L66" s="19">
        <v>0.52708333333333335</v>
      </c>
      <c r="M66" s="20">
        <f t="shared" si="38"/>
        <v>5.3472222222222254E-2</v>
      </c>
      <c r="N66" s="55">
        <v>120</v>
      </c>
      <c r="O66" s="22">
        <v>2</v>
      </c>
      <c r="P66" s="18">
        <v>0.49375000000000002</v>
      </c>
      <c r="Q66" s="19">
        <v>0.51736111111111116</v>
      </c>
      <c r="R66" s="19">
        <v>0.54791666666666672</v>
      </c>
      <c r="S66" s="20">
        <f t="shared" ref="S66:S67" si="40">R66-P66</f>
        <v>5.4166666666666696E-2</v>
      </c>
      <c r="T66" s="55">
        <v>120</v>
      </c>
      <c r="U66" s="22">
        <v>3</v>
      </c>
      <c r="V66" s="18">
        <v>0.51111111111111107</v>
      </c>
      <c r="W66" s="19">
        <v>0.53125</v>
      </c>
      <c r="X66" s="19">
        <v>0.55902777777777779</v>
      </c>
      <c r="Y66" s="20">
        <f t="shared" si="39"/>
        <v>4.7916666666666718E-2</v>
      </c>
      <c r="Z66" s="55">
        <v>120</v>
      </c>
      <c r="AA66" s="22">
        <v>4</v>
      </c>
      <c r="AB66" s="27">
        <v>0.28125</v>
      </c>
      <c r="AC66" s="28">
        <f t="shared" si="36"/>
        <v>1.7361111111111105E-2</v>
      </c>
      <c r="AD66" s="29">
        <v>0.69652777777777775</v>
      </c>
      <c r="AE66" s="30">
        <f t="shared" si="37"/>
        <v>2.2222222222222143E-2</v>
      </c>
    </row>
    <row r="67" spans="2:31" ht="24" customHeight="1" thickBot="1" x14ac:dyDescent="0.3">
      <c r="B67" s="311"/>
      <c r="C67" s="314"/>
      <c r="D67" s="18"/>
      <c r="E67" s="19"/>
      <c r="F67" s="19"/>
      <c r="G67" s="20"/>
      <c r="H67" s="55"/>
      <c r="I67" s="22"/>
      <c r="J67" s="18">
        <v>0.53541666666666665</v>
      </c>
      <c r="K67" s="19">
        <v>0.55486111111111114</v>
      </c>
      <c r="L67" s="19">
        <v>0.58263888888888893</v>
      </c>
      <c r="M67" s="20">
        <f>L67-J67</f>
        <v>4.7222222222222276E-2</v>
      </c>
      <c r="N67" s="55">
        <v>120</v>
      </c>
      <c r="O67" s="22">
        <v>2</v>
      </c>
      <c r="P67" s="18">
        <v>0.55972222222222223</v>
      </c>
      <c r="Q67" s="19">
        <v>0.57986111111111116</v>
      </c>
      <c r="R67" s="19">
        <v>0.6118055555555556</v>
      </c>
      <c r="S67" s="20">
        <f t="shared" si="40"/>
        <v>5.208333333333337E-2</v>
      </c>
      <c r="T67" s="55">
        <v>120</v>
      </c>
      <c r="U67" s="22">
        <v>3</v>
      </c>
      <c r="V67" s="18">
        <v>0.57708333333333328</v>
      </c>
      <c r="W67" s="19">
        <v>0.59722222222222221</v>
      </c>
      <c r="X67" s="19">
        <v>0.62777777777777777</v>
      </c>
      <c r="Y67" s="20">
        <f t="shared" si="39"/>
        <v>5.0694444444444486E-2</v>
      </c>
      <c r="Z67" s="55">
        <v>120</v>
      </c>
      <c r="AA67" s="22">
        <v>4</v>
      </c>
      <c r="AB67" s="27">
        <v>0.2986111111111111</v>
      </c>
      <c r="AC67" s="28">
        <f t="shared" si="36"/>
        <v>1.7361111111111105E-2</v>
      </c>
      <c r="AD67" s="29">
        <v>0.71875</v>
      </c>
      <c r="AE67" s="30">
        <f t="shared" si="37"/>
        <v>2.2222222222222254E-2</v>
      </c>
    </row>
    <row r="68" spans="2:31" ht="24" customHeight="1" thickBot="1" x14ac:dyDescent="0.3">
      <c r="B68" s="311"/>
      <c r="C68" s="315"/>
      <c r="D68" s="342" t="s">
        <v>44</v>
      </c>
      <c r="E68" s="321"/>
      <c r="F68" s="321"/>
      <c r="G68" s="321"/>
      <c r="H68" s="321"/>
      <c r="I68" s="322"/>
      <c r="J68" s="342" t="s">
        <v>44</v>
      </c>
      <c r="K68" s="321"/>
      <c r="L68" s="321"/>
      <c r="M68" s="321"/>
      <c r="N68" s="321"/>
      <c r="O68" s="322"/>
      <c r="P68" s="342" t="s">
        <v>44</v>
      </c>
      <c r="Q68" s="321"/>
      <c r="R68" s="321"/>
      <c r="S68" s="321"/>
      <c r="T68" s="321"/>
      <c r="U68" s="322"/>
      <c r="V68" s="342" t="s">
        <v>44</v>
      </c>
      <c r="W68" s="321"/>
      <c r="X68" s="321"/>
      <c r="Y68" s="321"/>
      <c r="Z68" s="321"/>
      <c r="AA68" s="321"/>
      <c r="AB68" s="27">
        <v>0.31597222222222221</v>
      </c>
      <c r="AC68" s="28">
        <f t="shared" si="36"/>
        <v>1.7361111111111105E-2</v>
      </c>
      <c r="AD68" s="29">
        <v>0.74097222222222225</v>
      </c>
      <c r="AE68" s="30">
        <f t="shared" si="37"/>
        <v>2.2222222222222254E-2</v>
      </c>
    </row>
    <row r="69" spans="2:31" ht="24" customHeight="1" thickBot="1" x14ac:dyDescent="0.3">
      <c r="B69" s="311"/>
      <c r="C69" s="36" t="s">
        <v>17</v>
      </c>
      <c r="D69" s="37">
        <f>MAX(E62:F67)-IF(D62="",E62,D62)-MIN(H62:H67)+$C59</f>
        <v>0.25347222222222215</v>
      </c>
      <c r="E69" s="38"/>
      <c r="F69" s="38"/>
      <c r="G69" s="39"/>
      <c r="H69" s="40">
        <f ca="1">OFFSET(H61,MATCH(MIN(H62:H67),H62:H67,0),-4)-IF(D62="",E62,D62)+$C59</f>
        <v>0.2</v>
      </c>
      <c r="I69" s="41"/>
      <c r="J69" s="37">
        <f>MAX(K62:L67)-IF(J62="",K62,J62)-MIN(N62:N67)+$C59</f>
        <v>0.30763888888888902</v>
      </c>
      <c r="K69" s="38"/>
      <c r="L69" s="38"/>
      <c r="M69" s="39"/>
      <c r="N69" s="40">
        <f ca="1">OFFSET(N61,MATCH(MIN(N62:N67),N62:N67,0),-4)-IF(J62="",K62,J62)+$C59</f>
        <v>0.13333333333333341</v>
      </c>
      <c r="O69" s="41"/>
      <c r="P69" s="37">
        <f>MAX(Q62:R67)-IF(P62="",Q62,P62)-MIN(T62:T67)+$C59</f>
        <v>0.31875000000000009</v>
      </c>
      <c r="Q69" s="38"/>
      <c r="R69" s="38"/>
      <c r="S69" s="39"/>
      <c r="T69" s="40">
        <f ca="1">OFFSET(T61,MATCH(MIN(T62:T67),T62:T67,0),-4)-IF(P62="",Q62,P62)+$C59</f>
        <v>0.20069444444444451</v>
      </c>
      <c r="U69" s="41"/>
      <c r="V69" s="37">
        <f>MAX(W62:X67)-IF(V62="",W62,V62)-MIN(Z62:Z67)+$C59</f>
        <v>0.32916666666666672</v>
      </c>
      <c r="W69" s="38"/>
      <c r="X69" s="38"/>
      <c r="Y69" s="39"/>
      <c r="Z69" s="40">
        <f ca="1">OFFSET(Z61,MATCH(MIN(Z62:Z67),Z62:Z67,0),-4)-IF(V62="",W62,V62)+$C59</f>
        <v>0.13680555555555562</v>
      </c>
      <c r="AA69" s="42"/>
      <c r="AB69" s="27">
        <v>0.33194444444444438</v>
      </c>
      <c r="AC69" s="28">
        <f t="shared" si="36"/>
        <v>1.5972222222222165E-2</v>
      </c>
      <c r="AD69" s="29">
        <v>0.7631944444444444</v>
      </c>
      <c r="AE69" s="30">
        <f t="shared" si="37"/>
        <v>2.2222222222222143E-2</v>
      </c>
    </row>
    <row r="70" spans="2:31" ht="24" customHeight="1" thickBot="1" x14ac:dyDescent="0.3">
      <c r="B70" s="311"/>
      <c r="C70" s="308">
        <v>1.3888888888888888E-2</v>
      </c>
      <c r="D70" s="9" t="s">
        <v>18</v>
      </c>
      <c r="E70" s="7"/>
      <c r="F70" s="7"/>
      <c r="G70" s="7"/>
      <c r="H70" s="7"/>
      <c r="I70" s="8"/>
      <c r="J70" s="9"/>
      <c r="K70" s="7"/>
      <c r="L70" s="7"/>
      <c r="M70" s="7"/>
      <c r="N70" s="7"/>
      <c r="O70" s="8"/>
      <c r="P70" s="9"/>
      <c r="Q70" s="7"/>
      <c r="R70" s="7"/>
      <c r="S70" s="7"/>
      <c r="T70" s="7"/>
      <c r="U70" s="8"/>
      <c r="V70" s="9"/>
      <c r="W70" s="7"/>
      <c r="X70" s="7"/>
      <c r="Y70" s="7"/>
      <c r="Z70" s="7"/>
      <c r="AA70" s="7"/>
      <c r="AB70" s="27">
        <v>0.35069444444444442</v>
      </c>
      <c r="AC70" s="28">
        <f t="shared" si="36"/>
        <v>1.8750000000000044E-2</v>
      </c>
      <c r="AD70" s="29">
        <v>0.78749999999999998</v>
      </c>
      <c r="AE70" s="30">
        <f t="shared" si="37"/>
        <v>2.430555555555558E-2</v>
      </c>
    </row>
    <row r="71" spans="2:31" ht="24" customHeight="1" thickBot="1" x14ac:dyDescent="0.3">
      <c r="B71" s="311"/>
      <c r="C71" s="319"/>
      <c r="D71" s="9" t="s">
        <v>19</v>
      </c>
      <c r="E71" s="7"/>
      <c r="F71" s="7"/>
      <c r="G71" s="7"/>
      <c r="H71" s="7"/>
      <c r="I71" s="8"/>
      <c r="J71" s="9" t="s">
        <v>20</v>
      </c>
      <c r="K71" s="7"/>
      <c r="L71" s="7"/>
      <c r="M71" s="7"/>
      <c r="N71" s="7"/>
      <c r="O71" s="8"/>
      <c r="P71" s="9" t="s">
        <v>21</v>
      </c>
      <c r="Q71" s="7"/>
      <c r="R71" s="7"/>
      <c r="S71" s="7"/>
      <c r="T71" s="7"/>
      <c r="U71" s="8"/>
      <c r="V71" s="9" t="s">
        <v>45</v>
      </c>
      <c r="W71" s="7"/>
      <c r="X71" s="7"/>
      <c r="Y71" s="7"/>
      <c r="Z71" s="7"/>
      <c r="AA71" s="7"/>
      <c r="AB71" s="27">
        <v>0.38055555555555548</v>
      </c>
      <c r="AC71" s="28">
        <f t="shared" si="36"/>
        <v>2.9861111111111061E-2</v>
      </c>
      <c r="AD71" s="29">
        <v>0.81180555555555556</v>
      </c>
      <c r="AE71" s="30">
        <f t="shared" si="37"/>
        <v>2.430555555555558E-2</v>
      </c>
    </row>
    <row r="72" spans="2:31" ht="24" customHeight="1" thickBot="1" x14ac:dyDescent="0.3">
      <c r="B72" s="311"/>
      <c r="C72" s="302" t="s">
        <v>7</v>
      </c>
      <c r="D72" s="13" t="s">
        <v>8</v>
      </c>
      <c r="E72" s="14" t="s">
        <v>9</v>
      </c>
      <c r="F72" s="15" t="s">
        <v>10</v>
      </c>
      <c r="G72" s="14" t="s">
        <v>11</v>
      </c>
      <c r="H72" s="15" t="s">
        <v>12</v>
      </c>
      <c r="I72" s="14" t="s">
        <v>13</v>
      </c>
      <c r="J72" s="15" t="s">
        <v>8</v>
      </c>
      <c r="K72" s="14" t="s">
        <v>9</v>
      </c>
      <c r="L72" s="15" t="s">
        <v>10</v>
      </c>
      <c r="M72" s="14" t="s">
        <v>11</v>
      </c>
      <c r="N72" s="15" t="s">
        <v>12</v>
      </c>
      <c r="O72" s="14" t="s">
        <v>13</v>
      </c>
      <c r="P72" s="13" t="s">
        <v>8</v>
      </c>
      <c r="Q72" s="14" t="s">
        <v>9</v>
      </c>
      <c r="R72" s="15" t="s">
        <v>10</v>
      </c>
      <c r="S72" s="14" t="s">
        <v>11</v>
      </c>
      <c r="T72" s="15" t="s">
        <v>12</v>
      </c>
      <c r="U72" s="14" t="s">
        <v>13</v>
      </c>
      <c r="V72" s="13" t="s">
        <v>8</v>
      </c>
      <c r="W72" s="14" t="s">
        <v>9</v>
      </c>
      <c r="X72" s="15" t="s">
        <v>10</v>
      </c>
      <c r="Y72" s="14" t="s">
        <v>11</v>
      </c>
      <c r="Z72" s="15" t="s">
        <v>12</v>
      </c>
      <c r="AA72" s="13" t="s">
        <v>13</v>
      </c>
      <c r="AB72" s="27">
        <v>0.40833333333333333</v>
      </c>
      <c r="AC72" s="28">
        <f t="shared" si="36"/>
        <v>2.7777777777777846E-2</v>
      </c>
      <c r="AD72" s="29">
        <v>0.83611111111111114</v>
      </c>
      <c r="AE72" s="30">
        <f t="shared" si="37"/>
        <v>2.430555555555558E-2</v>
      </c>
    </row>
    <row r="73" spans="2:31" ht="24" customHeight="1" x14ac:dyDescent="0.25">
      <c r="B73" s="311"/>
      <c r="C73" s="303"/>
      <c r="D73" s="23">
        <v>0.60138888888888886</v>
      </c>
      <c r="E73" s="25">
        <v>0.62222222222222223</v>
      </c>
      <c r="F73" s="25">
        <v>0.65277777777777779</v>
      </c>
      <c r="G73" s="20">
        <f t="shared" ref="G73:G75" si="41">F73-D73</f>
        <v>5.1388888888888928E-2</v>
      </c>
      <c r="H73" s="56">
        <v>120</v>
      </c>
      <c r="I73" s="48">
        <v>1</v>
      </c>
      <c r="J73" s="23">
        <v>0.62569444444444444</v>
      </c>
      <c r="K73" s="25">
        <v>0.64583333333333337</v>
      </c>
      <c r="L73" s="25">
        <v>0.67638888888888893</v>
      </c>
      <c r="M73" s="20">
        <f t="shared" ref="M73:M74" si="42">L73-J73</f>
        <v>5.0694444444444486E-2</v>
      </c>
      <c r="N73" s="56">
        <v>120</v>
      </c>
      <c r="O73" s="48">
        <v>2</v>
      </c>
      <c r="P73" s="23">
        <v>0.65</v>
      </c>
      <c r="Q73" s="25">
        <v>0.67013888888888884</v>
      </c>
      <c r="R73" s="25">
        <v>0.69791666666666663</v>
      </c>
      <c r="S73" s="20">
        <f t="shared" ref="S73:S75" si="43">R73-P73</f>
        <v>4.7916666666666607E-2</v>
      </c>
      <c r="T73" s="56">
        <v>120</v>
      </c>
      <c r="U73" s="48">
        <v>3</v>
      </c>
      <c r="V73" s="23">
        <v>0.7631944444444444</v>
      </c>
      <c r="W73" s="25">
        <v>0.7895833333333333</v>
      </c>
      <c r="X73" s="25">
        <v>0.8208333333333333</v>
      </c>
      <c r="Y73" s="20">
        <f t="shared" ref="Y73:Y74" si="44">X73-V73</f>
        <v>5.7638888888888906E-2</v>
      </c>
      <c r="Z73" s="56">
        <v>120</v>
      </c>
      <c r="AA73" s="57">
        <v>4</v>
      </c>
      <c r="AB73" s="27">
        <v>0.43541666666666667</v>
      </c>
      <c r="AC73" s="28">
        <f t="shared" si="36"/>
        <v>2.7083333333333348E-2</v>
      </c>
      <c r="AD73" s="29">
        <v>0.86041666666666672</v>
      </c>
      <c r="AE73" s="30">
        <f t="shared" si="37"/>
        <v>2.430555555555558E-2</v>
      </c>
    </row>
    <row r="74" spans="2:31" ht="24" customHeight="1" thickBot="1" x14ac:dyDescent="0.3">
      <c r="B74" s="311"/>
      <c r="C74" s="303"/>
      <c r="D74" s="27">
        <v>0.6743055555555556</v>
      </c>
      <c r="E74" s="29">
        <v>0.69722222222222219</v>
      </c>
      <c r="F74" s="29">
        <v>0.72916666666666663</v>
      </c>
      <c r="G74" s="20">
        <f t="shared" si="41"/>
        <v>5.4861111111111027E-2</v>
      </c>
      <c r="H74" s="58">
        <v>120</v>
      </c>
      <c r="I74" s="50">
        <v>1</v>
      </c>
      <c r="J74" s="27">
        <v>0.69652777777777775</v>
      </c>
      <c r="K74" s="29">
        <v>0.72083333333333333</v>
      </c>
      <c r="L74" s="29">
        <v>0.75347222222222221</v>
      </c>
      <c r="M74" s="20">
        <f t="shared" si="42"/>
        <v>5.6944444444444464E-2</v>
      </c>
      <c r="N74" s="58">
        <v>120</v>
      </c>
      <c r="O74" s="50">
        <v>2</v>
      </c>
      <c r="P74" s="27">
        <v>0.71875</v>
      </c>
      <c r="Q74" s="29">
        <v>0.74097222222222225</v>
      </c>
      <c r="R74" s="29">
        <v>0.77222222222222225</v>
      </c>
      <c r="S74" s="20">
        <f t="shared" si="43"/>
        <v>5.3472222222222254E-2</v>
      </c>
      <c r="T74" s="58">
        <v>120</v>
      </c>
      <c r="U74" s="50">
        <v>3</v>
      </c>
      <c r="V74" s="27">
        <v>0.83611111111111114</v>
      </c>
      <c r="W74" s="29">
        <v>0.8618055555555556</v>
      </c>
      <c r="X74" s="29">
        <v>0.88958333333333328</v>
      </c>
      <c r="Y74" s="20">
        <f t="shared" si="44"/>
        <v>5.3472222222222143E-2</v>
      </c>
      <c r="Z74" s="58">
        <v>120</v>
      </c>
      <c r="AA74" s="64">
        <v>4</v>
      </c>
      <c r="AB74" s="27">
        <v>0.45902777777777781</v>
      </c>
      <c r="AC74" s="28">
        <f t="shared" si="36"/>
        <v>2.3611111111111138E-2</v>
      </c>
      <c r="AD74" s="29">
        <v>0.88472222222222219</v>
      </c>
      <c r="AE74" s="30">
        <f t="shared" si="37"/>
        <v>2.4305555555555469E-2</v>
      </c>
    </row>
    <row r="75" spans="2:31" ht="24" customHeight="1" thickBot="1" x14ac:dyDescent="0.3">
      <c r="B75" s="311"/>
      <c r="C75" s="303"/>
      <c r="D75" s="27">
        <v>0.74097222222222225</v>
      </c>
      <c r="E75" s="29">
        <v>0.76597222222222228</v>
      </c>
      <c r="F75" s="29">
        <v>0.79652777777777772</v>
      </c>
      <c r="G75" s="20">
        <f t="shared" si="41"/>
        <v>5.5555555555555469E-2</v>
      </c>
      <c r="H75" s="58">
        <v>120</v>
      </c>
      <c r="I75" s="50">
        <v>1</v>
      </c>
      <c r="J75" s="31">
        <f>IF(L74="",K74,L74)</f>
        <v>0.75347222222222221</v>
      </c>
      <c r="K75" s="32"/>
      <c r="L75" s="31">
        <f>IF(J76="",K76,J76)</f>
        <v>0.81180555555555556</v>
      </c>
      <c r="M75" s="32"/>
      <c r="N75" s="32">
        <f>L75-J75</f>
        <v>5.8333333333333348E-2</v>
      </c>
      <c r="O75" s="32"/>
      <c r="P75" s="27">
        <v>0.78749999999999998</v>
      </c>
      <c r="Q75" s="29">
        <v>0.81736111111111109</v>
      </c>
      <c r="R75" s="29">
        <v>0.84791666666666665</v>
      </c>
      <c r="S75" s="20">
        <f t="shared" si="43"/>
        <v>6.0416666666666674E-2</v>
      </c>
      <c r="T75" s="58">
        <v>120</v>
      </c>
      <c r="U75" s="50">
        <v>3</v>
      </c>
      <c r="V75" s="31">
        <f>IF(X74="",W74,X74)</f>
        <v>0.88958333333333328</v>
      </c>
      <c r="W75" s="32"/>
      <c r="X75" s="31">
        <f>IF(V76="",W76,V76)</f>
        <v>0.94374999999999998</v>
      </c>
      <c r="Y75" s="32"/>
      <c r="Z75" s="32">
        <f>X75-V75</f>
        <v>5.4166666666666696E-2</v>
      </c>
      <c r="AA75" s="33"/>
      <c r="AB75" s="27">
        <v>0.47361111111111109</v>
      </c>
      <c r="AC75" s="28">
        <f t="shared" si="36"/>
        <v>1.4583333333333282E-2</v>
      </c>
      <c r="AD75" s="29">
        <v>0.90902777777777777</v>
      </c>
      <c r="AE75" s="30">
        <f t="shared" si="37"/>
        <v>2.430555555555558E-2</v>
      </c>
    </row>
    <row r="76" spans="2:31" ht="24" customHeight="1" thickBot="1" x14ac:dyDescent="0.3">
      <c r="B76" s="311"/>
      <c r="C76" s="303"/>
      <c r="D76" s="31">
        <f>IF(F75="",E75,F75)</f>
        <v>0.79652777777777772</v>
      </c>
      <c r="E76" s="32"/>
      <c r="F76" s="31">
        <f>IF(D77="",E77,D77)</f>
        <v>0.86041666666666672</v>
      </c>
      <c r="G76" s="32"/>
      <c r="H76" s="32">
        <f>F76-D76</f>
        <v>6.3888888888888995E-2</v>
      </c>
      <c r="I76" s="32"/>
      <c r="J76" s="27">
        <v>0.81180555555555556</v>
      </c>
      <c r="K76" s="29">
        <v>0.83680555555555558</v>
      </c>
      <c r="L76" s="29">
        <v>0.86458333333333337</v>
      </c>
      <c r="M76" s="20">
        <f t="shared" ref="M76:M77" si="45">L76-J76</f>
        <v>5.2777777777777812E-2</v>
      </c>
      <c r="N76" s="58">
        <v>120</v>
      </c>
      <c r="O76" s="50">
        <v>2</v>
      </c>
      <c r="P76" s="31">
        <f>IF(R75="",Q75,R75)</f>
        <v>0.84791666666666665</v>
      </c>
      <c r="Q76" s="32"/>
      <c r="R76" s="31">
        <f>IF(P77="",Q77,P77)</f>
        <v>0.90902777777777777</v>
      </c>
      <c r="S76" s="32"/>
      <c r="T76" s="32">
        <f>R76-P76</f>
        <v>6.1111111111111116E-2</v>
      </c>
      <c r="U76" s="32"/>
      <c r="V76" s="27">
        <v>0.94374999999999998</v>
      </c>
      <c r="W76" s="29">
        <v>0.96527777777777779</v>
      </c>
      <c r="X76" s="29">
        <v>0.98750000000000004</v>
      </c>
      <c r="Y76" s="20">
        <f t="shared" ref="Y76:Y79" si="46">X76-V76</f>
        <v>4.3750000000000067E-2</v>
      </c>
      <c r="Z76" s="58">
        <v>120</v>
      </c>
      <c r="AA76" s="64">
        <v>4</v>
      </c>
      <c r="AB76" s="27">
        <v>0.49375000000000002</v>
      </c>
      <c r="AC76" s="28">
        <f t="shared" si="36"/>
        <v>2.0138888888888928E-2</v>
      </c>
      <c r="AD76" s="29">
        <v>0.94374999999999998</v>
      </c>
      <c r="AE76" s="30">
        <f t="shared" si="37"/>
        <v>3.472222222222221E-2</v>
      </c>
    </row>
    <row r="77" spans="2:31" ht="24" customHeight="1" x14ac:dyDescent="0.25">
      <c r="B77" s="311"/>
      <c r="C77" s="303"/>
      <c r="D77" s="27">
        <v>0.86041666666666672</v>
      </c>
      <c r="E77" s="29">
        <v>0.8833333333333333</v>
      </c>
      <c r="F77" s="29">
        <v>0.91111111111111109</v>
      </c>
      <c r="G77" s="20">
        <f>F77-D77</f>
        <v>5.0694444444444375E-2</v>
      </c>
      <c r="H77" s="58">
        <v>120</v>
      </c>
      <c r="I77" s="50">
        <v>1</v>
      </c>
      <c r="J77" s="27">
        <v>0.88472222222222219</v>
      </c>
      <c r="K77" s="29">
        <v>0.90763888888888888</v>
      </c>
      <c r="L77" s="29">
        <v>0.93541666666666667</v>
      </c>
      <c r="M77" s="20">
        <f t="shared" si="45"/>
        <v>5.0694444444444486E-2</v>
      </c>
      <c r="N77" s="58">
        <v>120</v>
      </c>
      <c r="O77" s="50">
        <v>2</v>
      </c>
      <c r="P77" s="27">
        <v>0.90902777777777777</v>
      </c>
      <c r="Q77" s="29">
        <v>0.93055555555555558</v>
      </c>
      <c r="R77" s="29">
        <v>0.95277777777777772</v>
      </c>
      <c r="S77" s="20">
        <f t="shared" ref="S77:S78" si="47">R77-P77</f>
        <v>4.3749999999999956E-2</v>
      </c>
      <c r="T77" s="58">
        <v>120</v>
      </c>
      <c r="U77" s="50">
        <v>3</v>
      </c>
      <c r="V77" s="27">
        <v>1</v>
      </c>
      <c r="W77" s="29">
        <v>1.0159722222222223</v>
      </c>
      <c r="X77" s="29">
        <v>1.0375000000000001</v>
      </c>
      <c r="Y77" s="20">
        <f t="shared" si="46"/>
        <v>3.7500000000000089E-2</v>
      </c>
      <c r="Z77" s="58">
        <v>120</v>
      </c>
      <c r="AA77" s="64">
        <v>4</v>
      </c>
      <c r="AB77" s="27">
        <v>0.51111111111111107</v>
      </c>
      <c r="AC77" s="28">
        <f t="shared" si="36"/>
        <v>1.7361111111111049E-2</v>
      </c>
      <c r="AD77" s="29">
        <v>0.96805555555555556</v>
      </c>
      <c r="AE77" s="30">
        <f t="shared" si="37"/>
        <v>2.430555555555558E-2</v>
      </c>
    </row>
    <row r="78" spans="2:31" ht="24" customHeight="1" x14ac:dyDescent="0.25">
      <c r="B78" s="311"/>
      <c r="C78" s="303"/>
      <c r="D78" s="59"/>
      <c r="E78" s="60"/>
      <c r="F78" s="60"/>
      <c r="G78" s="66"/>
      <c r="H78" s="61"/>
      <c r="I78" s="62"/>
      <c r="J78" s="59"/>
      <c r="K78" s="60"/>
      <c r="L78" s="60"/>
      <c r="M78" s="66"/>
      <c r="N78" s="61"/>
      <c r="O78" s="62"/>
      <c r="P78" s="59">
        <v>0.96805555555555556</v>
      </c>
      <c r="Q78" s="60">
        <v>0.98958333333333337</v>
      </c>
      <c r="R78" s="60">
        <v>1.0118055555555556</v>
      </c>
      <c r="S78" s="20">
        <f t="shared" si="47"/>
        <v>4.3750000000000067E-2</v>
      </c>
      <c r="T78" s="61">
        <v>120</v>
      </c>
      <c r="U78" s="62">
        <v>3</v>
      </c>
      <c r="V78" s="59">
        <v>1.0520833333333333</v>
      </c>
      <c r="W78" s="60">
        <v>1.0694444444444444</v>
      </c>
      <c r="X78" s="60">
        <v>1.0868055555555556</v>
      </c>
      <c r="Y78" s="20">
        <f t="shared" si="46"/>
        <v>3.4722222222222321E-2</v>
      </c>
      <c r="Z78" s="61">
        <v>120</v>
      </c>
      <c r="AA78" s="67">
        <v>4</v>
      </c>
      <c r="AB78" s="27">
        <v>0.53541666666666665</v>
      </c>
      <c r="AC78" s="28">
        <f t="shared" si="36"/>
        <v>2.430555555555558E-2</v>
      </c>
      <c r="AD78" s="63">
        <v>1</v>
      </c>
      <c r="AE78" s="30">
        <f t="shared" si="37"/>
        <v>3.1944444444444442E-2</v>
      </c>
    </row>
    <row r="79" spans="2:31" ht="24" customHeight="1" thickBot="1" x14ac:dyDescent="0.3">
      <c r="B79" s="311"/>
      <c r="C79" s="303"/>
      <c r="D79" s="59"/>
      <c r="E79" s="60"/>
      <c r="F79" s="60"/>
      <c r="G79" s="66"/>
      <c r="H79" s="61"/>
      <c r="I79" s="62"/>
      <c r="J79" s="59"/>
      <c r="K79" s="60"/>
      <c r="L79" s="60"/>
      <c r="M79" s="66"/>
      <c r="N79" s="61"/>
      <c r="O79" s="62"/>
      <c r="P79" s="59"/>
      <c r="Q79" s="60"/>
      <c r="R79" s="60"/>
      <c r="S79" s="66"/>
      <c r="T79" s="61"/>
      <c r="U79" s="62"/>
      <c r="V79" s="59">
        <v>1.0972222222222223</v>
      </c>
      <c r="W79" s="60">
        <v>1.1145833333333333</v>
      </c>
      <c r="X79" s="60">
        <v>1.1319444444444444</v>
      </c>
      <c r="Y79" s="20">
        <f t="shared" si="46"/>
        <v>3.4722222222222099E-2</v>
      </c>
      <c r="Z79" s="61">
        <v>120</v>
      </c>
      <c r="AA79" s="67">
        <v>4</v>
      </c>
      <c r="AB79" s="27">
        <v>0.55972222222222223</v>
      </c>
      <c r="AC79" s="28">
        <f t="shared" si="36"/>
        <v>2.430555555555558E-2</v>
      </c>
      <c r="AD79" s="63">
        <v>1.0520833333333333</v>
      </c>
      <c r="AE79" s="30">
        <f t="shared" si="37"/>
        <v>5.2083333333333259E-2</v>
      </c>
    </row>
    <row r="80" spans="2:31" ht="24" customHeight="1" thickBot="1" x14ac:dyDescent="0.3">
      <c r="B80" s="311"/>
      <c r="C80" s="304"/>
      <c r="D80" s="342" t="s">
        <v>44</v>
      </c>
      <c r="E80" s="321"/>
      <c r="F80" s="321"/>
      <c r="G80" s="321"/>
      <c r="H80" s="321"/>
      <c r="I80" s="322"/>
      <c r="J80" s="342" t="s">
        <v>44</v>
      </c>
      <c r="K80" s="321"/>
      <c r="L80" s="321"/>
      <c r="M80" s="321"/>
      <c r="N80" s="321"/>
      <c r="O80" s="322"/>
      <c r="P80" s="342" t="s">
        <v>44</v>
      </c>
      <c r="Q80" s="321"/>
      <c r="R80" s="321"/>
      <c r="S80" s="321"/>
      <c r="T80" s="321"/>
      <c r="U80" s="322"/>
      <c r="V80" s="342" t="s">
        <v>44</v>
      </c>
      <c r="W80" s="321"/>
      <c r="X80" s="321"/>
      <c r="Y80" s="321"/>
      <c r="Z80" s="321"/>
      <c r="AA80" s="321"/>
      <c r="AB80" s="43">
        <v>0.57708333333333328</v>
      </c>
      <c r="AC80" s="44">
        <f t="shared" si="36"/>
        <v>1.7361111111111049E-2</v>
      </c>
      <c r="AD80" s="65">
        <v>1.0972222222222223</v>
      </c>
      <c r="AE80" s="46">
        <f t="shared" si="37"/>
        <v>4.5138888888889062E-2</v>
      </c>
    </row>
    <row r="81" spans="2:27" ht="24" customHeight="1" thickBot="1" x14ac:dyDescent="0.3">
      <c r="B81" s="312"/>
      <c r="C81" s="36" t="s">
        <v>17</v>
      </c>
      <c r="D81" s="37">
        <f>MAX(E73:F79)-IF(D73="",E73,D73)-MIN(H73:H79)+$C70</f>
        <v>0.25972222222222213</v>
      </c>
      <c r="E81" s="51"/>
      <c r="F81" s="51"/>
      <c r="G81" s="52"/>
      <c r="H81" s="53">
        <f ca="1">OFFSET(H72,MATCH(MIN(H73:H79),H73:H79,0),-4)-IF(D73="",E73,D73)</f>
        <v>0.19513888888888886</v>
      </c>
      <c r="I81" s="54"/>
      <c r="J81" s="37">
        <f>MAX(K73:L79)-IF(J73="",K73,J73)-MIN(N73:N79)+$C70</f>
        <v>0.26527777777777778</v>
      </c>
      <c r="K81" s="38"/>
      <c r="L81" s="38"/>
      <c r="M81" s="39"/>
      <c r="N81" s="53">
        <f ca="1">OFFSET(N72,MATCH(MIN(N73:N79),N73:N79,0),-4)-IF(J73="",K73,J73)</f>
        <v>0.12777777777777777</v>
      </c>
      <c r="O81" s="41"/>
      <c r="P81" s="37">
        <f>MAX(Q73:R79)-IF(P73="",Q73,P73)-MIN(T73:T79)+$C70</f>
        <v>0.31458333333333338</v>
      </c>
      <c r="Q81" s="38"/>
      <c r="R81" s="38"/>
      <c r="S81" s="39"/>
      <c r="T81" s="53">
        <f ca="1">OFFSET(T72,MATCH(MIN(T73:T79),T73:T79,0),-4)-IF(P73="",Q73,P73)</f>
        <v>0.19791666666666663</v>
      </c>
      <c r="U81" s="41"/>
      <c r="V81" s="37">
        <f>MAX(W73:X79)-IF(V73="",W73,V73)-MIN(Z73:Z79)+$C70</f>
        <v>0.32847222222222222</v>
      </c>
      <c r="W81" s="38"/>
      <c r="X81" s="38"/>
      <c r="Y81" s="39"/>
      <c r="Z81" s="53">
        <f ca="1">OFFSET(Z72,MATCH(MIN(Z73:Z79),Z73:Z79,0),-4)-IF(V73="",W73,V73)</f>
        <v>0.12638888888888888</v>
      </c>
      <c r="AA81" s="41"/>
    </row>
  </sheetData>
  <mergeCells count="39">
    <mergeCell ref="V68:AA68"/>
    <mergeCell ref="C70:C71"/>
    <mergeCell ref="C72:C80"/>
    <mergeCell ref="D80:I80"/>
    <mergeCell ref="J80:O80"/>
    <mergeCell ref="P80:U80"/>
    <mergeCell ref="V80:AA80"/>
    <mergeCell ref="P68:U68"/>
    <mergeCell ref="B58:B81"/>
    <mergeCell ref="C59:C60"/>
    <mergeCell ref="C61:C68"/>
    <mergeCell ref="D68:I68"/>
    <mergeCell ref="J68:O68"/>
    <mergeCell ref="V40:AA40"/>
    <mergeCell ref="C42:C43"/>
    <mergeCell ref="C44:C52"/>
    <mergeCell ref="D52:I52"/>
    <mergeCell ref="J52:O52"/>
    <mergeCell ref="P52:U52"/>
    <mergeCell ref="V52:AA52"/>
    <mergeCell ref="P40:U40"/>
    <mergeCell ref="B30:B53"/>
    <mergeCell ref="C31:C32"/>
    <mergeCell ref="C33:C40"/>
    <mergeCell ref="D40:I40"/>
    <mergeCell ref="J40:O40"/>
    <mergeCell ref="V12:AA12"/>
    <mergeCell ref="C14:C15"/>
    <mergeCell ref="C16:C24"/>
    <mergeCell ref="D24:I24"/>
    <mergeCell ref="J24:O24"/>
    <mergeCell ref="P24:U24"/>
    <mergeCell ref="V24:AA24"/>
    <mergeCell ref="P12:U12"/>
    <mergeCell ref="B2:B25"/>
    <mergeCell ref="C3:C4"/>
    <mergeCell ref="C5:C12"/>
    <mergeCell ref="D12:I12"/>
    <mergeCell ref="J12:O12"/>
  </mergeCells>
  <conditionalFormatting sqref="D4">
    <cfRule type="colorScale" priority="18">
      <colorScale>
        <cfvo type="min"/>
        <cfvo type="max"/>
        <color rgb="FFFF7128"/>
        <color rgb="FFFFEF9C"/>
      </colorScale>
    </cfRule>
  </conditionalFormatting>
  <conditionalFormatting sqref="D32">
    <cfRule type="colorScale" priority="12">
      <colorScale>
        <cfvo type="min"/>
        <cfvo type="max"/>
        <color rgb="FFFF7128"/>
        <color rgb="FFFFEF9C"/>
      </colorScale>
    </cfRule>
  </conditionalFormatting>
  <conditionalFormatting sqref="D60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214" priority="16" stopIfTrue="1">
      <formula>LEN($D4)=14</formula>
    </cfRule>
  </conditionalFormatting>
  <conditionalFormatting sqref="D32:I32">
    <cfRule type="expression" dxfId="213" priority="10" stopIfTrue="1">
      <formula>LEN($D32)=14</formula>
    </cfRule>
  </conditionalFormatting>
  <conditionalFormatting sqref="D60:I60">
    <cfRule type="expression" dxfId="212" priority="4" stopIfTrue="1">
      <formula>LEN($D60)=14</formula>
    </cfRule>
  </conditionalFormatting>
  <conditionalFormatting sqref="E4:I4">
    <cfRule type="notContainsBlanks" dxfId="211" priority="17">
      <formula>LEN(TRIM(E4))&gt;0</formula>
    </cfRule>
  </conditionalFormatting>
  <conditionalFormatting sqref="E32:I32">
    <cfRule type="notContainsBlanks" dxfId="210" priority="11">
      <formula>LEN(TRIM(E32))&gt;0</formula>
    </cfRule>
  </conditionalFormatting>
  <conditionalFormatting sqref="E60:I60">
    <cfRule type="notContainsBlanks" dxfId="209" priority="5">
      <formula>LEN(TRIM(E60))&gt;0</formula>
    </cfRule>
  </conditionalFormatting>
  <conditionalFormatting sqref="J4:O4">
    <cfRule type="expression" dxfId="208" priority="15">
      <formula>LEN($J4)=14</formula>
    </cfRule>
  </conditionalFormatting>
  <conditionalFormatting sqref="J32:O32">
    <cfRule type="expression" dxfId="207" priority="9">
      <formula>LEN($J32)=14</formula>
    </cfRule>
  </conditionalFormatting>
  <conditionalFormatting sqref="J60:O60">
    <cfRule type="expression" dxfId="206" priority="3">
      <formula>LEN($J60)=14</formula>
    </cfRule>
  </conditionalFormatting>
  <conditionalFormatting sqref="P4:U4">
    <cfRule type="expression" dxfId="205" priority="14">
      <formula>LEN($P4)=14</formula>
    </cfRule>
  </conditionalFormatting>
  <conditionalFormatting sqref="P32:U32">
    <cfRule type="expression" dxfId="204" priority="8">
      <formula>LEN($P32)=14</formula>
    </cfRule>
  </conditionalFormatting>
  <conditionalFormatting sqref="P60:U60">
    <cfRule type="expression" dxfId="203" priority="2">
      <formula>LEN($P60)=14</formula>
    </cfRule>
  </conditionalFormatting>
  <conditionalFormatting sqref="V4:AA4">
    <cfRule type="expression" dxfId="202" priority="13">
      <formula>LEN($V4)=14</formula>
    </cfRule>
  </conditionalFormatting>
  <conditionalFormatting sqref="V32:AA32">
    <cfRule type="expression" dxfId="201" priority="7">
      <formula>LEN($V32)=14</formula>
    </cfRule>
  </conditionalFormatting>
  <conditionalFormatting sqref="V60:AA60">
    <cfRule type="expression" dxfId="200" priority="1">
      <formula>LEN($V60)=14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D09D-9730-4497-990D-495BA6E4BBB2}">
  <dimension ref="A1:Z84"/>
  <sheetViews>
    <sheetView zoomScale="70" zoomScaleNormal="70" workbookViewId="0">
      <selection activeCell="B2" sqref="B2:B24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thickBot="1" x14ac:dyDescent="0.3">
      <c r="B2" s="343" t="s">
        <v>32</v>
      </c>
      <c r="C2" s="346" t="s">
        <v>50</v>
      </c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8"/>
      <c r="V2" s="6" t="s">
        <v>51</v>
      </c>
      <c r="W2" s="7"/>
      <c r="X2" s="7"/>
      <c r="Y2" s="8"/>
    </row>
    <row r="3" spans="1:25" ht="24" customHeight="1" thickBot="1" x14ac:dyDescent="0.3">
      <c r="B3" s="351"/>
      <c r="C3" s="349">
        <v>1.3888888888888888E-2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3</v>
      </c>
      <c r="W3" s="11"/>
      <c r="X3" s="11"/>
      <c r="Y3" s="12"/>
    </row>
    <row r="4" spans="1:25" ht="24" customHeight="1" thickBot="1" x14ac:dyDescent="0.3">
      <c r="B4" s="351"/>
      <c r="C4" s="31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6" t="str">
        <f>CONCATENATE(COUNT(V6:V18,X6:X18)," VIAGENS")</f>
        <v>26 VIAGENS</v>
      </c>
      <c r="W4" s="7"/>
      <c r="X4" s="7"/>
      <c r="Y4" s="8"/>
    </row>
    <row r="5" spans="1:25" ht="24" customHeight="1" thickBot="1" x14ac:dyDescent="0.3">
      <c r="B5" s="35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51"/>
      <c r="C6" s="314"/>
      <c r="D6" s="18">
        <v>0.19791666666666671</v>
      </c>
      <c r="E6" s="19">
        <v>0.22013888888888891</v>
      </c>
      <c r="F6" s="19">
        <v>0.24930555555555561</v>
      </c>
      <c r="G6" s="20">
        <f>F6-D6</f>
        <v>5.1388888888888901E-2</v>
      </c>
      <c r="H6" s="55">
        <v>121</v>
      </c>
      <c r="I6" s="22">
        <v>1</v>
      </c>
      <c r="J6" s="18">
        <v>0.21875</v>
      </c>
      <c r="K6" s="19">
        <v>0.24374999999999999</v>
      </c>
      <c r="L6" s="19">
        <v>0.27291666666666659</v>
      </c>
      <c r="M6" s="20">
        <f t="shared" ref="M6:M7" si="0">L6-J6</f>
        <v>5.4166666666666585E-2</v>
      </c>
      <c r="N6" s="55">
        <v>121</v>
      </c>
      <c r="O6" s="22">
        <v>2</v>
      </c>
      <c r="P6" s="18">
        <v>0.23958333333333329</v>
      </c>
      <c r="Q6" s="19">
        <v>0.26458333333333328</v>
      </c>
      <c r="R6" s="19">
        <v>0.29652777777777778</v>
      </c>
      <c r="S6" s="20">
        <f t="shared" ref="S6:S8" si="1">R6-P6</f>
        <v>5.6944444444444492E-2</v>
      </c>
      <c r="T6" s="55">
        <v>121</v>
      </c>
      <c r="U6" s="22">
        <v>3</v>
      </c>
      <c r="V6" s="23">
        <v>0.19791666666666671</v>
      </c>
      <c r="W6" s="24"/>
      <c r="X6" s="25">
        <v>0.60277777777777775</v>
      </c>
      <c r="Y6" s="26">
        <f>X6-V18</f>
        <v>2.0833333333333259E-2</v>
      </c>
    </row>
    <row r="7" spans="1:25" ht="24" customHeight="1" thickBot="1" x14ac:dyDescent="0.3">
      <c r="B7" s="351"/>
      <c r="C7" s="314"/>
      <c r="D7" s="18">
        <v>0.26041666666666669</v>
      </c>
      <c r="E7" s="19">
        <v>0.28472222222222221</v>
      </c>
      <c r="F7" s="19">
        <v>0.31666666666666671</v>
      </c>
      <c r="G7" s="20">
        <f t="shared" ref="G7:G8" si="2">F7-D7</f>
        <v>5.6250000000000022E-2</v>
      </c>
      <c r="H7" s="55">
        <v>121</v>
      </c>
      <c r="I7" s="22">
        <v>1</v>
      </c>
      <c r="J7" s="18">
        <v>0.28194444444444439</v>
      </c>
      <c r="K7" s="19">
        <v>0.30694444444444452</v>
      </c>
      <c r="L7" s="19">
        <v>0.34375</v>
      </c>
      <c r="M7" s="20">
        <f t="shared" si="0"/>
        <v>6.1805555555555614E-2</v>
      </c>
      <c r="N7" s="55">
        <v>121</v>
      </c>
      <c r="O7" s="22">
        <v>2</v>
      </c>
      <c r="P7" s="18">
        <v>0.3034722222222222</v>
      </c>
      <c r="Q7" s="19">
        <v>0.33333333333333331</v>
      </c>
      <c r="R7" s="19">
        <v>0.37291666666666667</v>
      </c>
      <c r="S7" s="20">
        <f t="shared" si="1"/>
        <v>6.9444444444444475E-2</v>
      </c>
      <c r="T7" s="55">
        <v>121</v>
      </c>
      <c r="U7" s="22">
        <v>3</v>
      </c>
      <c r="V7" s="27">
        <v>0.21875</v>
      </c>
      <c r="W7" s="28">
        <f t="shared" ref="W7:W17" si="3">V7-V6</f>
        <v>2.0833333333333287E-2</v>
      </c>
      <c r="X7" s="29">
        <v>0.63194444444444442</v>
      </c>
      <c r="Y7" s="30">
        <f t="shared" ref="Y7:Y17" si="4">X7-X6</f>
        <v>2.9166666666666674E-2</v>
      </c>
    </row>
    <row r="8" spans="1:25" ht="24" customHeight="1" thickBot="1" x14ac:dyDescent="0.3">
      <c r="B8" s="351"/>
      <c r="C8" s="314"/>
      <c r="D8" s="18">
        <v>0.33333333333333331</v>
      </c>
      <c r="E8" s="19">
        <v>0.35972222222222222</v>
      </c>
      <c r="F8" s="19">
        <v>0.39791666666666659</v>
      </c>
      <c r="G8" s="20">
        <f t="shared" si="2"/>
        <v>6.458333333333327E-2</v>
      </c>
      <c r="H8" s="55">
        <v>121</v>
      </c>
      <c r="I8" s="22">
        <v>1</v>
      </c>
      <c r="J8" s="31">
        <f>IF(L7="",K7,L7)</f>
        <v>0.34375</v>
      </c>
      <c r="K8" s="32"/>
      <c r="L8" s="31">
        <f>IF(J9="",K9,J9)</f>
        <v>0.40416666666666667</v>
      </c>
      <c r="M8" s="32"/>
      <c r="N8" s="32">
        <f>L8-J8</f>
        <v>6.0416666666666674E-2</v>
      </c>
      <c r="O8" s="32"/>
      <c r="P8" s="18">
        <v>0.37847222222222221</v>
      </c>
      <c r="Q8" s="19">
        <v>0.41111111111111109</v>
      </c>
      <c r="R8" s="19">
        <v>0.45208333333333328</v>
      </c>
      <c r="S8" s="20">
        <f t="shared" si="1"/>
        <v>7.3611111111111072E-2</v>
      </c>
      <c r="T8" s="55">
        <v>121</v>
      </c>
      <c r="U8" s="22">
        <v>3</v>
      </c>
      <c r="V8" s="27">
        <v>0.23958333333333329</v>
      </c>
      <c r="W8" s="28">
        <f t="shared" si="3"/>
        <v>2.0833333333333287E-2</v>
      </c>
      <c r="X8" s="29">
        <v>0.65763888888888888</v>
      </c>
      <c r="Y8" s="30">
        <f t="shared" si="4"/>
        <v>2.5694444444444464E-2</v>
      </c>
    </row>
    <row r="9" spans="1:25" ht="24" customHeight="1" thickBot="1" x14ac:dyDescent="0.3">
      <c r="B9" s="351"/>
      <c r="C9" s="314"/>
      <c r="D9" s="31">
        <f>IF(F8="",E8,F8)</f>
        <v>0.39791666666666659</v>
      </c>
      <c r="E9" s="32"/>
      <c r="F9" s="31">
        <f>IF(D10="",E10,D10)</f>
        <v>0.44722222222222219</v>
      </c>
      <c r="G9" s="32"/>
      <c r="H9" s="32">
        <f>F9-D9</f>
        <v>4.9305555555555602E-2</v>
      </c>
      <c r="I9" s="32"/>
      <c r="J9" s="18">
        <v>0.40416666666666667</v>
      </c>
      <c r="K9" s="19">
        <v>0.43611111111111112</v>
      </c>
      <c r="L9" s="19">
        <v>0.4777777777777778</v>
      </c>
      <c r="M9" s="20">
        <f t="shared" ref="M9:M10" si="5">L9-J9</f>
        <v>7.3611111111111127E-2</v>
      </c>
      <c r="N9" s="55">
        <v>121</v>
      </c>
      <c r="O9" s="22">
        <v>2</v>
      </c>
      <c r="P9" s="31">
        <f>IF(R8="",Q8,R8)</f>
        <v>0.45208333333333328</v>
      </c>
      <c r="Q9" s="32"/>
      <c r="R9" s="31">
        <f>IF(P10="",Q10,P10)</f>
        <v>0.52847222222222223</v>
      </c>
      <c r="S9" s="32"/>
      <c r="T9" s="32">
        <f>R9-P9</f>
        <v>7.6388888888888951E-2</v>
      </c>
      <c r="U9" s="32"/>
      <c r="V9" s="27">
        <v>0.26041666666666669</v>
      </c>
      <c r="W9" s="28">
        <f t="shared" si="3"/>
        <v>2.0833333333333398E-2</v>
      </c>
      <c r="X9" s="29">
        <v>0.68333333333333335</v>
      </c>
      <c r="Y9" s="30">
        <f t="shared" si="4"/>
        <v>2.5694444444444464E-2</v>
      </c>
    </row>
    <row r="10" spans="1:25" ht="24" customHeight="1" x14ac:dyDescent="0.25">
      <c r="B10" s="351"/>
      <c r="C10" s="314"/>
      <c r="D10" s="18">
        <v>0.44722222222222219</v>
      </c>
      <c r="E10" s="19">
        <v>0.47708333333333341</v>
      </c>
      <c r="F10" s="19">
        <v>0.51736111111111116</v>
      </c>
      <c r="G10" s="20">
        <f>F10-D10</f>
        <v>7.0138888888888973E-2</v>
      </c>
      <c r="H10" s="55">
        <v>121</v>
      </c>
      <c r="I10" s="22">
        <v>1</v>
      </c>
      <c r="J10" s="18">
        <v>0.48472222222222222</v>
      </c>
      <c r="K10" s="19">
        <v>0.51249999999999996</v>
      </c>
      <c r="L10" s="19">
        <v>0.5541666666666667</v>
      </c>
      <c r="M10" s="20">
        <f t="shared" si="5"/>
        <v>6.9444444444444475E-2</v>
      </c>
      <c r="N10" s="55">
        <v>121</v>
      </c>
      <c r="O10" s="22">
        <v>2</v>
      </c>
      <c r="P10" s="18">
        <v>0.52847222222222223</v>
      </c>
      <c r="Q10" s="19">
        <v>0.55555555555555558</v>
      </c>
      <c r="R10" s="19">
        <v>0.59444444444444444</v>
      </c>
      <c r="S10" s="20">
        <f t="shared" ref="S10:S11" si="6">R10-P10</f>
        <v>6.597222222222221E-2</v>
      </c>
      <c r="T10" s="55">
        <v>121</v>
      </c>
      <c r="U10" s="22">
        <v>3</v>
      </c>
      <c r="V10" s="27">
        <v>0.28194444444444439</v>
      </c>
      <c r="W10" s="28">
        <f t="shared" si="3"/>
        <v>2.1527777777777701E-2</v>
      </c>
      <c r="X10" s="29">
        <v>0.70902777777777781</v>
      </c>
      <c r="Y10" s="30">
        <f t="shared" si="4"/>
        <v>2.5694444444444464E-2</v>
      </c>
    </row>
    <row r="11" spans="1:25" ht="24" customHeight="1" thickBot="1" x14ac:dyDescent="0.3">
      <c r="B11" s="351"/>
      <c r="C11" s="314"/>
      <c r="D11" s="18"/>
      <c r="E11" s="19"/>
      <c r="F11" s="19"/>
      <c r="G11" s="20"/>
      <c r="H11" s="55"/>
      <c r="I11" s="22"/>
      <c r="J11" s="18"/>
      <c r="K11" s="19"/>
      <c r="L11" s="19"/>
      <c r="M11" s="20"/>
      <c r="N11" s="55"/>
      <c r="O11" s="22"/>
      <c r="P11" s="18">
        <v>0.60277777777777775</v>
      </c>
      <c r="Q11" s="19">
        <v>0.63124999999999998</v>
      </c>
      <c r="R11" s="19">
        <v>0.67152777777777772</v>
      </c>
      <c r="S11" s="20">
        <f t="shared" si="6"/>
        <v>6.8749999999999978E-2</v>
      </c>
      <c r="T11" s="55">
        <v>121</v>
      </c>
      <c r="U11" s="22">
        <v>3</v>
      </c>
      <c r="V11" s="27">
        <v>0.3034722222222222</v>
      </c>
      <c r="W11" s="28">
        <f t="shared" si="3"/>
        <v>2.1527777777777812E-2</v>
      </c>
      <c r="X11" s="29">
        <v>0.7368055555555556</v>
      </c>
      <c r="Y11" s="30">
        <f t="shared" si="4"/>
        <v>2.777777777777779E-2</v>
      </c>
    </row>
    <row r="12" spans="1:25" s="35" customFormat="1" ht="24" customHeight="1" thickBot="1" x14ac:dyDescent="0.3">
      <c r="A12" s="34"/>
      <c r="B12" s="351"/>
      <c r="C12" s="315"/>
      <c r="D12" s="350" t="s">
        <v>52</v>
      </c>
      <c r="E12" s="321"/>
      <c r="F12" s="321"/>
      <c r="G12" s="321"/>
      <c r="H12" s="321"/>
      <c r="I12" s="322"/>
      <c r="J12" s="350" t="s">
        <v>52</v>
      </c>
      <c r="K12" s="321"/>
      <c r="L12" s="321"/>
      <c r="M12" s="321"/>
      <c r="N12" s="321"/>
      <c r="O12" s="322"/>
      <c r="P12" s="350" t="s">
        <v>52</v>
      </c>
      <c r="Q12" s="321"/>
      <c r="R12" s="321"/>
      <c r="S12" s="321"/>
      <c r="T12" s="321"/>
      <c r="U12" s="322"/>
      <c r="V12" s="27">
        <v>0.33333333333333331</v>
      </c>
      <c r="W12" s="28">
        <f t="shared" si="3"/>
        <v>2.9861111111111116E-2</v>
      </c>
      <c r="X12" s="29">
        <v>0.76458333333333328</v>
      </c>
      <c r="Y12" s="30">
        <f t="shared" si="4"/>
        <v>2.7777777777777679E-2</v>
      </c>
    </row>
    <row r="13" spans="1:25" ht="24" customHeight="1" thickBot="1" x14ac:dyDescent="0.3">
      <c r="B13" s="351"/>
      <c r="C13" s="36" t="s">
        <v>17</v>
      </c>
      <c r="D13" s="37">
        <f>MAX(E6:F11)-IF(D6="",E6,D6)-MIN(H6:H11)+$C3</f>
        <v>0.28402777777777771</v>
      </c>
      <c r="E13" s="38"/>
      <c r="F13" s="38"/>
      <c r="G13" s="39"/>
      <c r="H13" s="40">
        <f ca="1">OFFSET(H5,MATCH(MIN(H6:H11),H6:H11,0),-4)-IF(D6="",E6,D6)+$C3</f>
        <v>0.21388888888888877</v>
      </c>
      <c r="I13" s="41"/>
      <c r="J13" s="37">
        <f>MAX(K6:L11)-IF(J6="",K6,J6)-MIN(N6:N11)+$C3</f>
        <v>0.28888888888888892</v>
      </c>
      <c r="K13" s="38"/>
      <c r="L13" s="38"/>
      <c r="M13" s="39"/>
      <c r="N13" s="40">
        <f ca="1">OFFSET(N5,MATCH(MIN(N6:N11),N6:N11,0),-4)-IF(J6="",K6,J6)+$C3</f>
        <v>0.1388888888888889</v>
      </c>
      <c r="O13" s="41"/>
      <c r="P13" s="37">
        <f>MAX(Q6:R11)-IF(P6="",Q6,P6)-MIN(T6:T11)+$C3</f>
        <v>0.36944444444444441</v>
      </c>
      <c r="Q13" s="38"/>
      <c r="R13" s="38"/>
      <c r="S13" s="39"/>
      <c r="T13" s="40">
        <f ca="1">OFFSET(T5,MATCH(MIN(T6:T11),T6:T11,0),-4)-IF(P6="",Q6,P6)+$C3</f>
        <v>0.22638888888888889</v>
      </c>
      <c r="U13" s="41"/>
      <c r="V13" s="27">
        <v>0.37847222222222221</v>
      </c>
      <c r="W13" s="28">
        <f t="shared" si="3"/>
        <v>4.5138888888888895E-2</v>
      </c>
      <c r="X13" s="29">
        <v>0.79236111111111107</v>
      </c>
      <c r="Y13" s="30">
        <f t="shared" si="4"/>
        <v>2.777777777777779E-2</v>
      </c>
    </row>
    <row r="14" spans="1:25" ht="24" customHeight="1" thickBot="1" x14ac:dyDescent="0.3">
      <c r="B14" s="351"/>
      <c r="C14" s="349">
        <v>1.3888888888888888E-2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8"/>
      <c r="V14" s="27">
        <v>0.40416666666666667</v>
      </c>
      <c r="W14" s="28">
        <f t="shared" si="3"/>
        <v>2.5694444444444464E-2</v>
      </c>
      <c r="X14" s="29">
        <v>0.85138888888888886</v>
      </c>
      <c r="Y14" s="30">
        <f t="shared" si="4"/>
        <v>5.902777777777779E-2</v>
      </c>
    </row>
    <row r="15" spans="1:25" ht="24" customHeight="1" thickBot="1" x14ac:dyDescent="0.3">
      <c r="B15" s="351"/>
      <c r="C15" s="319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21</v>
      </c>
      <c r="Q15" s="7"/>
      <c r="R15" s="7"/>
      <c r="S15" s="7"/>
      <c r="T15" s="7"/>
      <c r="U15" s="8"/>
      <c r="V15" s="27">
        <v>0.44722222222222219</v>
      </c>
      <c r="W15" s="28">
        <f t="shared" si="3"/>
        <v>4.3055555555555514E-2</v>
      </c>
      <c r="X15" s="29">
        <v>0.9</v>
      </c>
      <c r="Y15" s="30">
        <f t="shared" si="4"/>
        <v>4.861111111111116E-2</v>
      </c>
    </row>
    <row r="16" spans="1:25" ht="24" customHeight="1" thickBot="1" x14ac:dyDescent="0.3">
      <c r="B16" s="351"/>
      <c r="C16" s="302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4" t="s">
        <v>13</v>
      </c>
      <c r="V16" s="27">
        <v>0.48472222222222222</v>
      </c>
      <c r="W16" s="28">
        <f t="shared" si="3"/>
        <v>3.7500000000000033E-2</v>
      </c>
      <c r="X16" s="29">
        <v>0.94097222222222221</v>
      </c>
      <c r="Y16" s="30">
        <f t="shared" si="4"/>
        <v>4.0972222222222188E-2</v>
      </c>
    </row>
    <row r="17" spans="1:26" ht="24" customHeight="1" x14ac:dyDescent="0.25">
      <c r="B17" s="351"/>
      <c r="C17" s="303"/>
      <c r="D17" s="23">
        <v>0.58194444444444449</v>
      </c>
      <c r="E17" s="25">
        <v>0.61041666666666672</v>
      </c>
      <c r="F17" s="25">
        <v>0.65069444444444446</v>
      </c>
      <c r="G17" s="20">
        <f t="shared" ref="G17:G19" si="7">F17-D17</f>
        <v>6.8749999999999978E-2</v>
      </c>
      <c r="H17" s="56">
        <v>121</v>
      </c>
      <c r="I17" s="48">
        <v>1</v>
      </c>
      <c r="J17" s="23">
        <v>0.63194444444444442</v>
      </c>
      <c r="K17" s="25">
        <v>0.66180555555555554</v>
      </c>
      <c r="L17" s="25">
        <v>0.70208333333333328</v>
      </c>
      <c r="M17" s="20">
        <f t="shared" ref="M17:M19" si="8">L17-J17</f>
        <v>7.0138888888888862E-2</v>
      </c>
      <c r="N17" s="56">
        <v>121</v>
      </c>
      <c r="O17" s="48">
        <v>2</v>
      </c>
      <c r="P17" s="23">
        <v>0.68333333333333335</v>
      </c>
      <c r="Q17" s="25">
        <v>0.71111111111111114</v>
      </c>
      <c r="R17" s="25">
        <v>0.75208333333333333</v>
      </c>
      <c r="S17" s="20">
        <f t="shared" ref="S17:S18" si="9">R17-P17</f>
        <v>6.8749999999999978E-2</v>
      </c>
      <c r="T17" s="56">
        <v>121</v>
      </c>
      <c r="U17" s="48">
        <v>3</v>
      </c>
      <c r="V17" s="27">
        <v>0.52847222222222223</v>
      </c>
      <c r="W17" s="28">
        <f t="shared" si="3"/>
        <v>4.3750000000000011E-2</v>
      </c>
      <c r="X17" s="29">
        <v>0.9819444444444444</v>
      </c>
      <c r="Y17" s="30">
        <f t="shared" si="4"/>
        <v>4.0972222222222188E-2</v>
      </c>
    </row>
    <row r="18" spans="1:26" ht="24" customHeight="1" thickBot="1" x14ac:dyDescent="0.3">
      <c r="B18" s="351"/>
      <c r="C18" s="303"/>
      <c r="D18" s="27">
        <v>0.65763888888888888</v>
      </c>
      <c r="E18" s="29">
        <v>0.6875</v>
      </c>
      <c r="F18" s="29">
        <v>0.72986111111111107</v>
      </c>
      <c r="G18" s="20">
        <f t="shared" si="7"/>
        <v>7.2222222222222188E-2</v>
      </c>
      <c r="H18" s="58">
        <v>121</v>
      </c>
      <c r="I18" s="50">
        <v>1</v>
      </c>
      <c r="J18" s="27">
        <v>0.70902777777777781</v>
      </c>
      <c r="K18" s="29">
        <v>0.7368055555555556</v>
      </c>
      <c r="L18" s="29">
        <v>0.77777777777777779</v>
      </c>
      <c r="M18" s="20">
        <f t="shared" si="8"/>
        <v>6.8749999999999978E-2</v>
      </c>
      <c r="N18" s="58">
        <v>121</v>
      </c>
      <c r="O18" s="50">
        <v>2</v>
      </c>
      <c r="P18" s="27">
        <v>0.76458333333333328</v>
      </c>
      <c r="Q18" s="29">
        <v>0.79513888888888884</v>
      </c>
      <c r="R18" s="29">
        <v>0.83611111111111114</v>
      </c>
      <c r="S18" s="20">
        <f t="shared" si="9"/>
        <v>7.1527777777777857E-2</v>
      </c>
      <c r="T18" s="58">
        <v>121</v>
      </c>
      <c r="U18" s="50">
        <v>3</v>
      </c>
      <c r="V18" s="43">
        <v>0.58194444444444449</v>
      </c>
      <c r="W18" s="44">
        <f>V18-V17</f>
        <v>5.3472222222222254E-2</v>
      </c>
      <c r="X18" s="45">
        <v>1.0430555555555556</v>
      </c>
      <c r="Y18" s="46">
        <f>X18-X17</f>
        <v>6.1111111111111227E-2</v>
      </c>
    </row>
    <row r="19" spans="1:26" ht="24" customHeight="1" thickBot="1" x14ac:dyDescent="0.3">
      <c r="B19" s="351"/>
      <c r="C19" s="303"/>
      <c r="D19" s="27">
        <v>0.7368055555555556</v>
      </c>
      <c r="E19" s="29">
        <v>0.76458333333333328</v>
      </c>
      <c r="F19" s="29">
        <v>0.80277777777777781</v>
      </c>
      <c r="G19" s="20">
        <f t="shared" si="7"/>
        <v>6.597222222222221E-2</v>
      </c>
      <c r="H19" s="58">
        <v>121</v>
      </c>
      <c r="I19" s="50">
        <v>1</v>
      </c>
      <c r="J19" s="27">
        <v>0.79236111111111107</v>
      </c>
      <c r="K19" s="29">
        <v>0.82013888888888886</v>
      </c>
      <c r="L19" s="29">
        <v>0.86111111111111116</v>
      </c>
      <c r="M19" s="20">
        <f t="shared" si="8"/>
        <v>6.8750000000000089E-2</v>
      </c>
      <c r="N19" s="58">
        <v>121</v>
      </c>
      <c r="O19" s="50">
        <v>2</v>
      </c>
      <c r="P19" s="31">
        <f>IF(R18="",Q18,R18)</f>
        <v>0.83611111111111114</v>
      </c>
      <c r="Q19" s="32"/>
      <c r="R19" s="31">
        <f>IF(P20="",Q20,P20)</f>
        <v>0.9</v>
      </c>
      <c r="S19" s="32"/>
      <c r="T19" s="32">
        <f>R19-P19</f>
        <v>6.3888888888888884E-2</v>
      </c>
      <c r="U19" s="32"/>
    </row>
    <row r="20" spans="1:26" ht="24" customHeight="1" thickBot="1" x14ac:dyDescent="0.3">
      <c r="B20" s="351"/>
      <c r="C20" s="303"/>
      <c r="D20" s="31">
        <f>IF(F19="",E19,F19)</f>
        <v>0.80277777777777781</v>
      </c>
      <c r="E20" s="32"/>
      <c r="F20" s="31">
        <f>IF(D21="",E21,D21)</f>
        <v>0.85138888888888886</v>
      </c>
      <c r="G20" s="32"/>
      <c r="H20" s="32">
        <f>F20-D20</f>
        <v>4.8611111111111049E-2</v>
      </c>
      <c r="I20" s="32"/>
      <c r="J20" s="31">
        <f>IF(L19="",K19,L19)</f>
        <v>0.86111111111111116</v>
      </c>
      <c r="K20" s="32"/>
      <c r="L20" s="31">
        <f>IF(J21="",K21,J21)</f>
        <v>0.94097222222222221</v>
      </c>
      <c r="M20" s="32"/>
      <c r="N20" s="32">
        <f>L20-J20</f>
        <v>7.9861111111111049E-2</v>
      </c>
      <c r="O20" s="32"/>
      <c r="P20" s="27">
        <v>0.9</v>
      </c>
      <c r="Q20" s="29">
        <v>0.92986111111111114</v>
      </c>
      <c r="R20" s="29">
        <v>0.96388888888888891</v>
      </c>
      <c r="S20" s="20">
        <f t="shared" ref="S20:S21" si="10">R20-P20</f>
        <v>6.3888888888888884E-2</v>
      </c>
      <c r="T20" s="58">
        <v>121</v>
      </c>
      <c r="U20" s="50">
        <v>3</v>
      </c>
    </row>
    <row r="21" spans="1:26" ht="24" customHeight="1" x14ac:dyDescent="0.25">
      <c r="B21" s="351"/>
      <c r="C21" s="303"/>
      <c r="D21" s="27">
        <v>0.85138888888888886</v>
      </c>
      <c r="E21" s="29">
        <v>0.87638888888888888</v>
      </c>
      <c r="F21" s="29">
        <v>0.91527777777777775</v>
      </c>
      <c r="G21" s="20">
        <f>F21-D21</f>
        <v>6.3888888888888884E-2</v>
      </c>
      <c r="H21" s="58">
        <v>121</v>
      </c>
      <c r="I21" s="50">
        <v>1</v>
      </c>
      <c r="J21" s="27">
        <v>0.94097222222222221</v>
      </c>
      <c r="K21" s="29">
        <v>0.96875</v>
      </c>
      <c r="L21" s="29">
        <v>0.99791666666666667</v>
      </c>
      <c r="M21" s="20">
        <f>L21-J21</f>
        <v>5.6944444444444464E-2</v>
      </c>
      <c r="N21" s="58">
        <v>121</v>
      </c>
      <c r="O21" s="50">
        <v>2</v>
      </c>
      <c r="P21" s="27">
        <v>0.9819444444444444</v>
      </c>
      <c r="Q21" s="29">
        <v>1.0097222222222222</v>
      </c>
      <c r="R21" s="29">
        <v>1.038888888888889</v>
      </c>
      <c r="S21" s="20">
        <f t="shared" si="10"/>
        <v>5.6944444444444575E-2</v>
      </c>
      <c r="T21" s="58">
        <v>121</v>
      </c>
      <c r="U21" s="50">
        <v>3</v>
      </c>
    </row>
    <row r="22" spans="1:26" ht="24" customHeight="1" thickBot="1" x14ac:dyDescent="0.3">
      <c r="B22" s="351"/>
      <c r="C22" s="303"/>
      <c r="D22" s="59"/>
      <c r="E22" s="60"/>
      <c r="F22" s="60"/>
      <c r="G22" s="66"/>
      <c r="H22" s="61"/>
      <c r="I22" s="62"/>
      <c r="J22" s="59"/>
      <c r="K22" s="60"/>
      <c r="L22" s="60"/>
      <c r="M22" s="66"/>
      <c r="N22" s="61"/>
      <c r="O22" s="62"/>
      <c r="P22" s="59">
        <v>1.0430555555555556</v>
      </c>
      <c r="Q22" s="60">
        <v>1.0638888888888889</v>
      </c>
      <c r="R22" s="60">
        <v>1.0930555555555554</v>
      </c>
      <c r="S22" s="20">
        <f>R22-P22</f>
        <v>4.9999999999999822E-2</v>
      </c>
      <c r="T22" s="61">
        <v>121</v>
      </c>
      <c r="U22" s="62">
        <v>3</v>
      </c>
    </row>
    <row r="23" spans="1:26" s="35" customFormat="1" ht="24" customHeight="1" thickBot="1" x14ac:dyDescent="0.3">
      <c r="A23" s="34"/>
      <c r="B23" s="351"/>
      <c r="C23" s="304"/>
      <c r="D23" s="350" t="s">
        <v>52</v>
      </c>
      <c r="E23" s="321"/>
      <c r="F23" s="321"/>
      <c r="G23" s="321"/>
      <c r="H23" s="321"/>
      <c r="I23" s="322"/>
      <c r="J23" s="350" t="s">
        <v>52</v>
      </c>
      <c r="K23" s="321"/>
      <c r="L23" s="321"/>
      <c r="M23" s="321"/>
      <c r="N23" s="321"/>
      <c r="O23" s="322"/>
      <c r="P23" s="350" t="s">
        <v>52</v>
      </c>
      <c r="Q23" s="321"/>
      <c r="R23" s="321"/>
      <c r="S23" s="321"/>
      <c r="T23" s="321"/>
      <c r="U23" s="322"/>
      <c r="Z23" s="1"/>
    </row>
    <row r="24" spans="1:26" ht="24" customHeight="1" thickBot="1" x14ac:dyDescent="0.3">
      <c r="B24" s="352"/>
      <c r="C24" s="36" t="s">
        <v>17</v>
      </c>
      <c r="D24" s="37">
        <f>MAX(E17:F22)-IF(D17="",E17,D17)-MIN(H17:H22)+$C14</f>
        <v>0.2986111111111111</v>
      </c>
      <c r="E24" s="51"/>
      <c r="F24" s="51"/>
      <c r="G24" s="52"/>
      <c r="H24" s="53">
        <f ca="1">OFFSET(H16,MATCH(MIN(H17:H22),H17:H22,0),-4)-IF(D17="",E17,D17)</f>
        <v>0.22083333333333333</v>
      </c>
      <c r="I24" s="54"/>
      <c r="J24" s="37">
        <f>MAX(K17:L22)-IF(J17="",K17,J17)-MIN(N17:N22)+$C14</f>
        <v>0.3000000000000001</v>
      </c>
      <c r="K24" s="38"/>
      <c r="L24" s="38"/>
      <c r="M24" s="39"/>
      <c r="N24" s="53">
        <f ca="1">OFFSET(N16,MATCH(MIN(N17:N22),N17:N22,0),-4)-IF(J17="",K17,J17)</f>
        <v>0.22916666666666674</v>
      </c>
      <c r="O24" s="41"/>
      <c r="P24" s="37">
        <f>MAX(Q17:R22)-IF(P17="",Q17,P17)-MIN(T17:T22)+$C14</f>
        <v>0.35972222222222211</v>
      </c>
      <c r="Q24" s="38"/>
      <c r="R24" s="38"/>
      <c r="S24" s="39"/>
      <c r="T24" s="53">
        <f ca="1">OFFSET(T16,MATCH(MIN(T17:T22),T17:T22,0),-4)-IF(P17="",Q17,P17)</f>
        <v>0.15277777777777779</v>
      </c>
      <c r="U24" s="41"/>
    </row>
    <row r="26" spans="1:26" ht="24" customHeight="1" x14ac:dyDescent="0.25">
      <c r="R26"/>
      <c r="S26"/>
      <c r="T26"/>
      <c r="U26"/>
    </row>
    <row r="27" spans="1:26" ht="24" customHeight="1" x14ac:dyDescent="0.25">
      <c r="D27"/>
      <c r="E27"/>
      <c r="F27"/>
      <c r="G27"/>
      <c r="H27"/>
      <c r="I27"/>
      <c r="J27"/>
    </row>
    <row r="28" spans="1:26" ht="24" customHeight="1" thickBo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6" ht="24" customHeight="1" thickBot="1" x14ac:dyDescent="0.3">
      <c r="B29" s="343" t="s">
        <v>36</v>
      </c>
      <c r="C29" s="346" t="s">
        <v>53</v>
      </c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8"/>
      <c r="V29" s="6" t="s">
        <v>51</v>
      </c>
      <c r="W29" s="7"/>
      <c r="X29" s="7"/>
      <c r="Y29" s="8"/>
    </row>
    <row r="30" spans="1:26" ht="24" customHeight="1" thickBot="1" x14ac:dyDescent="0.3">
      <c r="B30" s="344"/>
      <c r="C30" s="349">
        <v>1.3888888888888888E-2</v>
      </c>
      <c r="D30" s="9" t="s">
        <v>2</v>
      </c>
      <c r="E30" s="7"/>
      <c r="F30" s="7"/>
      <c r="G30" s="7"/>
      <c r="H30" s="7"/>
      <c r="I30" s="8"/>
      <c r="J30" s="9"/>
      <c r="K30" s="7"/>
      <c r="L30" s="7"/>
      <c r="M30" s="7"/>
      <c r="N30" s="7"/>
      <c r="O30" s="8"/>
      <c r="P30" s="9"/>
      <c r="Q30" s="7"/>
      <c r="R30" s="7"/>
      <c r="S30" s="7"/>
      <c r="T30" s="7"/>
      <c r="U30" s="8"/>
      <c r="V30" s="10" t="s">
        <v>23</v>
      </c>
      <c r="W30" s="11"/>
      <c r="X30" s="11"/>
      <c r="Y30" s="12"/>
    </row>
    <row r="31" spans="1:26" ht="24" customHeight="1" thickBot="1" x14ac:dyDescent="0.3">
      <c r="B31" s="344"/>
      <c r="C31" s="319"/>
      <c r="D31" s="9" t="s">
        <v>4</v>
      </c>
      <c r="E31" s="7"/>
      <c r="F31" s="7"/>
      <c r="G31" s="7"/>
      <c r="H31" s="7"/>
      <c r="I31" s="8"/>
      <c r="J31" s="9" t="s">
        <v>5</v>
      </c>
      <c r="K31" s="7"/>
      <c r="L31" s="7"/>
      <c r="M31" s="7"/>
      <c r="N31" s="7"/>
      <c r="O31" s="8"/>
      <c r="P31" s="9" t="s">
        <v>6</v>
      </c>
      <c r="Q31" s="7"/>
      <c r="R31" s="7"/>
      <c r="S31" s="7"/>
      <c r="T31" s="7"/>
      <c r="U31" s="8"/>
      <c r="V31" s="6" t="str">
        <f>CONCATENATE(COUNT(V33:V45,X33:X45)," VIAGENS")</f>
        <v>26 VIAGENS</v>
      </c>
      <c r="W31" s="7"/>
      <c r="X31" s="7"/>
      <c r="Y31" s="8"/>
    </row>
    <row r="32" spans="1:26" ht="24" customHeight="1" thickBot="1" x14ac:dyDescent="0.3">
      <c r="B32" s="344"/>
      <c r="C32" s="313" t="s">
        <v>7</v>
      </c>
      <c r="D32" s="13" t="s">
        <v>8</v>
      </c>
      <c r="E32" s="14" t="s">
        <v>9</v>
      </c>
      <c r="F32" s="15" t="s">
        <v>10</v>
      </c>
      <c r="G32" s="14" t="s">
        <v>11</v>
      </c>
      <c r="H32" s="15" t="s">
        <v>12</v>
      </c>
      <c r="I32" s="14" t="s">
        <v>13</v>
      </c>
      <c r="J32" s="13" t="s">
        <v>8</v>
      </c>
      <c r="K32" s="14" t="s">
        <v>9</v>
      </c>
      <c r="L32" s="15" t="s">
        <v>10</v>
      </c>
      <c r="M32" s="14" t="s">
        <v>11</v>
      </c>
      <c r="N32" s="15" t="s">
        <v>12</v>
      </c>
      <c r="O32" s="14" t="s">
        <v>13</v>
      </c>
      <c r="P32" s="13" t="s">
        <v>8</v>
      </c>
      <c r="Q32" s="14" t="s">
        <v>9</v>
      </c>
      <c r="R32" s="15" t="s">
        <v>10</v>
      </c>
      <c r="S32" s="14" t="s">
        <v>11</v>
      </c>
      <c r="T32" s="15" t="s">
        <v>12</v>
      </c>
      <c r="U32" s="14" t="s">
        <v>13</v>
      </c>
      <c r="V32" s="16" t="s">
        <v>14</v>
      </c>
      <c r="W32" s="17" t="s">
        <v>15</v>
      </c>
      <c r="X32" s="16" t="s">
        <v>14</v>
      </c>
      <c r="Y32" s="17" t="s">
        <v>15</v>
      </c>
    </row>
    <row r="33" spans="2:25" ht="24" customHeight="1" x14ac:dyDescent="0.25">
      <c r="B33" s="344"/>
      <c r="C33" s="314"/>
      <c r="D33" s="18">
        <v>0.19791666666666671</v>
      </c>
      <c r="E33" s="19">
        <v>0.22013888888888891</v>
      </c>
      <c r="F33" s="19">
        <v>0.24930555555555561</v>
      </c>
      <c r="G33" s="20">
        <f>F33-D33</f>
        <v>5.1388888888888901E-2</v>
      </c>
      <c r="H33" s="55">
        <v>121</v>
      </c>
      <c r="I33" s="22">
        <v>1</v>
      </c>
      <c r="J33" s="18">
        <v>0.21875</v>
      </c>
      <c r="K33" s="19">
        <v>0.24374999999999999</v>
      </c>
      <c r="L33" s="19">
        <v>0.27291666666666659</v>
      </c>
      <c r="M33" s="20">
        <f t="shared" ref="M33:M34" si="11">L33-J33</f>
        <v>5.4166666666666585E-2</v>
      </c>
      <c r="N33" s="55">
        <v>121</v>
      </c>
      <c r="O33" s="22">
        <v>2</v>
      </c>
      <c r="P33" s="18">
        <v>0.23958333333333329</v>
      </c>
      <c r="Q33" s="19">
        <v>0.26458333333333328</v>
      </c>
      <c r="R33" s="19">
        <v>0.29652777777777778</v>
      </c>
      <c r="S33" s="20">
        <f t="shared" ref="S33:S35" si="12">R33-P33</f>
        <v>5.6944444444444492E-2</v>
      </c>
      <c r="T33" s="55">
        <v>121</v>
      </c>
      <c r="U33" s="22">
        <v>3</v>
      </c>
      <c r="V33" s="23">
        <v>0.19791666666666671</v>
      </c>
      <c r="W33" s="24"/>
      <c r="X33" s="25">
        <v>0.60277777777777775</v>
      </c>
      <c r="Y33" s="26">
        <f>X33-V45</f>
        <v>2.0833333333333259E-2</v>
      </c>
    </row>
    <row r="34" spans="2:25" ht="24" customHeight="1" thickBot="1" x14ac:dyDescent="0.3">
      <c r="B34" s="344"/>
      <c r="C34" s="314"/>
      <c r="D34" s="18">
        <v>0.26041666666666669</v>
      </c>
      <c r="E34" s="19">
        <v>0.28472222222222221</v>
      </c>
      <c r="F34" s="19">
        <v>0.31666666666666671</v>
      </c>
      <c r="G34" s="20">
        <f t="shared" ref="G34:G35" si="13">F34-D34</f>
        <v>5.6250000000000022E-2</v>
      </c>
      <c r="H34" s="55">
        <v>121</v>
      </c>
      <c r="I34" s="22">
        <v>1</v>
      </c>
      <c r="J34" s="18">
        <v>0.28194444444444439</v>
      </c>
      <c r="K34" s="19">
        <v>0.30694444444444452</v>
      </c>
      <c r="L34" s="19">
        <v>0.34375</v>
      </c>
      <c r="M34" s="20">
        <f t="shared" si="11"/>
        <v>6.1805555555555614E-2</v>
      </c>
      <c r="N34" s="55">
        <v>121</v>
      </c>
      <c r="O34" s="22">
        <v>2</v>
      </c>
      <c r="P34" s="18">
        <v>0.3034722222222222</v>
      </c>
      <c r="Q34" s="19">
        <v>0.33333333333333331</v>
      </c>
      <c r="R34" s="19">
        <v>0.37291666666666667</v>
      </c>
      <c r="S34" s="20">
        <f t="shared" si="12"/>
        <v>6.9444444444444475E-2</v>
      </c>
      <c r="T34" s="55">
        <v>121</v>
      </c>
      <c r="U34" s="22">
        <v>3</v>
      </c>
      <c r="V34" s="27">
        <v>0.21875</v>
      </c>
      <c r="W34" s="28">
        <f t="shared" ref="W34:W44" si="14">V34-V33</f>
        <v>2.0833333333333287E-2</v>
      </c>
      <c r="X34" s="29">
        <v>0.63194444444444442</v>
      </c>
      <c r="Y34" s="30">
        <f t="shared" ref="Y34:Y44" si="15">X34-X33</f>
        <v>2.9166666666666674E-2</v>
      </c>
    </row>
    <row r="35" spans="2:25" ht="24" customHeight="1" thickBot="1" x14ac:dyDescent="0.3">
      <c r="B35" s="344"/>
      <c r="C35" s="314"/>
      <c r="D35" s="18">
        <v>0.33333333333333331</v>
      </c>
      <c r="E35" s="19">
        <v>0.35972222222222222</v>
      </c>
      <c r="F35" s="19">
        <v>0.39791666666666659</v>
      </c>
      <c r="G35" s="20">
        <f t="shared" si="13"/>
        <v>6.458333333333327E-2</v>
      </c>
      <c r="H35" s="55">
        <v>121</v>
      </c>
      <c r="I35" s="22">
        <v>1</v>
      </c>
      <c r="J35" s="31">
        <f>IF(L34="",K34,L34)</f>
        <v>0.34375</v>
      </c>
      <c r="K35" s="32"/>
      <c r="L35" s="31">
        <f>IF(J36="",K36,J36)</f>
        <v>0.40416666666666667</v>
      </c>
      <c r="M35" s="32"/>
      <c r="N35" s="32">
        <f>L35-J35</f>
        <v>6.0416666666666674E-2</v>
      </c>
      <c r="O35" s="32"/>
      <c r="P35" s="18">
        <v>0.37847222222222221</v>
      </c>
      <c r="Q35" s="19">
        <v>0.41111111111111109</v>
      </c>
      <c r="R35" s="19">
        <v>0.45208333333333328</v>
      </c>
      <c r="S35" s="20">
        <f t="shared" si="12"/>
        <v>7.3611111111111072E-2</v>
      </c>
      <c r="T35" s="55">
        <v>121</v>
      </c>
      <c r="U35" s="22">
        <v>3</v>
      </c>
      <c r="V35" s="27">
        <v>0.23958333333333329</v>
      </c>
      <c r="W35" s="28">
        <f t="shared" si="14"/>
        <v>2.0833333333333287E-2</v>
      </c>
      <c r="X35" s="29">
        <v>0.65763888888888888</v>
      </c>
      <c r="Y35" s="30">
        <f t="shared" si="15"/>
        <v>2.5694444444444464E-2</v>
      </c>
    </row>
    <row r="36" spans="2:25" ht="24" customHeight="1" thickBot="1" x14ac:dyDescent="0.3">
      <c r="B36" s="344"/>
      <c r="C36" s="314"/>
      <c r="D36" s="31">
        <f>IF(F35="",E35,F35)</f>
        <v>0.39791666666666659</v>
      </c>
      <c r="E36" s="32"/>
      <c r="F36" s="31">
        <f>IF(D37="",E37,D37)</f>
        <v>0.44722222222222219</v>
      </c>
      <c r="G36" s="32"/>
      <c r="H36" s="32">
        <f>F36-D36</f>
        <v>4.9305555555555602E-2</v>
      </c>
      <c r="I36" s="32"/>
      <c r="J36" s="18">
        <v>0.40416666666666667</v>
      </c>
      <c r="K36" s="19">
        <v>0.43611111111111112</v>
      </c>
      <c r="L36" s="19">
        <v>0.4777777777777778</v>
      </c>
      <c r="M36" s="20">
        <f t="shared" ref="M36:M37" si="16">L36-J36</f>
        <v>7.3611111111111127E-2</v>
      </c>
      <c r="N36" s="55">
        <v>121</v>
      </c>
      <c r="O36" s="22">
        <v>2</v>
      </c>
      <c r="P36" s="31">
        <f>IF(R35="",Q35,R35)</f>
        <v>0.45208333333333328</v>
      </c>
      <c r="Q36" s="32"/>
      <c r="R36" s="31">
        <f>IF(P37="",Q37,P37)</f>
        <v>0.52847222222222223</v>
      </c>
      <c r="S36" s="32"/>
      <c r="T36" s="32">
        <f>R36-P36</f>
        <v>7.6388888888888951E-2</v>
      </c>
      <c r="U36" s="32"/>
      <c r="V36" s="27">
        <v>0.26041666666666669</v>
      </c>
      <c r="W36" s="28">
        <f t="shared" si="14"/>
        <v>2.0833333333333398E-2</v>
      </c>
      <c r="X36" s="29">
        <v>0.68333333333333335</v>
      </c>
      <c r="Y36" s="30">
        <f t="shared" si="15"/>
        <v>2.5694444444444464E-2</v>
      </c>
    </row>
    <row r="37" spans="2:25" ht="24" customHeight="1" x14ac:dyDescent="0.25">
      <c r="B37" s="344"/>
      <c r="C37" s="314"/>
      <c r="D37" s="18">
        <v>0.44722222222222219</v>
      </c>
      <c r="E37" s="19">
        <v>0.47708333333333341</v>
      </c>
      <c r="F37" s="19">
        <v>0.51736111111111116</v>
      </c>
      <c r="G37" s="20">
        <f>F37-D37</f>
        <v>7.0138888888888973E-2</v>
      </c>
      <c r="H37" s="55">
        <v>121</v>
      </c>
      <c r="I37" s="22">
        <v>1</v>
      </c>
      <c r="J37" s="18">
        <v>0.48472222222222222</v>
      </c>
      <c r="K37" s="19">
        <v>0.51249999999999996</v>
      </c>
      <c r="L37" s="19">
        <v>0.5541666666666667</v>
      </c>
      <c r="M37" s="20">
        <f t="shared" si="16"/>
        <v>6.9444444444444475E-2</v>
      </c>
      <c r="N37" s="55">
        <v>121</v>
      </c>
      <c r="O37" s="22">
        <v>2</v>
      </c>
      <c r="P37" s="18">
        <v>0.52847222222222223</v>
      </c>
      <c r="Q37" s="19">
        <v>0.55555555555555558</v>
      </c>
      <c r="R37" s="19">
        <v>0.59444444444444444</v>
      </c>
      <c r="S37" s="20">
        <f t="shared" ref="S37:S38" si="17">R37-P37</f>
        <v>6.597222222222221E-2</v>
      </c>
      <c r="T37" s="55">
        <v>121</v>
      </c>
      <c r="U37" s="22">
        <v>3</v>
      </c>
      <c r="V37" s="27">
        <v>0.28194444444444439</v>
      </c>
      <c r="W37" s="28">
        <f t="shared" si="14"/>
        <v>2.1527777777777701E-2</v>
      </c>
      <c r="X37" s="29">
        <v>0.70902777777777781</v>
      </c>
      <c r="Y37" s="30">
        <f t="shared" si="15"/>
        <v>2.5694444444444464E-2</v>
      </c>
    </row>
    <row r="38" spans="2:25" ht="24" customHeight="1" thickBot="1" x14ac:dyDescent="0.3">
      <c r="B38" s="344"/>
      <c r="C38" s="314"/>
      <c r="D38" s="18"/>
      <c r="E38" s="19"/>
      <c r="F38" s="19"/>
      <c r="G38" s="20"/>
      <c r="H38" s="55"/>
      <c r="I38" s="22"/>
      <c r="J38" s="18"/>
      <c r="K38" s="19"/>
      <c r="L38" s="19"/>
      <c r="M38" s="20"/>
      <c r="N38" s="55"/>
      <c r="O38" s="22"/>
      <c r="P38" s="18">
        <v>0.60277777777777775</v>
      </c>
      <c r="Q38" s="19">
        <v>0.63124999999999998</v>
      </c>
      <c r="R38" s="19">
        <v>0.67152777777777772</v>
      </c>
      <c r="S38" s="20">
        <f t="shared" si="17"/>
        <v>6.8749999999999978E-2</v>
      </c>
      <c r="T38" s="55">
        <v>121</v>
      </c>
      <c r="U38" s="22">
        <v>3</v>
      </c>
      <c r="V38" s="27">
        <v>0.3034722222222222</v>
      </c>
      <c r="W38" s="28">
        <f t="shared" si="14"/>
        <v>2.1527777777777812E-2</v>
      </c>
      <c r="X38" s="29">
        <v>0.7368055555555556</v>
      </c>
      <c r="Y38" s="30">
        <f t="shared" si="15"/>
        <v>2.777777777777779E-2</v>
      </c>
    </row>
    <row r="39" spans="2:25" ht="24" customHeight="1" thickBot="1" x14ac:dyDescent="0.3">
      <c r="B39" s="344"/>
      <c r="C39" s="315"/>
      <c r="D39" s="350" t="s">
        <v>52</v>
      </c>
      <c r="E39" s="321"/>
      <c r="F39" s="321"/>
      <c r="G39" s="321"/>
      <c r="H39" s="321"/>
      <c r="I39" s="322"/>
      <c r="J39" s="350" t="s">
        <v>52</v>
      </c>
      <c r="K39" s="321"/>
      <c r="L39" s="321"/>
      <c r="M39" s="321"/>
      <c r="N39" s="321"/>
      <c r="O39" s="322"/>
      <c r="P39" s="350" t="s">
        <v>52</v>
      </c>
      <c r="Q39" s="321"/>
      <c r="R39" s="321"/>
      <c r="S39" s="321"/>
      <c r="T39" s="321"/>
      <c r="U39" s="322"/>
      <c r="V39" s="27">
        <v>0.33333333333333331</v>
      </c>
      <c r="W39" s="28">
        <f t="shared" si="14"/>
        <v>2.9861111111111116E-2</v>
      </c>
      <c r="X39" s="29">
        <v>0.76458333333333328</v>
      </c>
      <c r="Y39" s="30">
        <f t="shared" si="15"/>
        <v>2.7777777777777679E-2</v>
      </c>
    </row>
    <row r="40" spans="2:25" ht="24" customHeight="1" thickBot="1" x14ac:dyDescent="0.3">
      <c r="B40" s="344"/>
      <c r="C40" s="36" t="s">
        <v>17</v>
      </c>
      <c r="D40" s="37">
        <f>MAX(E33:F38)-IF(D33="",E33,D33)-MIN(H33:H38)+$C30</f>
        <v>0.28402777777777771</v>
      </c>
      <c r="E40" s="38"/>
      <c r="F40" s="38"/>
      <c r="G40" s="39"/>
      <c r="H40" s="40">
        <f ca="1">OFFSET(H32,MATCH(MIN(H33:H38),H33:H38,0),-4)-IF(D33="",E33,D33)+$C30</f>
        <v>0.21388888888888877</v>
      </c>
      <c r="I40" s="41"/>
      <c r="J40" s="37">
        <f>MAX(K33:L38)-IF(J33="",K33,J33)-MIN(N33:N38)+$C30</f>
        <v>0.28888888888888892</v>
      </c>
      <c r="K40" s="38"/>
      <c r="L40" s="38"/>
      <c r="M40" s="39"/>
      <c r="N40" s="40">
        <f ca="1">OFFSET(N32,MATCH(MIN(N33:N38),N33:N38,0),-4)-IF(J33="",K33,J33)+$C30</f>
        <v>0.1388888888888889</v>
      </c>
      <c r="O40" s="41"/>
      <c r="P40" s="37">
        <f>MAX(Q33:R38)-IF(P33="",Q33,P33)-MIN(T33:T38)+$C30</f>
        <v>0.36944444444444441</v>
      </c>
      <c r="Q40" s="38"/>
      <c r="R40" s="38"/>
      <c r="S40" s="39"/>
      <c r="T40" s="40">
        <f ca="1">OFFSET(T32,MATCH(MIN(T33:T38),T33:T38,0),-4)-IF(P33="",Q33,P33)+$C30</f>
        <v>0.22638888888888889</v>
      </c>
      <c r="U40" s="41"/>
      <c r="V40" s="27">
        <v>0.37847222222222221</v>
      </c>
      <c r="W40" s="28">
        <f t="shared" si="14"/>
        <v>4.5138888888888895E-2</v>
      </c>
      <c r="X40" s="29">
        <v>0.79236111111111107</v>
      </c>
      <c r="Y40" s="30">
        <f t="shared" si="15"/>
        <v>2.777777777777779E-2</v>
      </c>
    </row>
    <row r="41" spans="2:25" ht="24" customHeight="1" thickBot="1" x14ac:dyDescent="0.3">
      <c r="B41" s="344"/>
      <c r="C41" s="349">
        <v>1.3888888888888888E-2</v>
      </c>
      <c r="D41" s="9" t="s">
        <v>18</v>
      </c>
      <c r="E41" s="7"/>
      <c r="F41" s="7"/>
      <c r="G41" s="7"/>
      <c r="H41" s="7"/>
      <c r="I41" s="8"/>
      <c r="J41" s="9"/>
      <c r="K41" s="7"/>
      <c r="L41" s="7"/>
      <c r="M41" s="7"/>
      <c r="N41" s="7"/>
      <c r="O41" s="8"/>
      <c r="P41" s="9"/>
      <c r="Q41" s="7"/>
      <c r="R41" s="7"/>
      <c r="S41" s="7"/>
      <c r="T41" s="7"/>
      <c r="U41" s="8"/>
      <c r="V41" s="27">
        <v>0.40416666666666667</v>
      </c>
      <c r="W41" s="28">
        <f t="shared" si="14"/>
        <v>2.5694444444444464E-2</v>
      </c>
      <c r="X41" s="29">
        <v>0.85138888888888886</v>
      </c>
      <c r="Y41" s="30">
        <f t="shared" si="15"/>
        <v>5.902777777777779E-2</v>
      </c>
    </row>
    <row r="42" spans="2:25" ht="24" customHeight="1" thickBot="1" x14ac:dyDescent="0.3">
      <c r="B42" s="344"/>
      <c r="C42" s="319"/>
      <c r="D42" s="9" t="s">
        <v>19</v>
      </c>
      <c r="E42" s="7"/>
      <c r="F42" s="7"/>
      <c r="G42" s="7"/>
      <c r="H42" s="7"/>
      <c r="I42" s="8"/>
      <c r="J42" s="9" t="s">
        <v>20</v>
      </c>
      <c r="K42" s="7"/>
      <c r="L42" s="7"/>
      <c r="M42" s="7"/>
      <c r="N42" s="7"/>
      <c r="O42" s="8"/>
      <c r="P42" s="9" t="s">
        <v>21</v>
      </c>
      <c r="Q42" s="7"/>
      <c r="R42" s="7"/>
      <c r="S42" s="7"/>
      <c r="T42" s="7"/>
      <c r="U42" s="8"/>
      <c r="V42" s="27">
        <v>0.44722222222222219</v>
      </c>
      <c r="W42" s="28">
        <f t="shared" si="14"/>
        <v>4.3055555555555514E-2</v>
      </c>
      <c r="X42" s="29">
        <v>0.9</v>
      </c>
      <c r="Y42" s="30">
        <f t="shared" si="15"/>
        <v>4.861111111111116E-2</v>
      </c>
    </row>
    <row r="43" spans="2:25" ht="24" customHeight="1" thickBot="1" x14ac:dyDescent="0.3">
      <c r="B43" s="344"/>
      <c r="C43" s="302" t="s">
        <v>7</v>
      </c>
      <c r="D43" s="13" t="s">
        <v>8</v>
      </c>
      <c r="E43" s="14" t="s">
        <v>9</v>
      </c>
      <c r="F43" s="15" t="s">
        <v>10</v>
      </c>
      <c r="G43" s="14" t="s">
        <v>11</v>
      </c>
      <c r="H43" s="15" t="s">
        <v>12</v>
      </c>
      <c r="I43" s="14" t="s">
        <v>13</v>
      </c>
      <c r="J43" s="15" t="s">
        <v>8</v>
      </c>
      <c r="K43" s="14" t="s">
        <v>9</v>
      </c>
      <c r="L43" s="15" t="s">
        <v>10</v>
      </c>
      <c r="M43" s="14" t="s">
        <v>11</v>
      </c>
      <c r="N43" s="15" t="s">
        <v>12</v>
      </c>
      <c r="O43" s="14" t="s">
        <v>13</v>
      </c>
      <c r="P43" s="13" t="s">
        <v>8</v>
      </c>
      <c r="Q43" s="14" t="s">
        <v>9</v>
      </c>
      <c r="R43" s="15" t="s">
        <v>10</v>
      </c>
      <c r="S43" s="14" t="s">
        <v>11</v>
      </c>
      <c r="T43" s="15" t="s">
        <v>12</v>
      </c>
      <c r="U43" s="14" t="s">
        <v>13</v>
      </c>
      <c r="V43" s="27">
        <v>0.48472222222222222</v>
      </c>
      <c r="W43" s="28">
        <f t="shared" si="14"/>
        <v>3.7500000000000033E-2</v>
      </c>
      <c r="X43" s="29">
        <v>0.94097222222222221</v>
      </c>
      <c r="Y43" s="30">
        <f t="shared" si="15"/>
        <v>4.0972222222222188E-2</v>
      </c>
    </row>
    <row r="44" spans="2:25" ht="24" customHeight="1" x14ac:dyDescent="0.25">
      <c r="B44" s="344"/>
      <c r="C44" s="303"/>
      <c r="D44" s="23">
        <v>0.58194444444444449</v>
      </c>
      <c r="E44" s="25">
        <v>0.61041666666666672</v>
      </c>
      <c r="F44" s="25">
        <v>0.65069444444444446</v>
      </c>
      <c r="G44" s="20">
        <f t="shared" ref="G44:G46" si="18">F44-D44</f>
        <v>6.8749999999999978E-2</v>
      </c>
      <c r="H44" s="56">
        <v>121</v>
      </c>
      <c r="I44" s="48">
        <v>1</v>
      </c>
      <c r="J44" s="23">
        <v>0.63194444444444442</v>
      </c>
      <c r="K44" s="25">
        <v>0.66180555555555554</v>
      </c>
      <c r="L44" s="25">
        <v>0.70208333333333328</v>
      </c>
      <c r="M44" s="20">
        <f t="shared" ref="M44:M46" si="19">L44-J44</f>
        <v>7.0138888888888862E-2</v>
      </c>
      <c r="N44" s="56">
        <v>121</v>
      </c>
      <c r="O44" s="48">
        <v>2</v>
      </c>
      <c r="P44" s="23">
        <v>0.68333333333333335</v>
      </c>
      <c r="Q44" s="25">
        <v>0.71111111111111114</v>
      </c>
      <c r="R44" s="25">
        <v>0.75208333333333333</v>
      </c>
      <c r="S44" s="20">
        <f t="shared" ref="S44:S45" si="20">R44-P44</f>
        <v>6.8749999999999978E-2</v>
      </c>
      <c r="T44" s="56">
        <v>121</v>
      </c>
      <c r="U44" s="48">
        <v>3</v>
      </c>
      <c r="V44" s="27">
        <v>0.52847222222222223</v>
      </c>
      <c r="W44" s="28">
        <f t="shared" si="14"/>
        <v>4.3750000000000011E-2</v>
      </c>
      <c r="X44" s="29">
        <v>0.9819444444444444</v>
      </c>
      <c r="Y44" s="30">
        <f t="shared" si="15"/>
        <v>4.0972222222222188E-2</v>
      </c>
    </row>
    <row r="45" spans="2:25" ht="24" customHeight="1" thickBot="1" x14ac:dyDescent="0.3">
      <c r="B45" s="344"/>
      <c r="C45" s="303"/>
      <c r="D45" s="27">
        <v>0.65763888888888888</v>
      </c>
      <c r="E45" s="29">
        <v>0.6875</v>
      </c>
      <c r="F45" s="29">
        <v>0.72986111111111107</v>
      </c>
      <c r="G45" s="20">
        <f t="shared" si="18"/>
        <v>7.2222222222222188E-2</v>
      </c>
      <c r="H45" s="58">
        <v>121</v>
      </c>
      <c r="I45" s="50">
        <v>1</v>
      </c>
      <c r="J45" s="27">
        <v>0.70902777777777781</v>
      </c>
      <c r="K45" s="29">
        <v>0.7368055555555556</v>
      </c>
      <c r="L45" s="29">
        <v>0.77777777777777779</v>
      </c>
      <c r="M45" s="20">
        <f t="shared" si="19"/>
        <v>6.8749999999999978E-2</v>
      </c>
      <c r="N45" s="58">
        <v>121</v>
      </c>
      <c r="O45" s="50">
        <v>2</v>
      </c>
      <c r="P45" s="27">
        <v>0.76458333333333328</v>
      </c>
      <c r="Q45" s="29">
        <v>0.79513888888888884</v>
      </c>
      <c r="R45" s="29">
        <v>0.83611111111111114</v>
      </c>
      <c r="S45" s="20">
        <f t="shared" si="20"/>
        <v>7.1527777777777857E-2</v>
      </c>
      <c r="T45" s="58">
        <v>121</v>
      </c>
      <c r="U45" s="50">
        <v>3</v>
      </c>
      <c r="V45" s="43">
        <v>0.58194444444444449</v>
      </c>
      <c r="W45" s="44">
        <f>V45-V44</f>
        <v>5.3472222222222254E-2</v>
      </c>
      <c r="X45" s="45">
        <v>1.0430555555555556</v>
      </c>
      <c r="Y45" s="46">
        <f>X45-X44</f>
        <v>6.1111111111111227E-2</v>
      </c>
    </row>
    <row r="46" spans="2:25" ht="24" customHeight="1" thickBot="1" x14ac:dyDescent="0.3">
      <c r="B46" s="344"/>
      <c r="C46" s="303"/>
      <c r="D46" s="27">
        <v>0.7368055555555556</v>
      </c>
      <c r="E46" s="29">
        <v>0.76458333333333328</v>
      </c>
      <c r="F46" s="29">
        <v>0.80277777777777781</v>
      </c>
      <c r="G46" s="20">
        <f t="shared" si="18"/>
        <v>6.597222222222221E-2</v>
      </c>
      <c r="H46" s="58">
        <v>121</v>
      </c>
      <c r="I46" s="50">
        <v>1</v>
      </c>
      <c r="J46" s="27">
        <v>0.79236111111111107</v>
      </c>
      <c r="K46" s="29">
        <v>0.82013888888888886</v>
      </c>
      <c r="L46" s="29">
        <v>0.86111111111111116</v>
      </c>
      <c r="M46" s="20">
        <f t="shared" si="19"/>
        <v>6.8750000000000089E-2</v>
      </c>
      <c r="N46" s="58">
        <v>121</v>
      </c>
      <c r="O46" s="50">
        <v>2</v>
      </c>
      <c r="P46" s="31">
        <f>IF(R45="",Q45,R45)</f>
        <v>0.83611111111111114</v>
      </c>
      <c r="Q46" s="32"/>
      <c r="R46" s="31">
        <f>IF(P47="",Q47,P47)</f>
        <v>0.9</v>
      </c>
      <c r="S46" s="32"/>
      <c r="T46" s="32">
        <f>R46-P46</f>
        <v>6.3888888888888884E-2</v>
      </c>
      <c r="U46" s="32"/>
    </row>
    <row r="47" spans="2:25" ht="24" customHeight="1" thickBot="1" x14ac:dyDescent="0.3">
      <c r="B47" s="344"/>
      <c r="C47" s="303"/>
      <c r="D47" s="31">
        <f>IF(F46="",E46,F46)</f>
        <v>0.80277777777777781</v>
      </c>
      <c r="E47" s="32"/>
      <c r="F47" s="31">
        <f>IF(D48="",E48,D48)</f>
        <v>0.85138888888888886</v>
      </c>
      <c r="G47" s="32"/>
      <c r="H47" s="32">
        <f>F47-D47</f>
        <v>4.8611111111111049E-2</v>
      </c>
      <c r="I47" s="32"/>
      <c r="J47" s="31">
        <f>IF(L46="",K46,L46)</f>
        <v>0.86111111111111116</v>
      </c>
      <c r="K47" s="32"/>
      <c r="L47" s="31">
        <f>IF(J48="",K48,J48)</f>
        <v>0.94097222222222221</v>
      </c>
      <c r="M47" s="32"/>
      <c r="N47" s="32">
        <f>L47-J47</f>
        <v>7.9861111111111049E-2</v>
      </c>
      <c r="O47" s="32"/>
      <c r="P47" s="27">
        <v>0.9</v>
      </c>
      <c r="Q47" s="29">
        <v>0.92986111111111114</v>
      </c>
      <c r="R47" s="29">
        <v>0.96388888888888891</v>
      </c>
      <c r="S47" s="20">
        <f t="shared" ref="S47:S48" si="21">R47-P47</f>
        <v>6.3888888888888884E-2</v>
      </c>
      <c r="T47" s="58">
        <v>121</v>
      </c>
      <c r="U47" s="50">
        <v>3</v>
      </c>
    </row>
    <row r="48" spans="2:25" ht="24" customHeight="1" x14ac:dyDescent="0.25">
      <c r="B48" s="344"/>
      <c r="C48" s="303"/>
      <c r="D48" s="27">
        <v>0.85138888888888886</v>
      </c>
      <c r="E48" s="29">
        <v>0.87638888888888888</v>
      </c>
      <c r="F48" s="29">
        <v>0.91527777777777775</v>
      </c>
      <c r="G48" s="20">
        <f>F48-D48</f>
        <v>6.3888888888888884E-2</v>
      </c>
      <c r="H48" s="58">
        <v>121</v>
      </c>
      <c r="I48" s="50">
        <v>1</v>
      </c>
      <c r="J48" s="27">
        <v>0.94097222222222221</v>
      </c>
      <c r="K48" s="29">
        <v>0.96875</v>
      </c>
      <c r="L48" s="29">
        <v>0.99791666666666667</v>
      </c>
      <c r="M48" s="20">
        <f>L48-J48</f>
        <v>5.6944444444444464E-2</v>
      </c>
      <c r="N48" s="58">
        <v>121</v>
      </c>
      <c r="O48" s="50">
        <v>2</v>
      </c>
      <c r="P48" s="27">
        <v>0.9819444444444444</v>
      </c>
      <c r="Q48" s="29">
        <v>1.0097222222222222</v>
      </c>
      <c r="R48" s="29">
        <v>1.038888888888889</v>
      </c>
      <c r="S48" s="20">
        <f t="shared" si="21"/>
        <v>5.6944444444444575E-2</v>
      </c>
      <c r="T48" s="58">
        <v>121</v>
      </c>
      <c r="U48" s="50">
        <v>3</v>
      </c>
    </row>
    <row r="49" spans="2:25" ht="24" customHeight="1" thickBot="1" x14ac:dyDescent="0.3">
      <c r="B49" s="344"/>
      <c r="C49" s="303"/>
      <c r="D49" s="59"/>
      <c r="E49" s="60"/>
      <c r="F49" s="60"/>
      <c r="G49" s="66"/>
      <c r="H49" s="61"/>
      <c r="I49" s="62"/>
      <c r="J49" s="59"/>
      <c r="K49" s="60"/>
      <c r="L49" s="60"/>
      <c r="M49" s="66"/>
      <c r="N49" s="61"/>
      <c r="O49" s="62"/>
      <c r="P49" s="59">
        <v>1.0430555555555556</v>
      </c>
      <c r="Q49" s="60">
        <v>1.0638888888888889</v>
      </c>
      <c r="R49" s="60">
        <v>1.0930555555555554</v>
      </c>
      <c r="S49" s="20">
        <f>R49-P49</f>
        <v>4.9999999999999822E-2</v>
      </c>
      <c r="T49" s="61">
        <v>121</v>
      </c>
      <c r="U49" s="62">
        <v>3</v>
      </c>
    </row>
    <row r="50" spans="2:25" ht="24" customHeight="1" thickBot="1" x14ac:dyDescent="0.3">
      <c r="B50" s="344"/>
      <c r="C50" s="304"/>
      <c r="D50" s="350" t="s">
        <v>52</v>
      </c>
      <c r="E50" s="321"/>
      <c r="F50" s="321"/>
      <c r="G50" s="321"/>
      <c r="H50" s="321"/>
      <c r="I50" s="322"/>
      <c r="J50" s="350" t="s">
        <v>52</v>
      </c>
      <c r="K50" s="321"/>
      <c r="L50" s="321"/>
      <c r="M50" s="321"/>
      <c r="N50" s="321"/>
      <c r="O50" s="322"/>
      <c r="P50" s="350" t="s">
        <v>52</v>
      </c>
      <c r="Q50" s="321"/>
      <c r="R50" s="321"/>
      <c r="S50" s="321"/>
      <c r="T50" s="321"/>
      <c r="U50" s="322"/>
      <c r="V50" s="35"/>
      <c r="W50" s="35"/>
      <c r="X50" s="35"/>
      <c r="Y50" s="35"/>
    </row>
    <row r="51" spans="2:25" ht="24" customHeight="1" thickBot="1" x14ac:dyDescent="0.3">
      <c r="B51" s="345"/>
      <c r="C51" s="36" t="s">
        <v>17</v>
      </c>
      <c r="D51" s="37">
        <f>MAX(E44:F49)-IF(D44="",E44,D44)-MIN(H44:H49)+$C41</f>
        <v>0.2986111111111111</v>
      </c>
      <c r="E51" s="51"/>
      <c r="F51" s="51"/>
      <c r="G51" s="52"/>
      <c r="H51" s="53">
        <f ca="1">OFFSET(H43,MATCH(MIN(H44:H49),H44:H49,0),-4)-IF(D44="",E44,D44)</f>
        <v>0.22083333333333333</v>
      </c>
      <c r="I51" s="54"/>
      <c r="J51" s="37">
        <f>MAX(K44:L49)-IF(J44="",K44,J44)-MIN(N44:N49)+$C41</f>
        <v>0.3000000000000001</v>
      </c>
      <c r="K51" s="38"/>
      <c r="L51" s="38"/>
      <c r="M51" s="39"/>
      <c r="N51" s="53">
        <f ca="1">OFFSET(N43,MATCH(MIN(N44:N49),N44:N49,0),-4)-IF(J44="",K44,J44)</f>
        <v>0.22916666666666674</v>
      </c>
      <c r="O51" s="41"/>
      <c r="P51" s="37">
        <f>MAX(Q44:R49)-IF(P44="",Q44,P44)-MIN(T44:T49)+$C41</f>
        <v>0.35972222222222211</v>
      </c>
      <c r="Q51" s="38"/>
      <c r="R51" s="38"/>
      <c r="S51" s="39"/>
      <c r="T51" s="53">
        <f ca="1">OFFSET(T43,MATCH(MIN(T44:T49),T44:T49,0),-4)-IF(P44="",Q44,P44)</f>
        <v>0.15277777777777779</v>
      </c>
      <c r="U51" s="41"/>
    </row>
    <row r="52" spans="2:25" ht="24" customHeight="1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2:25" ht="24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2:25" ht="24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2:25" ht="24" customHeight="1" thickBot="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2:25" ht="24" customHeight="1" thickBot="1" x14ac:dyDescent="0.3">
      <c r="B56" s="343" t="s">
        <v>38</v>
      </c>
      <c r="C56" s="346" t="s">
        <v>54</v>
      </c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8"/>
      <c r="V56" s="6" t="s">
        <v>51</v>
      </c>
      <c r="W56" s="7"/>
      <c r="X56" s="7"/>
      <c r="Y56" s="8"/>
    </row>
    <row r="57" spans="2:25" ht="24" customHeight="1" thickBot="1" x14ac:dyDescent="0.3">
      <c r="B57" s="351"/>
      <c r="C57" s="349">
        <v>1.3888888888888888E-2</v>
      </c>
      <c r="D57" s="9" t="s">
        <v>2</v>
      </c>
      <c r="E57" s="7"/>
      <c r="F57" s="7"/>
      <c r="G57" s="7"/>
      <c r="H57" s="7"/>
      <c r="I57" s="8"/>
      <c r="J57" s="9"/>
      <c r="K57" s="7"/>
      <c r="L57" s="7"/>
      <c r="M57" s="7"/>
      <c r="N57" s="7"/>
      <c r="O57" s="8"/>
      <c r="P57" s="9"/>
      <c r="Q57" s="7"/>
      <c r="R57" s="7"/>
      <c r="S57" s="7"/>
      <c r="T57" s="7"/>
      <c r="U57" s="8"/>
      <c r="V57" s="10" t="s">
        <v>25</v>
      </c>
      <c r="W57" s="11"/>
      <c r="X57" s="11"/>
      <c r="Y57" s="12"/>
    </row>
    <row r="58" spans="2:25" ht="24" customHeight="1" thickBot="1" x14ac:dyDescent="0.3">
      <c r="B58" s="351"/>
      <c r="C58" s="319"/>
      <c r="D58" s="9" t="s">
        <v>4</v>
      </c>
      <c r="E58" s="7"/>
      <c r="F58" s="7"/>
      <c r="G58" s="7"/>
      <c r="H58" s="7"/>
      <c r="I58" s="8"/>
      <c r="J58" s="9" t="s">
        <v>5</v>
      </c>
      <c r="K58" s="7"/>
      <c r="L58" s="7"/>
      <c r="M58" s="7"/>
      <c r="N58" s="7"/>
      <c r="O58" s="8"/>
      <c r="P58" s="9" t="s">
        <v>6</v>
      </c>
      <c r="Q58" s="7"/>
      <c r="R58" s="7"/>
      <c r="S58" s="7"/>
      <c r="T58" s="7"/>
      <c r="U58" s="8"/>
      <c r="V58" s="6" t="str">
        <f>CONCATENATE(COUNT(V60:V72,X60:X72)," VIAGENS")</f>
        <v>26 VIAGENS</v>
      </c>
      <c r="W58" s="7"/>
      <c r="X58" s="7"/>
      <c r="Y58" s="8"/>
    </row>
    <row r="59" spans="2:25" ht="24" customHeight="1" thickBot="1" x14ac:dyDescent="0.3">
      <c r="B59" s="351"/>
      <c r="C59" s="313" t="s">
        <v>7</v>
      </c>
      <c r="D59" s="13" t="s">
        <v>8</v>
      </c>
      <c r="E59" s="14" t="s">
        <v>9</v>
      </c>
      <c r="F59" s="15" t="s">
        <v>10</v>
      </c>
      <c r="G59" s="14" t="s">
        <v>11</v>
      </c>
      <c r="H59" s="15" t="s">
        <v>12</v>
      </c>
      <c r="I59" s="14" t="s">
        <v>13</v>
      </c>
      <c r="J59" s="13" t="s">
        <v>8</v>
      </c>
      <c r="K59" s="14" t="s">
        <v>9</v>
      </c>
      <c r="L59" s="15" t="s">
        <v>10</v>
      </c>
      <c r="M59" s="14" t="s">
        <v>11</v>
      </c>
      <c r="N59" s="15" t="s">
        <v>12</v>
      </c>
      <c r="O59" s="14" t="s">
        <v>13</v>
      </c>
      <c r="P59" s="13" t="s">
        <v>8</v>
      </c>
      <c r="Q59" s="14" t="s">
        <v>9</v>
      </c>
      <c r="R59" s="15" t="s">
        <v>10</v>
      </c>
      <c r="S59" s="14" t="s">
        <v>11</v>
      </c>
      <c r="T59" s="15" t="s">
        <v>12</v>
      </c>
      <c r="U59" s="14" t="s">
        <v>13</v>
      </c>
      <c r="V59" s="16" t="s">
        <v>14</v>
      </c>
      <c r="W59" s="17" t="s">
        <v>15</v>
      </c>
      <c r="X59" s="16" t="s">
        <v>14</v>
      </c>
      <c r="Y59" s="17" t="s">
        <v>15</v>
      </c>
    </row>
    <row r="60" spans="2:25" ht="24" customHeight="1" x14ac:dyDescent="0.25">
      <c r="B60" s="351"/>
      <c r="C60" s="314"/>
      <c r="D60" s="18">
        <v>0.19791666666666671</v>
      </c>
      <c r="E60" s="19">
        <v>0.22013888888888891</v>
      </c>
      <c r="F60" s="19">
        <v>0.24930555555555561</v>
      </c>
      <c r="G60" s="20">
        <f>F60-D60</f>
        <v>5.1388888888888901E-2</v>
      </c>
      <c r="H60" s="55">
        <v>121</v>
      </c>
      <c r="I60" s="22">
        <v>1</v>
      </c>
      <c r="J60" s="18">
        <v>0.21875</v>
      </c>
      <c r="K60" s="19">
        <v>0.24374999999999999</v>
      </c>
      <c r="L60" s="19">
        <v>0.27291666666666659</v>
      </c>
      <c r="M60" s="20">
        <f t="shared" ref="M60:M61" si="22">L60-J60</f>
        <v>5.4166666666666585E-2</v>
      </c>
      <c r="N60" s="55">
        <v>121</v>
      </c>
      <c r="O60" s="22">
        <v>2</v>
      </c>
      <c r="P60" s="18">
        <v>0.23958333333333329</v>
      </c>
      <c r="Q60" s="19">
        <v>0.26458333333333328</v>
      </c>
      <c r="R60" s="19">
        <v>0.29652777777777778</v>
      </c>
      <c r="S60" s="20">
        <f t="shared" ref="S60:S62" si="23">R60-P60</f>
        <v>5.6944444444444492E-2</v>
      </c>
      <c r="T60" s="55">
        <v>121</v>
      </c>
      <c r="U60" s="22">
        <v>3</v>
      </c>
      <c r="V60" s="23">
        <v>0.19791666666666671</v>
      </c>
      <c r="W60" s="24"/>
      <c r="X60" s="25">
        <v>0.60277777777777775</v>
      </c>
      <c r="Y60" s="26">
        <f>X60-V72</f>
        <v>2.0833333333333259E-2</v>
      </c>
    </row>
    <row r="61" spans="2:25" ht="24" customHeight="1" thickBot="1" x14ac:dyDescent="0.3">
      <c r="B61" s="351"/>
      <c r="C61" s="314"/>
      <c r="D61" s="18">
        <v>0.26041666666666669</v>
      </c>
      <c r="E61" s="19">
        <v>0.28472222222222221</v>
      </c>
      <c r="F61" s="19">
        <v>0.31666666666666671</v>
      </c>
      <c r="G61" s="20">
        <f t="shared" ref="G61:G62" si="24">F61-D61</f>
        <v>5.6250000000000022E-2</v>
      </c>
      <c r="H61" s="55">
        <v>121</v>
      </c>
      <c r="I61" s="22">
        <v>1</v>
      </c>
      <c r="J61" s="18">
        <v>0.28194444444444439</v>
      </c>
      <c r="K61" s="19">
        <v>0.30694444444444452</v>
      </c>
      <c r="L61" s="19">
        <v>0.34375</v>
      </c>
      <c r="M61" s="20">
        <f t="shared" si="22"/>
        <v>6.1805555555555614E-2</v>
      </c>
      <c r="N61" s="55">
        <v>121</v>
      </c>
      <c r="O61" s="22">
        <v>2</v>
      </c>
      <c r="P61" s="18">
        <v>0.3034722222222222</v>
      </c>
      <c r="Q61" s="19">
        <v>0.33333333333333331</v>
      </c>
      <c r="R61" s="19">
        <v>0.37291666666666667</v>
      </c>
      <c r="S61" s="20">
        <f t="shared" si="23"/>
        <v>6.9444444444444475E-2</v>
      </c>
      <c r="T61" s="55">
        <v>121</v>
      </c>
      <c r="U61" s="22">
        <v>3</v>
      </c>
      <c r="V61" s="27">
        <v>0.21875</v>
      </c>
      <c r="W61" s="28">
        <f t="shared" ref="W61:W71" si="25">V61-V60</f>
        <v>2.0833333333333287E-2</v>
      </c>
      <c r="X61" s="29">
        <v>0.63194444444444442</v>
      </c>
      <c r="Y61" s="30">
        <f t="shared" ref="Y61:Y71" si="26">X61-X60</f>
        <v>2.9166666666666674E-2</v>
      </c>
    </row>
    <row r="62" spans="2:25" ht="24" customHeight="1" thickBot="1" x14ac:dyDescent="0.3">
      <c r="B62" s="351"/>
      <c r="C62" s="314"/>
      <c r="D62" s="18">
        <v>0.33333333333333331</v>
      </c>
      <c r="E62" s="19">
        <v>0.35972222222222222</v>
      </c>
      <c r="F62" s="19">
        <v>0.39791666666666659</v>
      </c>
      <c r="G62" s="20">
        <f t="shared" si="24"/>
        <v>6.458333333333327E-2</v>
      </c>
      <c r="H62" s="55">
        <v>121</v>
      </c>
      <c r="I62" s="22">
        <v>1</v>
      </c>
      <c r="J62" s="31">
        <f>IF(L61="",K61,L61)</f>
        <v>0.34375</v>
      </c>
      <c r="K62" s="32"/>
      <c r="L62" s="31">
        <f>IF(J63="",K63,J63)</f>
        <v>0.40416666666666667</v>
      </c>
      <c r="M62" s="32"/>
      <c r="N62" s="32">
        <f>L62-J62</f>
        <v>6.0416666666666674E-2</v>
      </c>
      <c r="O62" s="32"/>
      <c r="P62" s="18">
        <v>0.37847222222222221</v>
      </c>
      <c r="Q62" s="19">
        <v>0.41111111111111109</v>
      </c>
      <c r="R62" s="19">
        <v>0.45208333333333328</v>
      </c>
      <c r="S62" s="20">
        <f t="shared" si="23"/>
        <v>7.3611111111111072E-2</v>
      </c>
      <c r="T62" s="55">
        <v>121</v>
      </c>
      <c r="U62" s="22">
        <v>3</v>
      </c>
      <c r="V62" s="27">
        <v>0.23958333333333329</v>
      </c>
      <c r="W62" s="28">
        <f t="shared" si="25"/>
        <v>2.0833333333333287E-2</v>
      </c>
      <c r="X62" s="29">
        <v>0.65763888888888888</v>
      </c>
      <c r="Y62" s="30">
        <f t="shared" si="26"/>
        <v>2.5694444444444464E-2</v>
      </c>
    </row>
    <row r="63" spans="2:25" ht="24" customHeight="1" thickBot="1" x14ac:dyDescent="0.3">
      <c r="B63" s="351"/>
      <c r="C63" s="314"/>
      <c r="D63" s="31">
        <f>IF(F62="",E62,F62)</f>
        <v>0.39791666666666659</v>
      </c>
      <c r="E63" s="32"/>
      <c r="F63" s="31">
        <f>IF(D64="",E64,D64)</f>
        <v>0.44722222222222219</v>
      </c>
      <c r="G63" s="32"/>
      <c r="H63" s="32">
        <f>F63-D63</f>
        <v>4.9305555555555602E-2</v>
      </c>
      <c r="I63" s="32"/>
      <c r="J63" s="18">
        <v>0.40416666666666667</v>
      </c>
      <c r="K63" s="19">
        <v>0.43611111111111112</v>
      </c>
      <c r="L63" s="19">
        <v>0.4777777777777778</v>
      </c>
      <c r="M63" s="20">
        <f t="shared" ref="M63:M64" si="27">L63-J63</f>
        <v>7.3611111111111127E-2</v>
      </c>
      <c r="N63" s="55">
        <v>121</v>
      </c>
      <c r="O63" s="22">
        <v>2</v>
      </c>
      <c r="P63" s="31">
        <f>IF(R62="",Q62,R62)</f>
        <v>0.45208333333333328</v>
      </c>
      <c r="Q63" s="32"/>
      <c r="R63" s="31">
        <f>IF(P64="",Q64,P64)</f>
        <v>0.52847222222222223</v>
      </c>
      <c r="S63" s="32"/>
      <c r="T63" s="32">
        <f>R63-P63</f>
        <v>7.6388888888888951E-2</v>
      </c>
      <c r="U63" s="32"/>
      <c r="V63" s="27">
        <v>0.26041666666666669</v>
      </c>
      <c r="W63" s="28">
        <f t="shared" si="25"/>
        <v>2.0833333333333398E-2</v>
      </c>
      <c r="X63" s="29">
        <v>0.68333333333333335</v>
      </c>
      <c r="Y63" s="30">
        <f t="shared" si="26"/>
        <v>2.5694444444444464E-2</v>
      </c>
    </row>
    <row r="64" spans="2:25" ht="24" customHeight="1" x14ac:dyDescent="0.25">
      <c r="B64" s="351"/>
      <c r="C64" s="314"/>
      <c r="D64" s="18">
        <v>0.44722222222222219</v>
      </c>
      <c r="E64" s="19">
        <v>0.47708333333333341</v>
      </c>
      <c r="F64" s="19">
        <v>0.51736111111111116</v>
      </c>
      <c r="G64" s="20">
        <f>F64-D64</f>
        <v>7.0138888888888973E-2</v>
      </c>
      <c r="H64" s="55">
        <v>121</v>
      </c>
      <c r="I64" s="22">
        <v>1</v>
      </c>
      <c r="J64" s="18">
        <v>0.48472222222222222</v>
      </c>
      <c r="K64" s="19">
        <v>0.51249999999999996</v>
      </c>
      <c r="L64" s="19">
        <v>0.5541666666666667</v>
      </c>
      <c r="M64" s="20">
        <f t="shared" si="27"/>
        <v>6.9444444444444475E-2</v>
      </c>
      <c r="N64" s="55">
        <v>121</v>
      </c>
      <c r="O64" s="22">
        <v>2</v>
      </c>
      <c r="P64" s="18">
        <v>0.52847222222222223</v>
      </c>
      <c r="Q64" s="19">
        <v>0.55555555555555558</v>
      </c>
      <c r="R64" s="19">
        <v>0.59444444444444444</v>
      </c>
      <c r="S64" s="20">
        <f t="shared" ref="S64:S65" si="28">R64-P64</f>
        <v>6.597222222222221E-2</v>
      </c>
      <c r="T64" s="55">
        <v>121</v>
      </c>
      <c r="U64" s="22">
        <v>3</v>
      </c>
      <c r="V64" s="27">
        <v>0.28194444444444439</v>
      </c>
      <c r="W64" s="28">
        <f t="shared" si="25"/>
        <v>2.1527777777777701E-2</v>
      </c>
      <c r="X64" s="29">
        <v>0.70902777777777781</v>
      </c>
      <c r="Y64" s="30">
        <f t="shared" si="26"/>
        <v>2.5694444444444464E-2</v>
      </c>
    </row>
    <row r="65" spans="2:25" ht="24" customHeight="1" thickBot="1" x14ac:dyDescent="0.3">
      <c r="B65" s="351"/>
      <c r="C65" s="314"/>
      <c r="D65" s="18"/>
      <c r="E65" s="19"/>
      <c r="F65" s="19"/>
      <c r="G65" s="20"/>
      <c r="H65" s="55"/>
      <c r="I65" s="22"/>
      <c r="J65" s="18"/>
      <c r="K65" s="19"/>
      <c r="L65" s="19"/>
      <c r="M65" s="20"/>
      <c r="N65" s="55"/>
      <c r="O65" s="22"/>
      <c r="P65" s="18">
        <v>0.60277777777777775</v>
      </c>
      <c r="Q65" s="19">
        <v>0.63124999999999998</v>
      </c>
      <c r="R65" s="19">
        <v>0.67152777777777772</v>
      </c>
      <c r="S65" s="20">
        <f t="shared" si="28"/>
        <v>6.8749999999999978E-2</v>
      </c>
      <c r="T65" s="55">
        <v>121</v>
      </c>
      <c r="U65" s="22">
        <v>3</v>
      </c>
      <c r="V65" s="27">
        <v>0.3034722222222222</v>
      </c>
      <c r="W65" s="28">
        <f t="shared" si="25"/>
        <v>2.1527777777777812E-2</v>
      </c>
      <c r="X65" s="29">
        <v>0.7368055555555556</v>
      </c>
      <c r="Y65" s="30">
        <f t="shared" si="26"/>
        <v>2.777777777777779E-2</v>
      </c>
    </row>
    <row r="66" spans="2:25" ht="24" customHeight="1" thickBot="1" x14ac:dyDescent="0.3">
      <c r="B66" s="351"/>
      <c r="C66" s="315"/>
      <c r="D66" s="350" t="s">
        <v>52</v>
      </c>
      <c r="E66" s="321"/>
      <c r="F66" s="321"/>
      <c r="G66" s="321"/>
      <c r="H66" s="321"/>
      <c r="I66" s="322"/>
      <c r="J66" s="350" t="s">
        <v>52</v>
      </c>
      <c r="K66" s="321"/>
      <c r="L66" s="321"/>
      <c r="M66" s="321"/>
      <c r="N66" s="321"/>
      <c r="O66" s="322"/>
      <c r="P66" s="350" t="s">
        <v>52</v>
      </c>
      <c r="Q66" s="321"/>
      <c r="R66" s="321"/>
      <c r="S66" s="321"/>
      <c r="T66" s="321"/>
      <c r="U66" s="322"/>
      <c r="V66" s="27">
        <v>0.33333333333333331</v>
      </c>
      <c r="W66" s="28">
        <f t="shared" si="25"/>
        <v>2.9861111111111116E-2</v>
      </c>
      <c r="X66" s="29">
        <v>0.76458333333333328</v>
      </c>
      <c r="Y66" s="30">
        <f t="shared" si="26"/>
        <v>2.7777777777777679E-2</v>
      </c>
    </row>
    <row r="67" spans="2:25" ht="24" customHeight="1" thickBot="1" x14ac:dyDescent="0.3">
      <c r="B67" s="351"/>
      <c r="C67" s="36" t="s">
        <v>17</v>
      </c>
      <c r="D67" s="37">
        <f>MAX(E60:F65)-IF(D60="",E60,D60)-MIN(H60:H65)+$C57</f>
        <v>0.28402777777777771</v>
      </c>
      <c r="E67" s="38"/>
      <c r="F67" s="38"/>
      <c r="G67" s="39"/>
      <c r="H67" s="40">
        <f ca="1">OFFSET(H59,MATCH(MIN(H60:H65),H60:H65,0),-4)-IF(D60="",E60,D60)+$C57</f>
        <v>0.21388888888888877</v>
      </c>
      <c r="I67" s="41"/>
      <c r="J67" s="37">
        <f>MAX(K60:L65)-IF(J60="",K60,J60)-MIN(N60:N65)+$C57</f>
        <v>0.28888888888888892</v>
      </c>
      <c r="K67" s="38"/>
      <c r="L67" s="38"/>
      <c r="M67" s="39"/>
      <c r="N67" s="40">
        <f ca="1">OFFSET(N59,MATCH(MIN(N60:N65),N60:N65,0),-4)-IF(J60="",K60,J60)+$C57</f>
        <v>0.1388888888888889</v>
      </c>
      <c r="O67" s="41"/>
      <c r="P67" s="37">
        <f>MAX(Q60:R65)-IF(P60="",Q60,P60)-MIN(T60:T65)+$C57</f>
        <v>0.36944444444444441</v>
      </c>
      <c r="Q67" s="38"/>
      <c r="R67" s="38"/>
      <c r="S67" s="39"/>
      <c r="T67" s="40">
        <f ca="1">OFFSET(T59,MATCH(MIN(T60:T65),T60:T65,0),-4)-IF(P60="",Q60,P60)+$C57</f>
        <v>0.22638888888888889</v>
      </c>
      <c r="U67" s="41"/>
      <c r="V67" s="27">
        <v>0.37847222222222221</v>
      </c>
      <c r="W67" s="28">
        <f t="shared" si="25"/>
        <v>4.5138888888888895E-2</v>
      </c>
      <c r="X67" s="29">
        <v>0.79236111111111107</v>
      </c>
      <c r="Y67" s="30">
        <f t="shared" si="26"/>
        <v>2.777777777777779E-2</v>
      </c>
    </row>
    <row r="68" spans="2:25" ht="24" customHeight="1" thickBot="1" x14ac:dyDescent="0.3">
      <c r="B68" s="351"/>
      <c r="C68" s="349">
        <v>1.3888888888888888E-2</v>
      </c>
      <c r="D68" s="9" t="s">
        <v>18</v>
      </c>
      <c r="E68" s="7"/>
      <c r="F68" s="7"/>
      <c r="G68" s="7"/>
      <c r="H68" s="7"/>
      <c r="I68" s="8"/>
      <c r="J68" s="9"/>
      <c r="K68" s="7"/>
      <c r="L68" s="7"/>
      <c r="M68" s="7"/>
      <c r="N68" s="7"/>
      <c r="O68" s="8"/>
      <c r="P68" s="9"/>
      <c r="Q68" s="7"/>
      <c r="R68" s="7"/>
      <c r="S68" s="7"/>
      <c r="T68" s="7"/>
      <c r="U68" s="8"/>
      <c r="V68" s="27">
        <v>0.40416666666666667</v>
      </c>
      <c r="W68" s="28">
        <f t="shared" si="25"/>
        <v>2.5694444444444464E-2</v>
      </c>
      <c r="X68" s="29">
        <v>0.85138888888888886</v>
      </c>
      <c r="Y68" s="30">
        <f t="shared" si="26"/>
        <v>5.902777777777779E-2</v>
      </c>
    </row>
    <row r="69" spans="2:25" ht="24" customHeight="1" thickBot="1" x14ac:dyDescent="0.3">
      <c r="B69" s="351"/>
      <c r="C69" s="319"/>
      <c r="D69" s="9" t="s">
        <v>19</v>
      </c>
      <c r="E69" s="7"/>
      <c r="F69" s="7"/>
      <c r="G69" s="7"/>
      <c r="H69" s="7"/>
      <c r="I69" s="8"/>
      <c r="J69" s="9" t="s">
        <v>20</v>
      </c>
      <c r="K69" s="7"/>
      <c r="L69" s="7"/>
      <c r="M69" s="7"/>
      <c r="N69" s="7"/>
      <c r="O69" s="8"/>
      <c r="P69" s="9" t="s">
        <v>21</v>
      </c>
      <c r="Q69" s="7"/>
      <c r="R69" s="7"/>
      <c r="S69" s="7"/>
      <c r="T69" s="7"/>
      <c r="U69" s="8"/>
      <c r="V69" s="27">
        <v>0.44722222222222219</v>
      </c>
      <c r="W69" s="28">
        <f t="shared" si="25"/>
        <v>4.3055555555555514E-2</v>
      </c>
      <c r="X69" s="29">
        <v>0.9</v>
      </c>
      <c r="Y69" s="30">
        <f t="shared" si="26"/>
        <v>4.861111111111116E-2</v>
      </c>
    </row>
    <row r="70" spans="2:25" ht="24" customHeight="1" thickBot="1" x14ac:dyDescent="0.3">
      <c r="B70" s="351"/>
      <c r="C70" s="302" t="s">
        <v>7</v>
      </c>
      <c r="D70" s="13" t="s">
        <v>8</v>
      </c>
      <c r="E70" s="14" t="s">
        <v>9</v>
      </c>
      <c r="F70" s="15" t="s">
        <v>10</v>
      </c>
      <c r="G70" s="14" t="s">
        <v>11</v>
      </c>
      <c r="H70" s="15" t="s">
        <v>12</v>
      </c>
      <c r="I70" s="14" t="s">
        <v>13</v>
      </c>
      <c r="J70" s="15" t="s">
        <v>8</v>
      </c>
      <c r="K70" s="14" t="s">
        <v>9</v>
      </c>
      <c r="L70" s="15" t="s">
        <v>10</v>
      </c>
      <c r="M70" s="14" t="s">
        <v>11</v>
      </c>
      <c r="N70" s="15" t="s">
        <v>12</v>
      </c>
      <c r="O70" s="14" t="s">
        <v>13</v>
      </c>
      <c r="P70" s="13" t="s">
        <v>8</v>
      </c>
      <c r="Q70" s="14" t="s">
        <v>9</v>
      </c>
      <c r="R70" s="15" t="s">
        <v>10</v>
      </c>
      <c r="S70" s="14" t="s">
        <v>11</v>
      </c>
      <c r="T70" s="15" t="s">
        <v>12</v>
      </c>
      <c r="U70" s="14" t="s">
        <v>13</v>
      </c>
      <c r="V70" s="27">
        <v>0.48472222222222222</v>
      </c>
      <c r="W70" s="28">
        <f t="shared" si="25"/>
        <v>3.7500000000000033E-2</v>
      </c>
      <c r="X70" s="29">
        <v>0.94097222222222221</v>
      </c>
      <c r="Y70" s="30">
        <f t="shared" si="26"/>
        <v>4.0972222222222188E-2</v>
      </c>
    </row>
    <row r="71" spans="2:25" ht="24" customHeight="1" x14ac:dyDescent="0.25">
      <c r="B71" s="351"/>
      <c r="C71" s="303"/>
      <c r="D71" s="23">
        <v>0.58194444444444449</v>
      </c>
      <c r="E71" s="25">
        <v>0.61041666666666672</v>
      </c>
      <c r="F71" s="25">
        <v>0.65069444444444446</v>
      </c>
      <c r="G71" s="20">
        <f t="shared" ref="G71:G73" si="29">F71-D71</f>
        <v>6.8749999999999978E-2</v>
      </c>
      <c r="H71" s="56">
        <v>121</v>
      </c>
      <c r="I71" s="48">
        <v>1</v>
      </c>
      <c r="J71" s="23">
        <v>0.63194444444444442</v>
      </c>
      <c r="K71" s="25">
        <v>0.66180555555555554</v>
      </c>
      <c r="L71" s="25">
        <v>0.70208333333333328</v>
      </c>
      <c r="M71" s="20">
        <f t="shared" ref="M71:M73" si="30">L71-J71</f>
        <v>7.0138888888888862E-2</v>
      </c>
      <c r="N71" s="56">
        <v>121</v>
      </c>
      <c r="O71" s="48">
        <v>2</v>
      </c>
      <c r="P71" s="23">
        <v>0.68333333333333335</v>
      </c>
      <c r="Q71" s="25">
        <v>0.71111111111111114</v>
      </c>
      <c r="R71" s="25">
        <v>0.75208333333333333</v>
      </c>
      <c r="S71" s="20">
        <f t="shared" ref="S71:S72" si="31">R71-P71</f>
        <v>6.8749999999999978E-2</v>
      </c>
      <c r="T71" s="56">
        <v>121</v>
      </c>
      <c r="U71" s="48">
        <v>3</v>
      </c>
      <c r="V71" s="27">
        <v>0.52847222222222223</v>
      </c>
      <c r="W71" s="28">
        <f t="shared" si="25"/>
        <v>4.3750000000000011E-2</v>
      </c>
      <c r="X71" s="29">
        <v>0.9819444444444444</v>
      </c>
      <c r="Y71" s="30">
        <f t="shared" si="26"/>
        <v>4.0972222222222188E-2</v>
      </c>
    </row>
    <row r="72" spans="2:25" ht="24" customHeight="1" thickBot="1" x14ac:dyDescent="0.3">
      <c r="B72" s="351"/>
      <c r="C72" s="303"/>
      <c r="D72" s="27">
        <v>0.65763888888888888</v>
      </c>
      <c r="E72" s="29">
        <v>0.6875</v>
      </c>
      <c r="F72" s="29">
        <v>0.72986111111111107</v>
      </c>
      <c r="G72" s="20">
        <f t="shared" si="29"/>
        <v>7.2222222222222188E-2</v>
      </c>
      <c r="H72" s="58">
        <v>121</v>
      </c>
      <c r="I72" s="50">
        <v>1</v>
      </c>
      <c r="J72" s="27">
        <v>0.70902777777777781</v>
      </c>
      <c r="K72" s="29">
        <v>0.7368055555555556</v>
      </c>
      <c r="L72" s="29">
        <v>0.77777777777777779</v>
      </c>
      <c r="M72" s="20">
        <f t="shared" si="30"/>
        <v>6.8749999999999978E-2</v>
      </c>
      <c r="N72" s="58">
        <v>121</v>
      </c>
      <c r="O72" s="50">
        <v>2</v>
      </c>
      <c r="P72" s="27">
        <v>0.76458333333333328</v>
      </c>
      <c r="Q72" s="29">
        <v>0.79513888888888884</v>
      </c>
      <c r="R72" s="29">
        <v>0.83611111111111114</v>
      </c>
      <c r="S72" s="20">
        <f t="shared" si="31"/>
        <v>7.1527777777777857E-2</v>
      </c>
      <c r="T72" s="58">
        <v>121</v>
      </c>
      <c r="U72" s="50">
        <v>3</v>
      </c>
      <c r="V72" s="43">
        <v>0.58194444444444449</v>
      </c>
      <c r="W72" s="44">
        <f>V72-V71</f>
        <v>5.3472222222222254E-2</v>
      </c>
      <c r="X72" s="45">
        <v>1.0430555555555556</v>
      </c>
      <c r="Y72" s="46">
        <f>X72-X71</f>
        <v>6.1111111111111227E-2</v>
      </c>
    </row>
    <row r="73" spans="2:25" ht="24" customHeight="1" thickBot="1" x14ac:dyDescent="0.3">
      <c r="B73" s="351"/>
      <c r="C73" s="303"/>
      <c r="D73" s="27">
        <v>0.7368055555555556</v>
      </c>
      <c r="E73" s="29">
        <v>0.76458333333333328</v>
      </c>
      <c r="F73" s="29">
        <v>0.80277777777777781</v>
      </c>
      <c r="G73" s="20">
        <f t="shared" si="29"/>
        <v>6.597222222222221E-2</v>
      </c>
      <c r="H73" s="58">
        <v>121</v>
      </c>
      <c r="I73" s="50">
        <v>1</v>
      </c>
      <c r="J73" s="27">
        <v>0.79236111111111107</v>
      </c>
      <c r="K73" s="29">
        <v>0.82013888888888886</v>
      </c>
      <c r="L73" s="29">
        <v>0.86111111111111116</v>
      </c>
      <c r="M73" s="20">
        <f t="shared" si="30"/>
        <v>6.8750000000000089E-2</v>
      </c>
      <c r="N73" s="58">
        <v>121</v>
      </c>
      <c r="O73" s="50">
        <v>2</v>
      </c>
      <c r="P73" s="31">
        <f>IF(R72="",Q72,R72)</f>
        <v>0.83611111111111114</v>
      </c>
      <c r="Q73" s="32"/>
      <c r="R73" s="31">
        <f>IF(P74="",Q74,P74)</f>
        <v>0.9</v>
      </c>
      <c r="S73" s="32"/>
      <c r="T73" s="32">
        <f>R73-P73</f>
        <v>6.3888888888888884E-2</v>
      </c>
      <c r="U73" s="32"/>
    </row>
    <row r="74" spans="2:25" ht="24" customHeight="1" thickBot="1" x14ac:dyDescent="0.3">
      <c r="B74" s="351"/>
      <c r="C74" s="303"/>
      <c r="D74" s="31">
        <f>IF(F73="",E73,F73)</f>
        <v>0.80277777777777781</v>
      </c>
      <c r="E74" s="32"/>
      <c r="F74" s="31">
        <f>IF(D75="",E75,D75)</f>
        <v>0.85138888888888886</v>
      </c>
      <c r="G74" s="32"/>
      <c r="H74" s="32">
        <f>F74-D74</f>
        <v>4.8611111111111049E-2</v>
      </c>
      <c r="I74" s="32"/>
      <c r="J74" s="31">
        <f>IF(L73="",K73,L73)</f>
        <v>0.86111111111111116</v>
      </c>
      <c r="K74" s="32"/>
      <c r="L74" s="31">
        <f>IF(J75="",K75,J75)</f>
        <v>0.94097222222222221</v>
      </c>
      <c r="M74" s="32"/>
      <c r="N74" s="32">
        <f>L74-J74</f>
        <v>7.9861111111111049E-2</v>
      </c>
      <c r="O74" s="32"/>
      <c r="P74" s="27">
        <v>0.9</v>
      </c>
      <c r="Q74" s="29">
        <v>0.92986111111111114</v>
      </c>
      <c r="R74" s="29">
        <v>0.96388888888888891</v>
      </c>
      <c r="S74" s="20">
        <f t="shared" ref="S74:S75" si="32">R74-P74</f>
        <v>6.3888888888888884E-2</v>
      </c>
      <c r="T74" s="58">
        <v>121</v>
      </c>
      <c r="U74" s="50">
        <v>3</v>
      </c>
    </row>
    <row r="75" spans="2:25" ht="24" customHeight="1" x14ac:dyDescent="0.25">
      <c r="B75" s="351"/>
      <c r="C75" s="303"/>
      <c r="D75" s="27">
        <v>0.85138888888888886</v>
      </c>
      <c r="E75" s="29">
        <v>0.87638888888888888</v>
      </c>
      <c r="F75" s="29">
        <v>0.91527777777777775</v>
      </c>
      <c r="G75" s="20">
        <f>F75-D75</f>
        <v>6.3888888888888884E-2</v>
      </c>
      <c r="H75" s="58">
        <v>121</v>
      </c>
      <c r="I75" s="50">
        <v>1</v>
      </c>
      <c r="J75" s="27">
        <v>0.94097222222222221</v>
      </c>
      <c r="K75" s="29">
        <v>0.96875</v>
      </c>
      <c r="L75" s="29">
        <v>0.99791666666666667</v>
      </c>
      <c r="M75" s="20">
        <f>L75-J75</f>
        <v>5.6944444444444464E-2</v>
      </c>
      <c r="N75" s="58">
        <v>121</v>
      </c>
      <c r="O75" s="50">
        <v>2</v>
      </c>
      <c r="P75" s="27">
        <v>0.9819444444444444</v>
      </c>
      <c r="Q75" s="29">
        <v>1.0097222222222222</v>
      </c>
      <c r="R75" s="29">
        <v>1.038888888888889</v>
      </c>
      <c r="S75" s="20">
        <f t="shared" si="32"/>
        <v>5.6944444444444575E-2</v>
      </c>
      <c r="T75" s="58">
        <v>121</v>
      </c>
      <c r="U75" s="50">
        <v>3</v>
      </c>
    </row>
    <row r="76" spans="2:25" ht="24" customHeight="1" thickBot="1" x14ac:dyDescent="0.3">
      <c r="B76" s="351"/>
      <c r="C76" s="303"/>
      <c r="D76" s="59"/>
      <c r="E76" s="60"/>
      <c r="F76" s="60"/>
      <c r="G76" s="66"/>
      <c r="H76" s="61"/>
      <c r="I76" s="62"/>
      <c r="J76" s="59"/>
      <c r="K76" s="60"/>
      <c r="L76" s="60"/>
      <c r="M76" s="66"/>
      <c r="N76" s="61"/>
      <c r="O76" s="62"/>
      <c r="P76" s="59">
        <v>1.0430555555555556</v>
      </c>
      <c r="Q76" s="60">
        <v>1.0638888888888889</v>
      </c>
      <c r="R76" s="60">
        <v>1.0930555555555554</v>
      </c>
      <c r="S76" s="20">
        <f>R76-P76</f>
        <v>4.9999999999999822E-2</v>
      </c>
      <c r="T76" s="61">
        <v>121</v>
      </c>
      <c r="U76" s="62">
        <v>3</v>
      </c>
    </row>
    <row r="77" spans="2:25" ht="24" customHeight="1" thickBot="1" x14ac:dyDescent="0.3">
      <c r="B77" s="351"/>
      <c r="C77" s="304"/>
      <c r="D77" s="350" t="s">
        <v>52</v>
      </c>
      <c r="E77" s="321"/>
      <c r="F77" s="321"/>
      <c r="G77" s="321"/>
      <c r="H77" s="321"/>
      <c r="I77" s="322"/>
      <c r="J77" s="350" t="s">
        <v>52</v>
      </c>
      <c r="K77" s="321"/>
      <c r="L77" s="321"/>
      <c r="M77" s="321"/>
      <c r="N77" s="321"/>
      <c r="O77" s="322"/>
      <c r="P77" s="350" t="s">
        <v>52</v>
      </c>
      <c r="Q77" s="321"/>
      <c r="R77" s="321"/>
      <c r="S77" s="321"/>
      <c r="T77" s="321"/>
      <c r="U77" s="322"/>
      <c r="V77" s="35"/>
      <c r="W77" s="35"/>
      <c r="X77" s="35"/>
      <c r="Y77" s="35"/>
    </row>
    <row r="78" spans="2:25" ht="24" customHeight="1" thickBot="1" x14ac:dyDescent="0.3">
      <c r="B78" s="352"/>
      <c r="C78" s="36" t="s">
        <v>17</v>
      </c>
      <c r="D78" s="37">
        <f>MAX(E71:F76)-IF(D71="",E71,D71)-MIN(H71:H76)+$C68</f>
        <v>0.2986111111111111</v>
      </c>
      <c r="E78" s="51"/>
      <c r="F78" s="51"/>
      <c r="G78" s="52"/>
      <c r="H78" s="53">
        <f ca="1">OFFSET(H70,MATCH(MIN(H71:H76),H71:H76,0),-4)-IF(D71="",E71,D71)</f>
        <v>0.22083333333333333</v>
      </c>
      <c r="I78" s="54"/>
      <c r="J78" s="37">
        <f>MAX(K71:L76)-IF(J71="",K71,J71)-MIN(N71:N76)+$C68</f>
        <v>0.3000000000000001</v>
      </c>
      <c r="K78" s="38"/>
      <c r="L78" s="38"/>
      <c r="M78" s="39"/>
      <c r="N78" s="53">
        <f ca="1">OFFSET(N70,MATCH(MIN(N71:N76),N71:N76,0),-4)-IF(J71="",K71,J71)</f>
        <v>0.22916666666666674</v>
      </c>
      <c r="O78" s="41"/>
      <c r="P78" s="37">
        <f>MAX(Q71:R76)-IF(P71="",Q71,P71)-MIN(T71:T76)+$C68</f>
        <v>0.35972222222222211</v>
      </c>
      <c r="Q78" s="38"/>
      <c r="R78" s="38"/>
      <c r="S78" s="39"/>
      <c r="T78" s="53">
        <f ca="1">OFFSET(T70,MATCH(MIN(T71:T76),T71:T76,0),-4)-IF(P71="",Q71,P71)</f>
        <v>0.15277777777777779</v>
      </c>
      <c r="U78" s="41"/>
    </row>
    <row r="84" spans="18:21" ht="24" customHeight="1" x14ac:dyDescent="0.25">
      <c r="R84"/>
      <c r="S84"/>
      <c r="T84"/>
      <c r="U84"/>
    </row>
  </sheetData>
  <mergeCells count="36">
    <mergeCell ref="B56:B78"/>
    <mergeCell ref="C56:U56"/>
    <mergeCell ref="C57:C58"/>
    <mergeCell ref="C59:C66"/>
    <mergeCell ref="D66:I66"/>
    <mergeCell ref="J66:O66"/>
    <mergeCell ref="P66:U66"/>
    <mergeCell ref="C68:C69"/>
    <mergeCell ref="C70:C77"/>
    <mergeCell ref="D77:I77"/>
    <mergeCell ref="J77:O77"/>
    <mergeCell ref="P77:U77"/>
    <mergeCell ref="B2:B24"/>
    <mergeCell ref="C2:U2"/>
    <mergeCell ref="C3:C4"/>
    <mergeCell ref="C5:C12"/>
    <mergeCell ref="D12:I12"/>
    <mergeCell ref="J12:O12"/>
    <mergeCell ref="P12:U12"/>
    <mergeCell ref="C14:C15"/>
    <mergeCell ref="C16:C23"/>
    <mergeCell ref="D23:I23"/>
    <mergeCell ref="J23:O23"/>
    <mergeCell ref="P23:U23"/>
    <mergeCell ref="B29:B51"/>
    <mergeCell ref="C29:U29"/>
    <mergeCell ref="C30:C31"/>
    <mergeCell ref="C32:C39"/>
    <mergeCell ref="D39:I39"/>
    <mergeCell ref="J39:O39"/>
    <mergeCell ref="P39:U39"/>
    <mergeCell ref="C41:C42"/>
    <mergeCell ref="C43:C50"/>
    <mergeCell ref="D50:I50"/>
    <mergeCell ref="J50:O50"/>
    <mergeCell ref="P50:U50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31">
    <cfRule type="colorScale" priority="7">
      <colorScale>
        <cfvo type="min"/>
        <cfvo type="max"/>
        <color rgb="FFFF7128"/>
        <color rgb="FFFFEF9C"/>
      </colorScale>
    </cfRule>
  </conditionalFormatting>
  <conditionalFormatting sqref="D58">
    <cfRule type="colorScale" priority="2">
      <colorScale>
        <cfvo type="min"/>
        <cfvo type="max"/>
        <color rgb="FFFF7128"/>
        <color rgb="FFFFEF9C"/>
      </colorScale>
    </cfRule>
  </conditionalFormatting>
  <conditionalFormatting sqref="D4:I4">
    <cfRule type="expression" dxfId="199" priority="13" stopIfTrue="1">
      <formula>LEN($D4)=14</formula>
    </cfRule>
  </conditionalFormatting>
  <conditionalFormatting sqref="D31:I31">
    <cfRule type="expression" dxfId="198" priority="10" stopIfTrue="1">
      <formula>LEN($D31)=14</formula>
    </cfRule>
  </conditionalFormatting>
  <conditionalFormatting sqref="D58:I58">
    <cfRule type="expression" dxfId="197" priority="5" stopIfTrue="1">
      <formula>LEN($D58)=14</formula>
    </cfRule>
  </conditionalFormatting>
  <conditionalFormatting sqref="E4:I4">
    <cfRule type="notContainsBlanks" dxfId="196" priority="14">
      <formula>LEN(TRIM(E4))&gt;0</formula>
    </cfRule>
  </conditionalFormatting>
  <conditionalFormatting sqref="E31:I31">
    <cfRule type="notContainsBlanks" dxfId="195" priority="6">
      <formula>LEN(TRIM(E31))&gt;0</formula>
    </cfRule>
  </conditionalFormatting>
  <conditionalFormatting sqref="E58:I58">
    <cfRule type="notContainsBlanks" dxfId="194" priority="1">
      <formula>LEN(TRIM(E58))&gt;0</formula>
    </cfRule>
  </conditionalFormatting>
  <conditionalFormatting sqref="J4:O4">
    <cfRule type="expression" dxfId="193" priority="12">
      <formula>LEN($J4)=14</formula>
    </cfRule>
  </conditionalFormatting>
  <conditionalFormatting sqref="J31:O31">
    <cfRule type="expression" dxfId="192" priority="9">
      <formula>LEN($J31)=14</formula>
    </cfRule>
  </conditionalFormatting>
  <conditionalFormatting sqref="J58:O58">
    <cfRule type="expression" dxfId="191" priority="4">
      <formula>LEN($J58)=14</formula>
    </cfRule>
  </conditionalFormatting>
  <conditionalFormatting sqref="P4:U4">
    <cfRule type="expression" dxfId="190" priority="11">
      <formula>LEN($P4)=14</formula>
    </cfRule>
  </conditionalFormatting>
  <conditionalFormatting sqref="P31:U31">
    <cfRule type="expression" dxfId="189" priority="8">
      <formula>LEN($P31)=14</formula>
    </cfRule>
  </conditionalFormatting>
  <conditionalFormatting sqref="P58:U58">
    <cfRule type="expression" dxfId="188" priority="3">
      <formula>LEN($P58)=14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788A-D551-4962-AD86-39EB05673CD5}">
  <dimension ref="A1:AS223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cols>
    <col min="1" max="16384" width="8.7109375" style="202"/>
  </cols>
  <sheetData>
    <row r="1" spans="1:45" ht="24" customHeight="1" thickBo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</row>
    <row r="2" spans="1:45" ht="24" customHeight="1" thickBot="1" x14ac:dyDescent="0.3">
      <c r="A2" s="201"/>
      <c r="B2" s="295" t="s">
        <v>108</v>
      </c>
      <c r="C2" s="333" t="s">
        <v>139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4"/>
      <c r="P2" s="297" t="s">
        <v>109</v>
      </c>
      <c r="Q2" s="287"/>
      <c r="R2" s="287"/>
      <c r="S2" s="284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</row>
    <row r="3" spans="1:45" ht="24" customHeight="1" thickBot="1" x14ac:dyDescent="0.3">
      <c r="A3" s="201"/>
      <c r="B3" s="293"/>
      <c r="C3" s="353">
        <v>1.3888888888888888E-2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4"/>
      <c r="P3" s="298" t="s">
        <v>99</v>
      </c>
      <c r="Q3" s="287"/>
      <c r="R3" s="287"/>
      <c r="S3" s="284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</row>
    <row r="4" spans="1:45" ht="24" customHeight="1" thickBot="1" x14ac:dyDescent="0.3">
      <c r="A4" s="201"/>
      <c r="B4" s="293"/>
      <c r="C4" s="282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7" t="str">
        <f>CONCATENATE(COUNT(P6:P12,R6:R12)," VIAGENS")</f>
        <v>14 VIAGENS</v>
      </c>
      <c r="Q4" s="287"/>
      <c r="R4" s="287"/>
      <c r="S4" s="284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</row>
    <row r="5" spans="1:45" ht="24" customHeight="1" thickBot="1" x14ac:dyDescent="0.3">
      <c r="A5" s="201"/>
      <c r="B5" s="293"/>
      <c r="C5" s="355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03" t="s">
        <v>14</v>
      </c>
      <c r="Q5" s="204" t="s">
        <v>15</v>
      </c>
      <c r="R5" s="203" t="s">
        <v>14</v>
      </c>
      <c r="S5" s="204" t="s">
        <v>15</v>
      </c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</row>
    <row r="6" spans="1:45" ht="24" customHeight="1" x14ac:dyDescent="0.25">
      <c r="A6" s="201"/>
      <c r="B6" s="293"/>
      <c r="C6" s="356"/>
      <c r="D6" s="239">
        <v>0.22916666666666671</v>
      </c>
      <c r="E6" s="240">
        <v>0.26180555555555562</v>
      </c>
      <c r="F6" s="240">
        <v>0.29583333333333328</v>
      </c>
      <c r="G6" s="241">
        <f t="shared" ref="G6:G7" si="0">F6-D6</f>
        <v>6.6666666666666569E-2</v>
      </c>
      <c r="H6" s="242">
        <v>123</v>
      </c>
      <c r="I6" s="243">
        <v>1</v>
      </c>
      <c r="J6" s="239">
        <v>0.27083333333333331</v>
      </c>
      <c r="K6" s="240">
        <v>0.30972222222222218</v>
      </c>
      <c r="L6" s="240">
        <v>0.35069444444444442</v>
      </c>
      <c r="M6" s="241">
        <f t="shared" ref="M6:M7" si="1">L6-J6</f>
        <v>7.9861111111111105E-2</v>
      </c>
      <c r="N6" s="242">
        <v>123</v>
      </c>
      <c r="O6" s="243">
        <v>2</v>
      </c>
      <c r="P6" s="244">
        <v>0.22916666666666671</v>
      </c>
      <c r="Q6" s="211"/>
      <c r="R6" s="245">
        <v>0.60833333333333328</v>
      </c>
      <c r="S6" s="212">
        <f>R6-P12</f>
        <v>3.1944444444444442E-2</v>
      </c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</row>
    <row r="7" spans="1:45" ht="24" customHeight="1" thickBot="1" x14ac:dyDescent="0.3">
      <c r="A7" s="201"/>
      <c r="B7" s="293"/>
      <c r="C7" s="356"/>
      <c r="D7" s="239">
        <v>0.31041666666666667</v>
      </c>
      <c r="E7" s="240">
        <v>0.35069444444444442</v>
      </c>
      <c r="F7" s="240">
        <v>0.40069444444444452</v>
      </c>
      <c r="G7" s="241">
        <f t="shared" si="0"/>
        <v>9.0277777777777846E-2</v>
      </c>
      <c r="H7" s="242">
        <v>123</v>
      </c>
      <c r="I7" s="243">
        <v>1</v>
      </c>
      <c r="J7" s="239">
        <v>0.3611111111111111</v>
      </c>
      <c r="K7" s="240">
        <v>0.40833333333333333</v>
      </c>
      <c r="L7" s="240">
        <v>0.46458333333333329</v>
      </c>
      <c r="M7" s="241">
        <f t="shared" si="1"/>
        <v>0.10347222222222219</v>
      </c>
      <c r="N7" s="242">
        <v>123</v>
      </c>
      <c r="O7" s="243">
        <v>2</v>
      </c>
      <c r="P7" s="239">
        <v>0.27083333333333331</v>
      </c>
      <c r="Q7" s="218">
        <f t="shared" ref="Q7:Q12" si="2">P7-P6</f>
        <v>4.1666666666666602E-2</v>
      </c>
      <c r="R7" s="240">
        <v>0.66319444444444442</v>
      </c>
      <c r="S7" s="219">
        <f t="shared" ref="S7:S12" si="3">R7-R6</f>
        <v>5.4861111111111138E-2</v>
      </c>
      <c r="V7" s="201"/>
      <c r="W7" s="200"/>
      <c r="X7" s="200"/>
      <c r="Y7" s="200"/>
      <c r="Z7" s="200"/>
      <c r="AA7" s="200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</row>
    <row r="8" spans="1:45" ht="24" customHeight="1" thickBot="1" x14ac:dyDescent="0.3">
      <c r="A8" s="201"/>
      <c r="B8" s="293"/>
      <c r="C8" s="356"/>
      <c r="D8" s="283">
        <f>IF(F7="",E7,F7)</f>
        <v>0.40069444444444452</v>
      </c>
      <c r="E8" s="284"/>
      <c r="F8" s="283">
        <f>IF(D9="",E9,D9)</f>
        <v>0.4513888888888889</v>
      </c>
      <c r="G8" s="284"/>
      <c r="H8" s="285">
        <f>F8-D8</f>
        <v>5.0694444444444375E-2</v>
      </c>
      <c r="I8" s="284"/>
      <c r="J8" s="283">
        <f>IF(L7="",K7,L7)</f>
        <v>0.46458333333333329</v>
      </c>
      <c r="K8" s="284"/>
      <c r="L8" s="283">
        <f>IF(J9="",K9,J9)</f>
        <v>0.5131944444444444</v>
      </c>
      <c r="M8" s="284"/>
      <c r="N8" s="285">
        <f>L8-J8</f>
        <v>4.8611111111111105E-2</v>
      </c>
      <c r="O8" s="287"/>
      <c r="P8" s="239">
        <v>0.31041666666666667</v>
      </c>
      <c r="Q8" s="218">
        <f t="shared" si="2"/>
        <v>3.9583333333333359E-2</v>
      </c>
      <c r="R8" s="240">
        <v>0.70833333333333337</v>
      </c>
      <c r="S8" s="219">
        <f t="shared" si="3"/>
        <v>4.5138888888888951E-2</v>
      </c>
      <c r="V8" s="201"/>
      <c r="W8" s="200"/>
      <c r="X8" s="200"/>
      <c r="Y8" s="200"/>
      <c r="Z8" s="200"/>
      <c r="AA8" s="200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</row>
    <row r="9" spans="1:45" ht="24" customHeight="1" thickBot="1" x14ac:dyDescent="0.3">
      <c r="A9" s="201"/>
      <c r="B9" s="293"/>
      <c r="C9" s="356"/>
      <c r="D9" s="239">
        <v>0.4513888888888889</v>
      </c>
      <c r="E9" s="240">
        <v>0.50208333333333333</v>
      </c>
      <c r="F9" s="240">
        <v>0.56388888888888888</v>
      </c>
      <c r="G9" s="241">
        <f>F9-D9</f>
        <v>0.11249999999999999</v>
      </c>
      <c r="H9" s="242">
        <v>123</v>
      </c>
      <c r="I9" s="243">
        <v>1</v>
      </c>
      <c r="J9" s="239">
        <v>0.5131944444444444</v>
      </c>
      <c r="K9" s="240">
        <v>0.55763888888888891</v>
      </c>
      <c r="L9" s="240">
        <v>0.59444444444444444</v>
      </c>
      <c r="M9" s="241">
        <f>L9-J9</f>
        <v>8.1250000000000044E-2</v>
      </c>
      <c r="N9" s="242">
        <v>123</v>
      </c>
      <c r="O9" s="243">
        <v>2</v>
      </c>
      <c r="P9" s="239">
        <v>0.3611111111111111</v>
      </c>
      <c r="Q9" s="218">
        <f t="shared" si="2"/>
        <v>5.0694444444444431E-2</v>
      </c>
      <c r="R9" s="240">
        <v>0.78749999999999998</v>
      </c>
      <c r="S9" s="219">
        <f t="shared" si="3"/>
        <v>7.9166666666666607E-2</v>
      </c>
      <c r="V9" s="201"/>
      <c r="W9" s="200"/>
      <c r="X9" s="200"/>
      <c r="Y9" s="200"/>
      <c r="Z9" s="200"/>
      <c r="AA9" s="200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</row>
    <row r="10" spans="1:45" ht="24" customHeight="1" thickBot="1" x14ac:dyDescent="0.3">
      <c r="A10" s="201"/>
      <c r="B10" s="293"/>
      <c r="C10" s="324"/>
      <c r="D10" s="354" t="s">
        <v>52</v>
      </c>
      <c r="E10" s="287"/>
      <c r="F10" s="287"/>
      <c r="G10" s="287"/>
      <c r="H10" s="287"/>
      <c r="I10" s="284"/>
      <c r="J10" s="354" t="s">
        <v>52</v>
      </c>
      <c r="K10" s="287"/>
      <c r="L10" s="287"/>
      <c r="M10" s="287"/>
      <c r="N10" s="287"/>
      <c r="O10" s="284"/>
      <c r="P10" s="239">
        <v>0.4513888888888889</v>
      </c>
      <c r="Q10" s="218">
        <f t="shared" si="2"/>
        <v>9.027777777777779E-2</v>
      </c>
      <c r="R10" s="240">
        <v>0.84930555555555554</v>
      </c>
      <c r="S10" s="219">
        <f t="shared" si="3"/>
        <v>6.1805555555555558E-2</v>
      </c>
      <c r="V10" s="201"/>
      <c r="W10" s="200"/>
      <c r="X10" s="200"/>
      <c r="Y10" s="200"/>
      <c r="Z10" s="200"/>
      <c r="AA10" s="200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</row>
    <row r="11" spans="1:45" ht="24" customHeight="1" thickBot="1" x14ac:dyDescent="0.3">
      <c r="A11" s="201"/>
      <c r="B11" s="293"/>
      <c r="C11" s="229" t="s">
        <v>17</v>
      </c>
      <c r="D11" s="288">
        <f>MAX(E6:F9)-IF(D6="",E6,D6)-MIN(H6:H9)+$C3</f>
        <v>0.29791666666666666</v>
      </c>
      <c r="E11" s="287"/>
      <c r="F11" s="287"/>
      <c r="G11" s="284"/>
      <c r="H11" s="294">
        <f ca="1">OFFSET(H5,MATCH(MIN(H6:H9),H6:H9,0),-4)-IF(D6="",E6,D6)+$C3</f>
        <v>0.1854166666666667</v>
      </c>
      <c r="I11" s="284"/>
      <c r="J11" s="288">
        <f>MAX(K6:L9)-IF(J6="",K6,J6)-MIN(N6:N9)+$C3</f>
        <v>0.28888888888888892</v>
      </c>
      <c r="K11" s="287"/>
      <c r="L11" s="287"/>
      <c r="M11" s="284"/>
      <c r="N11" s="294">
        <f ca="1">OFFSET(N5,MATCH(MIN(N6:N9),N6:N9,0),-4)-IF(J6="",K6,J6)+$C3</f>
        <v>0.20763888888888887</v>
      </c>
      <c r="O11" s="287"/>
      <c r="P11" s="239">
        <v>0.5131944444444444</v>
      </c>
      <c r="Q11" s="218">
        <f t="shared" si="2"/>
        <v>6.1805555555555503E-2</v>
      </c>
      <c r="R11" s="240">
        <v>0.88194444444444442</v>
      </c>
      <c r="S11" s="219">
        <f t="shared" si="3"/>
        <v>3.2638888888888884E-2</v>
      </c>
      <c r="V11" s="201"/>
      <c r="W11" s="200"/>
      <c r="X11" s="200"/>
      <c r="Y11" s="200"/>
      <c r="Z11" s="200"/>
      <c r="AA11" s="200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</row>
    <row r="12" spans="1:45" ht="24" customHeight="1" thickBot="1" x14ac:dyDescent="0.3">
      <c r="A12" s="201"/>
      <c r="B12" s="293"/>
      <c r="C12" s="353">
        <v>1.3888888888888888E-2</v>
      </c>
      <c r="D12" s="291" t="s">
        <v>18</v>
      </c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48">
        <v>0.57638888888888884</v>
      </c>
      <c r="Q12" s="231">
        <f t="shared" si="2"/>
        <v>6.3194444444444442E-2</v>
      </c>
      <c r="R12" s="249">
        <v>0.92361111111111116</v>
      </c>
      <c r="S12" s="233">
        <f t="shared" si="3"/>
        <v>4.1666666666666741E-2</v>
      </c>
      <c r="V12" s="201"/>
      <c r="W12" s="200"/>
      <c r="X12" s="200"/>
      <c r="Y12" s="200"/>
      <c r="Z12" s="200"/>
      <c r="AA12" s="200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</row>
    <row r="13" spans="1:45" ht="24" customHeight="1" thickBot="1" x14ac:dyDescent="0.3">
      <c r="A13" s="201"/>
      <c r="B13" s="293"/>
      <c r="C13" s="282"/>
      <c r="D13" s="291" t="s">
        <v>19</v>
      </c>
      <c r="E13" s="287"/>
      <c r="F13" s="287"/>
      <c r="G13" s="287"/>
      <c r="H13" s="287"/>
      <c r="I13" s="284"/>
      <c r="J13" s="291" t="s">
        <v>20</v>
      </c>
      <c r="K13" s="287"/>
      <c r="L13" s="287"/>
      <c r="M13" s="287"/>
      <c r="N13" s="287"/>
      <c r="O13" s="284"/>
      <c r="P13" s="200"/>
      <c r="Q13" s="200"/>
      <c r="R13" s="200"/>
      <c r="S13" s="200"/>
      <c r="V13" s="201"/>
      <c r="W13" s="200"/>
      <c r="X13" s="200"/>
      <c r="Y13" s="200"/>
      <c r="Z13" s="200"/>
      <c r="AA13" s="200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</row>
    <row r="14" spans="1:45" ht="24" customHeight="1" thickBot="1" x14ac:dyDescent="0.3">
      <c r="A14" s="201"/>
      <c r="B14" s="293"/>
      <c r="C14" s="331" t="s">
        <v>7</v>
      </c>
      <c r="D14" s="236" t="s">
        <v>8</v>
      </c>
      <c r="E14" s="237" t="s">
        <v>9</v>
      </c>
      <c r="F14" s="238" t="s">
        <v>10</v>
      </c>
      <c r="G14" s="237" t="s">
        <v>11</v>
      </c>
      <c r="H14" s="238" t="s">
        <v>12</v>
      </c>
      <c r="I14" s="237" t="s">
        <v>13</v>
      </c>
      <c r="J14" s="238" t="s">
        <v>8</v>
      </c>
      <c r="K14" s="237" t="s">
        <v>9</v>
      </c>
      <c r="L14" s="238" t="s">
        <v>10</v>
      </c>
      <c r="M14" s="237" t="s">
        <v>11</v>
      </c>
      <c r="N14" s="238" t="s">
        <v>12</v>
      </c>
      <c r="O14" s="237" t="s">
        <v>13</v>
      </c>
      <c r="P14" s="200"/>
      <c r="Q14" s="200"/>
      <c r="R14" s="200"/>
      <c r="S14" s="200"/>
      <c r="V14" s="201"/>
      <c r="W14" s="200"/>
      <c r="X14" s="200"/>
      <c r="Y14" s="200"/>
      <c r="Z14" s="200"/>
      <c r="AA14" s="200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</row>
    <row r="15" spans="1:45" ht="24" customHeight="1" x14ac:dyDescent="0.25">
      <c r="A15" s="201"/>
      <c r="B15" s="293"/>
      <c r="C15" s="332"/>
      <c r="D15" s="244">
        <v>0.57638888888888884</v>
      </c>
      <c r="E15" s="245">
        <v>0.61388888888888893</v>
      </c>
      <c r="F15" s="245">
        <v>0.65347222222222223</v>
      </c>
      <c r="G15" s="241">
        <f t="shared" ref="G15:G16" si="4">F15-D15</f>
        <v>7.7083333333333393E-2</v>
      </c>
      <c r="H15" s="250">
        <v>123</v>
      </c>
      <c r="I15" s="251">
        <v>1</v>
      </c>
      <c r="J15" s="244">
        <v>0.60833333333333328</v>
      </c>
      <c r="K15" s="245">
        <v>0.64652777777777781</v>
      </c>
      <c r="L15" s="245">
        <v>0.69861111111111107</v>
      </c>
      <c r="M15" s="241">
        <f t="shared" ref="M15:M16" si="5">L15-J15</f>
        <v>9.027777777777779E-2</v>
      </c>
      <c r="N15" s="250">
        <v>123</v>
      </c>
      <c r="O15" s="251">
        <v>2</v>
      </c>
      <c r="P15" s="200"/>
      <c r="Q15" s="200"/>
      <c r="R15" s="200"/>
      <c r="S15" s="200"/>
      <c r="V15" s="201"/>
      <c r="W15" s="200"/>
      <c r="X15" s="200"/>
      <c r="Y15" s="200"/>
      <c r="Z15" s="200"/>
      <c r="AA15" s="200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</row>
    <row r="16" spans="1:45" ht="24" customHeight="1" thickBot="1" x14ac:dyDescent="0.3">
      <c r="A16" s="201"/>
      <c r="B16" s="293"/>
      <c r="C16" s="332"/>
      <c r="D16" s="239">
        <v>0.66319444444444442</v>
      </c>
      <c r="E16" s="240">
        <v>0.69791666666666663</v>
      </c>
      <c r="F16" s="240">
        <v>0.73888888888888893</v>
      </c>
      <c r="G16" s="241">
        <f t="shared" si="4"/>
        <v>7.5694444444444509E-2</v>
      </c>
      <c r="H16" s="242">
        <v>123</v>
      </c>
      <c r="I16" s="252">
        <v>1</v>
      </c>
      <c r="J16" s="239">
        <v>0.70833333333333337</v>
      </c>
      <c r="K16" s="240">
        <v>0.74861111111111112</v>
      </c>
      <c r="L16" s="240">
        <v>0.80138888888888893</v>
      </c>
      <c r="M16" s="241">
        <f t="shared" si="5"/>
        <v>9.3055555555555558E-2</v>
      </c>
      <c r="N16" s="242">
        <v>123</v>
      </c>
      <c r="O16" s="252">
        <v>2</v>
      </c>
      <c r="P16" s="200"/>
      <c r="Q16" s="200"/>
      <c r="R16" s="200"/>
      <c r="S16" s="200"/>
      <c r="V16" s="201"/>
      <c r="W16" s="200"/>
      <c r="X16" s="200"/>
      <c r="Y16" s="200"/>
      <c r="Z16" s="200"/>
      <c r="AA16" s="200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</row>
    <row r="17" spans="1:45" ht="24" customHeight="1" thickBot="1" x14ac:dyDescent="0.3">
      <c r="A17" s="201"/>
      <c r="B17" s="293"/>
      <c r="C17" s="332"/>
      <c r="D17" s="283">
        <f>IF(F16="",E16,F16)</f>
        <v>0.73888888888888893</v>
      </c>
      <c r="E17" s="284"/>
      <c r="F17" s="283">
        <f>IF(D18="",E18,D18)</f>
        <v>0.78749999999999998</v>
      </c>
      <c r="G17" s="284"/>
      <c r="H17" s="285">
        <f>F17-D17</f>
        <v>4.8611111111111049E-2</v>
      </c>
      <c r="I17" s="284"/>
      <c r="J17" s="283">
        <f>IF(L16="",K16,L16)</f>
        <v>0.80138888888888893</v>
      </c>
      <c r="K17" s="284"/>
      <c r="L17" s="283">
        <f>IF(J18="",K18,J18)</f>
        <v>0.84930555555555554</v>
      </c>
      <c r="M17" s="284"/>
      <c r="N17" s="285">
        <f>L17-J17</f>
        <v>4.7916666666666607E-2</v>
      </c>
      <c r="O17" s="284"/>
      <c r="P17" s="200"/>
      <c r="Q17" s="200"/>
      <c r="R17" s="200"/>
      <c r="S17" s="200"/>
      <c r="V17" s="201"/>
      <c r="W17" s="200"/>
      <c r="X17" s="200"/>
      <c r="Y17" s="200"/>
      <c r="Z17" s="200"/>
      <c r="AA17" s="200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1"/>
      <c r="AR17" s="201"/>
      <c r="AS17" s="201"/>
    </row>
    <row r="18" spans="1:45" ht="24" customHeight="1" x14ac:dyDescent="0.25">
      <c r="A18" s="201"/>
      <c r="B18" s="293"/>
      <c r="C18" s="332"/>
      <c r="D18" s="239">
        <v>0.78749999999999998</v>
      </c>
      <c r="E18" s="240">
        <v>0.82777777777777772</v>
      </c>
      <c r="F18" s="240">
        <v>0.86875000000000002</v>
      </c>
      <c r="G18" s="241">
        <f t="shared" ref="G18:G19" si="6">F18-D18</f>
        <v>8.1250000000000044E-2</v>
      </c>
      <c r="H18" s="242">
        <v>123</v>
      </c>
      <c r="I18" s="252">
        <v>1</v>
      </c>
      <c r="J18" s="239">
        <v>0.84930555555555554</v>
      </c>
      <c r="K18" s="240">
        <v>0.88124999999999998</v>
      </c>
      <c r="L18" s="240">
        <v>0.91666666666666663</v>
      </c>
      <c r="M18" s="241">
        <f t="shared" ref="M18:M19" si="7">L18-J18</f>
        <v>6.7361111111111094E-2</v>
      </c>
      <c r="N18" s="242">
        <v>123</v>
      </c>
      <c r="O18" s="252">
        <v>2</v>
      </c>
      <c r="P18" s="200"/>
      <c r="Q18" s="200"/>
      <c r="R18" s="200"/>
      <c r="S18" s="200"/>
      <c r="V18" s="201"/>
      <c r="W18" s="200"/>
      <c r="X18" s="200"/>
      <c r="Y18" s="200"/>
      <c r="Z18" s="200"/>
      <c r="AA18" s="200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</row>
    <row r="19" spans="1:45" ht="24" customHeight="1" thickBot="1" x14ac:dyDescent="0.3">
      <c r="A19" s="201"/>
      <c r="B19" s="293"/>
      <c r="C19" s="332"/>
      <c r="D19" s="239">
        <v>0.88194444444444442</v>
      </c>
      <c r="E19" s="240">
        <v>0.91388888888888886</v>
      </c>
      <c r="F19" s="240">
        <v>0.94930555555555551</v>
      </c>
      <c r="G19" s="241">
        <f t="shared" si="6"/>
        <v>6.7361111111111094E-2</v>
      </c>
      <c r="H19" s="242">
        <v>123</v>
      </c>
      <c r="I19" s="252">
        <v>1</v>
      </c>
      <c r="J19" s="239">
        <v>0.92361111111111116</v>
      </c>
      <c r="K19" s="240">
        <v>0.95833333333333337</v>
      </c>
      <c r="L19" s="240">
        <v>0.98819444444444449</v>
      </c>
      <c r="M19" s="241">
        <f t="shared" si="7"/>
        <v>6.4583333333333326E-2</v>
      </c>
      <c r="N19" s="242">
        <v>123</v>
      </c>
      <c r="O19" s="252">
        <v>2</v>
      </c>
      <c r="P19" s="200"/>
      <c r="Q19" s="200"/>
      <c r="R19" s="200"/>
      <c r="S19" s="200"/>
      <c r="V19" s="201"/>
      <c r="W19" s="200"/>
      <c r="X19" s="200"/>
      <c r="Y19" s="200"/>
      <c r="Z19" s="200"/>
      <c r="AA19" s="200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</row>
    <row r="20" spans="1:45" ht="24" customHeight="1" thickBot="1" x14ac:dyDescent="0.3">
      <c r="A20" s="201"/>
      <c r="B20" s="293"/>
      <c r="C20" s="282"/>
      <c r="D20" s="354" t="s">
        <v>52</v>
      </c>
      <c r="E20" s="287"/>
      <c r="F20" s="287"/>
      <c r="G20" s="287"/>
      <c r="H20" s="287"/>
      <c r="I20" s="284"/>
      <c r="J20" s="354" t="s">
        <v>52</v>
      </c>
      <c r="K20" s="287"/>
      <c r="L20" s="287"/>
      <c r="M20" s="287"/>
      <c r="N20" s="287"/>
      <c r="O20" s="284"/>
      <c r="P20" s="246"/>
      <c r="Q20" s="246"/>
      <c r="R20" s="246"/>
      <c r="S20" s="246"/>
      <c r="V20" s="201"/>
      <c r="W20" s="200"/>
      <c r="X20" s="200"/>
      <c r="Y20" s="200"/>
      <c r="Z20" s="200"/>
      <c r="AA20" s="200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</row>
    <row r="21" spans="1:45" ht="24" customHeight="1" thickBot="1" x14ac:dyDescent="0.3">
      <c r="A21" s="201"/>
      <c r="B21" s="290"/>
      <c r="C21" s="229" t="s">
        <v>17</v>
      </c>
      <c r="D21" s="288">
        <f>MAX(E15:F19)-IF(D15="",E15,D15)-MIN(H15:H19)+$C12</f>
        <v>0.33819444444444452</v>
      </c>
      <c r="E21" s="287"/>
      <c r="F21" s="287"/>
      <c r="G21" s="284"/>
      <c r="H21" s="281">
        <f ca="1">OFFSET(H14,MATCH(MIN(H15:H19),H15:H19,0),-4)-IF(D15="",E15,D15)</f>
        <v>0.16250000000000009</v>
      </c>
      <c r="I21" s="282"/>
      <c r="J21" s="288">
        <f>MAX(K15:L19)-IF(J15="",K15,J15)-MIN(N15:N19)+$C12</f>
        <v>0.34583333333333349</v>
      </c>
      <c r="K21" s="287"/>
      <c r="L21" s="287"/>
      <c r="M21" s="284"/>
      <c r="N21" s="281">
        <f ca="1">OFFSET(N14,MATCH(MIN(N15:N19),N15:N19,0),-4)-IF(J15="",K15,J15)</f>
        <v>0.19305555555555565</v>
      </c>
      <c r="O21" s="282"/>
      <c r="P21" s="200"/>
      <c r="Q21" s="200"/>
      <c r="R21" s="200"/>
      <c r="S21" s="200"/>
      <c r="V21" s="201"/>
      <c r="W21" s="200"/>
      <c r="X21" s="200"/>
      <c r="Y21" s="200"/>
      <c r="Z21" s="200"/>
      <c r="AA21" s="200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1"/>
      <c r="AQ21" s="201"/>
      <c r="AR21" s="201"/>
      <c r="AS21" s="201"/>
    </row>
    <row r="22" spans="1:45" ht="24" customHeight="1" x14ac:dyDescent="0.25">
      <c r="A22" s="201"/>
      <c r="V22" s="201"/>
      <c r="W22" s="200"/>
      <c r="X22" s="200"/>
      <c r="Y22" s="200"/>
      <c r="Z22" s="200"/>
      <c r="AA22" s="200"/>
      <c r="AB22" s="201"/>
      <c r="AC22" s="201"/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1"/>
    </row>
    <row r="23" spans="1:45" ht="24" customHeight="1" x14ac:dyDescent="0.25">
      <c r="A23" s="201"/>
      <c r="T23" s="201"/>
      <c r="U23" s="201"/>
      <c r="V23" s="201"/>
      <c r="W23" s="200"/>
      <c r="X23" s="200"/>
      <c r="Y23" s="200"/>
      <c r="Z23" s="200"/>
      <c r="AA23" s="200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201"/>
      <c r="AS23" s="201"/>
    </row>
    <row r="24" spans="1:45" ht="24" customHeight="1" x14ac:dyDescent="0.25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  <c r="AC24" s="201"/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1"/>
    </row>
    <row r="25" spans="1:45" ht="24" customHeight="1" x14ac:dyDescent="0.25">
      <c r="A25" s="201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1"/>
      <c r="AQ25" s="201"/>
      <c r="AR25" s="201"/>
      <c r="AS25" s="201"/>
    </row>
    <row r="26" spans="1:45" ht="24" customHeight="1" x14ac:dyDescent="0.25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  <c r="AA26" s="201"/>
      <c r="AB26" s="201"/>
      <c r="AC26" s="201"/>
      <c r="AD26" s="201"/>
      <c r="AE26" s="201"/>
      <c r="AF26" s="201"/>
      <c r="AG26" s="201"/>
      <c r="AH26" s="201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1"/>
    </row>
    <row r="27" spans="1:45" ht="24" customHeight="1" x14ac:dyDescent="0.25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</row>
    <row r="28" spans="1:45" ht="24" customHeight="1" x14ac:dyDescent="0.25">
      <c r="A28" s="201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1"/>
    </row>
    <row r="29" spans="1:45" ht="24" customHeight="1" x14ac:dyDescent="0.25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</row>
    <row r="30" spans="1:45" ht="24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0"/>
      <c r="X30" s="200"/>
      <c r="Y30" s="200"/>
      <c r="Z30" s="200"/>
      <c r="AA30" s="200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</row>
    <row r="31" spans="1:45" ht="24" customHeight="1" x14ac:dyDescent="0.25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0"/>
      <c r="X31" s="200"/>
      <c r="Y31" s="200"/>
      <c r="Z31" s="200"/>
      <c r="AA31" s="200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1"/>
    </row>
    <row r="32" spans="1:45" ht="24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0"/>
      <c r="X32" s="200"/>
      <c r="Y32" s="200"/>
      <c r="Z32" s="200"/>
      <c r="AA32" s="200"/>
      <c r="AB32" s="201"/>
      <c r="AC32" s="201"/>
      <c r="AD32" s="201"/>
      <c r="AE32" s="201"/>
      <c r="AF32" s="201"/>
      <c r="AG32" s="201"/>
      <c r="AH32" s="201"/>
      <c r="AI32" s="201"/>
      <c r="AJ32" s="201"/>
      <c r="AK32" s="201"/>
      <c r="AL32" s="201"/>
      <c r="AM32" s="201"/>
      <c r="AN32" s="201"/>
      <c r="AO32" s="201"/>
      <c r="AP32" s="201"/>
      <c r="AQ32" s="201"/>
      <c r="AR32" s="201"/>
      <c r="AS32" s="201"/>
    </row>
    <row r="33" spans="1:45" ht="24" customHeight="1" x14ac:dyDescent="0.25">
      <c r="A33" s="201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0"/>
      <c r="X33" s="200"/>
      <c r="Y33" s="200"/>
      <c r="Z33" s="200"/>
      <c r="AA33" s="200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</row>
    <row r="34" spans="1:45" ht="24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0"/>
      <c r="X34" s="200"/>
      <c r="Y34" s="200"/>
      <c r="Z34" s="200"/>
      <c r="AA34" s="200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</row>
    <row r="35" spans="1:45" ht="24" customHeight="1" x14ac:dyDescent="0.25">
      <c r="A35" s="201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0"/>
      <c r="X35" s="200"/>
      <c r="Y35" s="200"/>
      <c r="Z35" s="200"/>
      <c r="AA35" s="200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</row>
    <row r="36" spans="1:45" ht="24" customHeight="1" x14ac:dyDescent="0.25">
      <c r="A36" s="201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0"/>
      <c r="X36" s="200"/>
      <c r="Y36" s="200"/>
      <c r="Z36" s="200"/>
      <c r="AA36" s="200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</row>
    <row r="37" spans="1:45" ht="24" customHeight="1" x14ac:dyDescent="0.25">
      <c r="A37" s="201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0"/>
      <c r="X37" s="200"/>
      <c r="Y37" s="200"/>
      <c r="Z37" s="200"/>
      <c r="AA37" s="200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1"/>
      <c r="AQ37" s="201"/>
      <c r="AR37" s="201"/>
      <c r="AS37" s="201"/>
    </row>
    <row r="38" spans="1:45" ht="24" customHeight="1" x14ac:dyDescent="0.25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0"/>
      <c r="X38" s="200"/>
      <c r="Y38" s="200"/>
      <c r="Z38" s="200"/>
      <c r="AA38" s="200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</row>
    <row r="39" spans="1:45" ht="24" customHeight="1" x14ac:dyDescent="0.25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0"/>
      <c r="X39" s="200"/>
      <c r="Y39" s="200"/>
      <c r="Z39" s="200"/>
      <c r="AA39" s="200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</row>
    <row r="40" spans="1:45" ht="24" customHeight="1" x14ac:dyDescent="0.25">
      <c r="A40" s="201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0"/>
      <c r="X40" s="200"/>
      <c r="Y40" s="200"/>
      <c r="Z40" s="200"/>
      <c r="AA40" s="200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</row>
    <row r="41" spans="1:45" ht="24" customHeight="1" x14ac:dyDescent="0.25">
      <c r="A41" s="201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0"/>
      <c r="X41" s="200"/>
      <c r="Y41" s="200"/>
      <c r="Z41" s="200"/>
      <c r="AA41" s="200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1"/>
      <c r="AQ41" s="201"/>
      <c r="AR41" s="201"/>
      <c r="AS41" s="201"/>
    </row>
    <row r="42" spans="1:45" ht="24" customHeight="1" x14ac:dyDescent="0.25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0"/>
      <c r="X42" s="200"/>
      <c r="Y42" s="200"/>
      <c r="Z42" s="200"/>
      <c r="AA42" s="200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</row>
    <row r="43" spans="1:45" ht="24" customHeight="1" x14ac:dyDescent="0.25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0"/>
      <c r="X43" s="200"/>
      <c r="Y43" s="200"/>
      <c r="Z43" s="200"/>
      <c r="AA43" s="200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</row>
    <row r="44" spans="1:45" ht="24" customHeight="1" x14ac:dyDescent="0.25">
      <c r="A44" s="201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0"/>
      <c r="X44" s="200"/>
      <c r="Y44" s="200"/>
      <c r="Z44" s="200"/>
      <c r="AA44" s="200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</row>
    <row r="45" spans="1:45" ht="24" customHeight="1" x14ac:dyDescent="0.25">
      <c r="A45" s="201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0"/>
      <c r="X45" s="200"/>
      <c r="Y45" s="200"/>
      <c r="Z45" s="200"/>
      <c r="AA45" s="200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</row>
    <row r="46" spans="1:45" ht="24" customHeight="1" x14ac:dyDescent="0.25">
      <c r="A46" s="201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0"/>
      <c r="X46" s="200"/>
      <c r="Y46" s="200"/>
      <c r="Z46" s="200"/>
      <c r="AA46" s="200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</row>
    <row r="47" spans="1:45" ht="24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0"/>
      <c r="X47" s="200"/>
      <c r="Y47" s="200"/>
      <c r="Z47" s="200"/>
      <c r="AA47" s="200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</row>
    <row r="48" spans="1:45" ht="24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0"/>
      <c r="X48" s="200"/>
      <c r="Y48" s="200"/>
      <c r="Z48" s="200"/>
      <c r="AA48" s="200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</row>
    <row r="49" spans="1:45" ht="24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0"/>
      <c r="X49" s="200"/>
      <c r="Y49" s="200"/>
      <c r="Z49" s="200"/>
      <c r="AA49" s="200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</row>
    <row r="50" spans="1:45" ht="24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0"/>
      <c r="X50" s="200"/>
      <c r="Y50" s="200"/>
      <c r="Z50" s="200"/>
      <c r="AA50" s="200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</row>
    <row r="51" spans="1:45" ht="24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0"/>
      <c r="X51" s="200"/>
      <c r="Y51" s="200"/>
      <c r="Z51" s="200"/>
      <c r="AA51" s="200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</row>
    <row r="52" spans="1:45" ht="24" customHeight="1" x14ac:dyDescent="0.25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0"/>
      <c r="X52" s="200"/>
      <c r="Y52" s="200"/>
      <c r="Z52" s="200"/>
      <c r="AA52" s="200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  <c r="AP52" s="201"/>
      <c r="AQ52" s="201"/>
      <c r="AR52" s="201"/>
      <c r="AS52" s="201"/>
    </row>
    <row r="53" spans="1:45" ht="24" customHeight="1" x14ac:dyDescent="0.25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0"/>
      <c r="X53" s="200"/>
      <c r="Y53" s="200"/>
      <c r="Z53" s="200"/>
      <c r="AA53" s="200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</row>
    <row r="54" spans="1:45" ht="24" customHeight="1" x14ac:dyDescent="0.25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0"/>
      <c r="X54" s="200"/>
      <c r="Y54" s="200"/>
      <c r="Z54" s="200"/>
      <c r="AA54" s="200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</row>
    <row r="55" spans="1:45" ht="24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0"/>
      <c r="X55" s="200"/>
      <c r="Y55" s="200"/>
      <c r="Z55" s="200"/>
      <c r="AA55" s="200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1"/>
      <c r="AQ55" s="201"/>
      <c r="AR55" s="201"/>
      <c r="AS55" s="201"/>
    </row>
    <row r="56" spans="1:45" ht="24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0"/>
      <c r="X56" s="200"/>
      <c r="Y56" s="200"/>
      <c r="Z56" s="200"/>
      <c r="AA56" s="200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  <c r="AP56" s="201"/>
      <c r="AQ56" s="201"/>
      <c r="AR56" s="201"/>
      <c r="AS56" s="201"/>
    </row>
    <row r="57" spans="1:45" ht="24" customHeight="1" x14ac:dyDescent="0.25">
      <c r="A57" s="201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0"/>
      <c r="X57" s="200"/>
      <c r="Y57" s="200"/>
      <c r="Z57" s="200"/>
      <c r="AA57" s="200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</row>
    <row r="58" spans="1:45" ht="24" customHeight="1" x14ac:dyDescent="0.25">
      <c r="A58" s="201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0"/>
      <c r="X58" s="200"/>
      <c r="Y58" s="200"/>
      <c r="Z58" s="200"/>
      <c r="AA58" s="200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  <c r="AP58" s="201"/>
      <c r="AQ58" s="201"/>
      <c r="AR58" s="201"/>
      <c r="AS58" s="201"/>
    </row>
    <row r="59" spans="1:45" ht="24" customHeight="1" x14ac:dyDescent="0.25">
      <c r="A59" s="201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0"/>
      <c r="X59" s="200"/>
      <c r="Y59" s="200"/>
      <c r="Z59" s="200"/>
      <c r="AA59" s="200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</row>
    <row r="60" spans="1:45" ht="24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0"/>
      <c r="X60" s="200"/>
      <c r="Y60" s="200"/>
      <c r="Z60" s="200"/>
      <c r="AA60" s="200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  <c r="AP60" s="201"/>
      <c r="AQ60" s="201"/>
      <c r="AR60" s="201"/>
      <c r="AS60" s="201"/>
    </row>
    <row r="61" spans="1:45" ht="24" customHeight="1" x14ac:dyDescent="0.25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0"/>
      <c r="X61" s="200"/>
      <c r="Y61" s="200"/>
      <c r="Z61" s="200"/>
      <c r="AA61" s="200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</row>
    <row r="62" spans="1:45" ht="24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0"/>
      <c r="X62" s="200"/>
      <c r="Y62" s="200"/>
      <c r="Z62" s="200"/>
      <c r="AA62" s="200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  <c r="AP62" s="201"/>
      <c r="AQ62" s="201"/>
      <c r="AR62" s="201"/>
      <c r="AS62" s="201"/>
    </row>
    <row r="63" spans="1:45" ht="24" customHeight="1" x14ac:dyDescent="0.25">
      <c r="A63" s="201"/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0"/>
      <c r="X63" s="200"/>
      <c r="Y63" s="200"/>
      <c r="Z63" s="200"/>
      <c r="AA63" s="200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  <c r="AP63" s="201"/>
      <c r="AQ63" s="201"/>
      <c r="AR63" s="201"/>
      <c r="AS63" s="201"/>
    </row>
    <row r="64" spans="1:45" ht="24" customHeight="1" x14ac:dyDescent="0.25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0"/>
      <c r="X64" s="200"/>
      <c r="Y64" s="200"/>
      <c r="Z64" s="200"/>
      <c r="AA64" s="200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  <c r="AP64" s="201"/>
      <c r="AQ64" s="201"/>
      <c r="AR64" s="201"/>
      <c r="AS64" s="201"/>
    </row>
    <row r="65" spans="1:45" ht="24" customHeight="1" x14ac:dyDescent="0.25">
      <c r="A65" s="201"/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0"/>
      <c r="X65" s="200"/>
      <c r="Y65" s="200"/>
      <c r="Z65" s="200"/>
      <c r="AA65" s="200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1"/>
      <c r="AQ65" s="201"/>
      <c r="AR65" s="201"/>
      <c r="AS65" s="201"/>
    </row>
    <row r="66" spans="1:45" ht="24" customHeight="1" x14ac:dyDescent="0.25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0"/>
      <c r="X66" s="200"/>
      <c r="Y66" s="200"/>
      <c r="Z66" s="200"/>
      <c r="AA66" s="200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</row>
    <row r="67" spans="1:45" ht="24" customHeight="1" x14ac:dyDescent="0.25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0"/>
      <c r="X67" s="200"/>
      <c r="Y67" s="200"/>
      <c r="Z67" s="200"/>
      <c r="AA67" s="200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</row>
    <row r="68" spans="1:45" ht="24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0"/>
      <c r="X68" s="200"/>
      <c r="Y68" s="200"/>
      <c r="Z68" s="200"/>
      <c r="AA68" s="200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</row>
    <row r="69" spans="1:45" ht="24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0"/>
      <c r="X69" s="200"/>
      <c r="Y69" s="200"/>
      <c r="Z69" s="200"/>
      <c r="AA69" s="200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</row>
    <row r="70" spans="1:45" ht="24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0"/>
      <c r="X70" s="200"/>
      <c r="Y70" s="200"/>
      <c r="Z70" s="200"/>
      <c r="AA70" s="200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</row>
    <row r="71" spans="1:45" ht="24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0"/>
      <c r="X71" s="200"/>
      <c r="Y71" s="200"/>
      <c r="Z71" s="200"/>
      <c r="AA71" s="200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</row>
    <row r="72" spans="1:45" ht="24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0"/>
      <c r="X72" s="200"/>
      <c r="Y72" s="200"/>
      <c r="Z72" s="200"/>
      <c r="AA72" s="200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</row>
    <row r="73" spans="1:45" ht="24" customHeight="1" x14ac:dyDescent="0.25">
      <c r="A73" s="201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0"/>
      <c r="X73" s="200"/>
      <c r="Y73" s="200"/>
      <c r="Z73" s="200"/>
      <c r="AA73" s="200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1"/>
      <c r="AQ73" s="201"/>
      <c r="AR73" s="201"/>
      <c r="AS73" s="201"/>
    </row>
    <row r="74" spans="1:45" ht="24" customHeight="1" x14ac:dyDescent="0.25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0"/>
      <c r="X74" s="200"/>
      <c r="Y74" s="200"/>
      <c r="Z74" s="200"/>
      <c r="AA74" s="200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</row>
    <row r="75" spans="1:45" ht="24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0"/>
      <c r="X75" s="200"/>
      <c r="Y75" s="200"/>
      <c r="Z75" s="200"/>
      <c r="AA75" s="200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1"/>
      <c r="AS75" s="201"/>
    </row>
    <row r="76" spans="1:45" ht="24" customHeight="1" x14ac:dyDescent="0.25">
      <c r="A76" s="201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0"/>
      <c r="X76" s="200"/>
      <c r="Y76" s="200"/>
      <c r="Z76" s="200"/>
      <c r="AA76" s="200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</row>
    <row r="77" spans="1:45" ht="24" customHeight="1" x14ac:dyDescent="0.25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0"/>
      <c r="X77" s="200"/>
      <c r="Y77" s="200"/>
      <c r="Z77" s="200"/>
      <c r="AA77" s="200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1"/>
      <c r="AQ77" s="201"/>
      <c r="AR77" s="201"/>
      <c r="AS77" s="201"/>
    </row>
    <row r="78" spans="1:45" ht="24" customHeight="1" x14ac:dyDescent="0.25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0"/>
      <c r="X78" s="200"/>
      <c r="Y78" s="200"/>
      <c r="Z78" s="200"/>
      <c r="AA78" s="200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1"/>
      <c r="AQ78" s="201"/>
      <c r="AR78" s="201"/>
      <c r="AS78" s="201"/>
    </row>
    <row r="79" spans="1:45" ht="24" customHeight="1" x14ac:dyDescent="0.25">
      <c r="A79" s="201"/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0"/>
      <c r="X79" s="200"/>
      <c r="Y79" s="200"/>
      <c r="Z79" s="200"/>
      <c r="AA79" s="200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  <c r="AP79" s="201"/>
      <c r="AQ79" s="201"/>
      <c r="AR79" s="201"/>
      <c r="AS79" s="201"/>
    </row>
    <row r="80" spans="1:45" ht="24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0"/>
      <c r="X80" s="200"/>
      <c r="Y80" s="200"/>
      <c r="Z80" s="200"/>
      <c r="AA80" s="200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  <c r="AP80" s="201"/>
      <c r="AQ80" s="201"/>
      <c r="AR80" s="201"/>
      <c r="AS80" s="201"/>
    </row>
    <row r="81" spans="1:45" ht="24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0"/>
      <c r="X81" s="200"/>
      <c r="Y81" s="200"/>
      <c r="Z81" s="200"/>
      <c r="AA81" s="200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  <c r="AP81" s="201"/>
      <c r="AQ81" s="201"/>
      <c r="AR81" s="201"/>
      <c r="AS81" s="201"/>
    </row>
    <row r="82" spans="1:45" ht="24" customHeight="1" x14ac:dyDescent="0.25">
      <c r="A82" s="201"/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0"/>
      <c r="X82" s="200"/>
      <c r="Y82" s="200"/>
      <c r="Z82" s="200"/>
      <c r="AA82" s="200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  <c r="AP82" s="201"/>
      <c r="AQ82" s="201"/>
      <c r="AR82" s="201"/>
      <c r="AS82" s="201"/>
    </row>
    <row r="83" spans="1:45" ht="24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0"/>
      <c r="X83" s="200"/>
      <c r="Y83" s="200"/>
      <c r="Z83" s="200"/>
      <c r="AA83" s="200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  <c r="AP83" s="201"/>
      <c r="AQ83" s="201"/>
      <c r="AR83" s="201"/>
      <c r="AS83" s="201"/>
    </row>
    <row r="84" spans="1:45" ht="24" customHeight="1" x14ac:dyDescent="0.25">
      <c r="A84" s="201"/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0"/>
      <c r="X84" s="200"/>
      <c r="Y84" s="200"/>
      <c r="Z84" s="200"/>
      <c r="AA84" s="200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  <c r="AP84" s="201"/>
      <c r="AQ84" s="201"/>
      <c r="AR84" s="201"/>
      <c r="AS84" s="201"/>
    </row>
    <row r="85" spans="1:45" ht="24" customHeight="1" x14ac:dyDescent="0.25">
      <c r="A85" s="201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0"/>
      <c r="X85" s="200"/>
      <c r="Y85" s="200"/>
      <c r="Z85" s="200"/>
      <c r="AA85" s="200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</row>
    <row r="86" spans="1:45" ht="24" customHeight="1" x14ac:dyDescent="0.25">
      <c r="A86" s="201"/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0"/>
      <c r="X86" s="200"/>
      <c r="Y86" s="200"/>
      <c r="Z86" s="200"/>
      <c r="AA86" s="200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  <c r="AP86" s="201"/>
      <c r="AQ86" s="201"/>
      <c r="AR86" s="201"/>
      <c r="AS86" s="201"/>
    </row>
    <row r="87" spans="1:45" ht="24" customHeight="1" x14ac:dyDescent="0.25">
      <c r="A87" s="201"/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0"/>
      <c r="X87" s="200"/>
      <c r="Y87" s="200"/>
      <c r="Z87" s="200"/>
      <c r="AA87" s="200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  <c r="AP87" s="201"/>
      <c r="AQ87" s="201"/>
      <c r="AR87" s="201"/>
      <c r="AS87" s="201"/>
    </row>
    <row r="88" spans="1:45" ht="24" customHeight="1" x14ac:dyDescent="0.25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0"/>
      <c r="X88" s="200"/>
      <c r="Y88" s="200"/>
      <c r="Z88" s="200"/>
      <c r="AA88" s="200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  <c r="AP88" s="201"/>
      <c r="AQ88" s="201"/>
      <c r="AR88" s="201"/>
      <c r="AS88" s="201"/>
    </row>
    <row r="89" spans="1:45" ht="24" customHeight="1" x14ac:dyDescent="0.25">
      <c r="A89" s="201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0"/>
      <c r="X89" s="200"/>
      <c r="Y89" s="200"/>
      <c r="Z89" s="200"/>
      <c r="AA89" s="200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</row>
    <row r="90" spans="1:45" ht="24" customHeight="1" x14ac:dyDescent="0.25">
      <c r="A90" s="201"/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0"/>
      <c r="X90" s="200"/>
      <c r="Y90" s="200"/>
      <c r="Z90" s="200"/>
      <c r="AA90" s="200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  <c r="AP90" s="201"/>
      <c r="AQ90" s="201"/>
      <c r="AR90" s="201"/>
      <c r="AS90" s="201"/>
    </row>
    <row r="91" spans="1:45" ht="24" customHeight="1" x14ac:dyDescent="0.25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0"/>
      <c r="X91" s="200"/>
      <c r="Y91" s="200"/>
      <c r="Z91" s="200"/>
      <c r="AA91" s="200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  <c r="AP91" s="201"/>
      <c r="AQ91" s="201"/>
      <c r="AR91" s="201"/>
      <c r="AS91" s="201"/>
    </row>
    <row r="92" spans="1:45" ht="24" customHeight="1" x14ac:dyDescent="0.25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0"/>
      <c r="X92" s="200"/>
      <c r="Y92" s="200"/>
      <c r="Z92" s="200"/>
      <c r="AA92" s="200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  <c r="AP92" s="201"/>
      <c r="AQ92" s="201"/>
      <c r="AR92" s="201"/>
      <c r="AS92" s="201"/>
    </row>
    <row r="93" spans="1:45" ht="24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0"/>
      <c r="X93" s="200"/>
      <c r="Y93" s="200"/>
      <c r="Z93" s="200"/>
      <c r="AA93" s="200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</row>
    <row r="94" spans="1:45" ht="24" customHeight="1" x14ac:dyDescent="0.25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0"/>
      <c r="X94" s="200"/>
      <c r="Y94" s="200"/>
      <c r="Z94" s="200"/>
      <c r="AA94" s="200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  <c r="AP94" s="201"/>
      <c r="AQ94" s="201"/>
      <c r="AR94" s="201"/>
      <c r="AS94" s="201"/>
    </row>
    <row r="95" spans="1:45" ht="24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0"/>
      <c r="X95" s="200"/>
      <c r="Y95" s="200"/>
      <c r="Z95" s="200"/>
      <c r="AA95" s="200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  <c r="AP95" s="201"/>
      <c r="AQ95" s="201"/>
      <c r="AR95" s="201"/>
      <c r="AS95" s="201"/>
    </row>
    <row r="96" spans="1:45" ht="24" customHeight="1" x14ac:dyDescent="0.25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0"/>
      <c r="X96" s="200"/>
      <c r="Y96" s="200"/>
      <c r="Z96" s="200"/>
      <c r="AA96" s="200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  <c r="AP96" s="201"/>
      <c r="AQ96" s="201"/>
      <c r="AR96" s="201"/>
      <c r="AS96" s="201"/>
    </row>
    <row r="97" spans="1:45" ht="24" customHeight="1" x14ac:dyDescent="0.25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0"/>
      <c r="X97" s="200"/>
      <c r="Y97" s="200"/>
      <c r="Z97" s="200"/>
      <c r="AA97" s="200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  <c r="AR97" s="201"/>
      <c r="AS97" s="201"/>
    </row>
    <row r="98" spans="1:45" ht="24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0"/>
      <c r="X98" s="200"/>
      <c r="Y98" s="200"/>
      <c r="Z98" s="200"/>
      <c r="AA98" s="200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  <c r="AP98" s="201"/>
      <c r="AQ98" s="201"/>
      <c r="AR98" s="201"/>
      <c r="AS98" s="201"/>
    </row>
    <row r="99" spans="1:45" ht="24" customHeight="1" x14ac:dyDescent="0.25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0"/>
      <c r="X99" s="200"/>
      <c r="Y99" s="200"/>
      <c r="Z99" s="200"/>
      <c r="AA99" s="200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  <c r="AP99" s="201"/>
      <c r="AQ99" s="201"/>
      <c r="AR99" s="201"/>
      <c r="AS99" s="201"/>
    </row>
    <row r="100" spans="1:45" ht="24" customHeight="1" x14ac:dyDescent="0.25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0"/>
      <c r="X100" s="200"/>
      <c r="Y100" s="200"/>
      <c r="Z100" s="200"/>
      <c r="AA100" s="200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  <c r="AP100" s="201"/>
      <c r="AQ100" s="201"/>
      <c r="AR100" s="201"/>
      <c r="AS100" s="201"/>
    </row>
    <row r="101" spans="1:45" ht="24" customHeight="1" x14ac:dyDescent="0.25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0"/>
      <c r="X101" s="200"/>
      <c r="Y101" s="200"/>
      <c r="Z101" s="200"/>
      <c r="AA101" s="200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</row>
    <row r="102" spans="1:45" ht="24" customHeight="1" x14ac:dyDescent="0.25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0"/>
      <c r="X102" s="200"/>
      <c r="Y102" s="200"/>
      <c r="Z102" s="200"/>
      <c r="AA102" s="200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</row>
    <row r="103" spans="1:45" ht="24" customHeight="1" x14ac:dyDescent="0.25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0"/>
      <c r="X103" s="200"/>
      <c r="Y103" s="200"/>
      <c r="Z103" s="200"/>
      <c r="AA103" s="200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  <c r="AP103" s="201"/>
      <c r="AQ103" s="201"/>
      <c r="AR103" s="201"/>
      <c r="AS103" s="201"/>
    </row>
    <row r="104" spans="1:45" ht="24" customHeight="1" x14ac:dyDescent="0.25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0"/>
      <c r="X104" s="200"/>
      <c r="Y104" s="200"/>
      <c r="Z104" s="200"/>
      <c r="AA104" s="200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  <c r="AP104" s="201"/>
      <c r="AQ104" s="201"/>
      <c r="AR104" s="201"/>
      <c r="AS104" s="201"/>
    </row>
    <row r="105" spans="1:45" ht="24" customHeight="1" x14ac:dyDescent="0.25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0"/>
      <c r="X105" s="200"/>
      <c r="Y105" s="200"/>
      <c r="Z105" s="200"/>
      <c r="AA105" s="200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  <c r="AP105" s="201"/>
      <c r="AQ105" s="201"/>
      <c r="AR105" s="201"/>
      <c r="AS105" s="201"/>
    </row>
    <row r="106" spans="1:45" ht="24" customHeight="1" x14ac:dyDescent="0.25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0"/>
      <c r="X106" s="200"/>
      <c r="Y106" s="200"/>
      <c r="Z106" s="200"/>
      <c r="AA106" s="200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  <c r="AP106" s="201"/>
      <c r="AQ106" s="201"/>
      <c r="AR106" s="201"/>
      <c r="AS106" s="201"/>
    </row>
    <row r="107" spans="1:45" ht="24" customHeight="1" x14ac:dyDescent="0.25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0"/>
      <c r="X107" s="200"/>
      <c r="Y107" s="200"/>
      <c r="Z107" s="200"/>
      <c r="AA107" s="200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201"/>
      <c r="AQ107" s="201"/>
      <c r="AR107" s="201"/>
      <c r="AS107" s="201"/>
    </row>
    <row r="108" spans="1:45" ht="24" customHeight="1" x14ac:dyDescent="0.25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0"/>
      <c r="X108" s="200"/>
      <c r="Y108" s="200"/>
      <c r="Z108" s="200"/>
      <c r="AA108" s="200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  <c r="AP108" s="201"/>
      <c r="AQ108" s="201"/>
      <c r="AR108" s="201"/>
      <c r="AS108" s="201"/>
    </row>
    <row r="109" spans="1:45" ht="24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0"/>
      <c r="X109" s="200"/>
      <c r="Y109" s="200"/>
      <c r="Z109" s="200"/>
      <c r="AA109" s="200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  <c r="AP109" s="201"/>
      <c r="AQ109" s="201"/>
      <c r="AR109" s="201"/>
      <c r="AS109" s="201"/>
    </row>
    <row r="110" spans="1:45" ht="24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0"/>
      <c r="X110" s="200"/>
      <c r="Y110" s="200"/>
      <c r="Z110" s="200"/>
      <c r="AA110" s="200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  <c r="AP110" s="201"/>
      <c r="AQ110" s="201"/>
      <c r="AR110" s="201"/>
      <c r="AS110" s="201"/>
    </row>
    <row r="111" spans="1:45" ht="24" customHeight="1" x14ac:dyDescent="0.25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0"/>
      <c r="X111" s="200"/>
      <c r="Y111" s="200"/>
      <c r="Z111" s="200"/>
      <c r="AA111" s="200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  <c r="AP111" s="201"/>
      <c r="AQ111" s="201"/>
      <c r="AR111" s="201"/>
      <c r="AS111" s="201"/>
    </row>
    <row r="112" spans="1:45" ht="24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0"/>
      <c r="X112" s="200"/>
      <c r="Y112" s="200"/>
      <c r="Z112" s="200"/>
      <c r="AA112" s="200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  <c r="AP112" s="201"/>
      <c r="AQ112" s="201"/>
      <c r="AR112" s="201"/>
      <c r="AS112" s="201"/>
    </row>
    <row r="113" spans="1:45" ht="24" customHeight="1" x14ac:dyDescent="0.25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0"/>
      <c r="X113" s="200"/>
      <c r="Y113" s="200"/>
      <c r="Z113" s="200"/>
      <c r="AA113" s="200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  <c r="AP113" s="201"/>
      <c r="AQ113" s="201"/>
      <c r="AR113" s="201"/>
      <c r="AS113" s="201"/>
    </row>
    <row r="114" spans="1:45" ht="24" customHeight="1" x14ac:dyDescent="0.25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0"/>
      <c r="X114" s="200"/>
      <c r="Y114" s="200"/>
      <c r="Z114" s="200"/>
      <c r="AA114" s="200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</row>
    <row r="115" spans="1:45" ht="24" customHeight="1" x14ac:dyDescent="0.25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0"/>
      <c r="X115" s="200"/>
      <c r="Y115" s="200"/>
      <c r="Z115" s="200"/>
      <c r="AA115" s="200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  <c r="AP115" s="201"/>
      <c r="AQ115" s="201"/>
      <c r="AR115" s="201"/>
      <c r="AS115" s="201"/>
    </row>
    <row r="116" spans="1:45" ht="24" customHeight="1" x14ac:dyDescent="0.25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0"/>
      <c r="X116" s="200"/>
      <c r="Y116" s="200"/>
      <c r="Z116" s="200"/>
      <c r="AA116" s="200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  <c r="AP116" s="201"/>
      <c r="AQ116" s="201"/>
      <c r="AR116" s="201"/>
      <c r="AS116" s="201"/>
    </row>
    <row r="117" spans="1:45" ht="24" customHeight="1" x14ac:dyDescent="0.25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0"/>
      <c r="X117" s="200"/>
      <c r="Y117" s="200"/>
      <c r="Z117" s="200"/>
      <c r="AA117" s="200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  <c r="AP117" s="201"/>
      <c r="AQ117" s="201"/>
      <c r="AR117" s="201"/>
      <c r="AS117" s="201"/>
    </row>
    <row r="118" spans="1:45" ht="24" customHeight="1" x14ac:dyDescent="0.25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0"/>
      <c r="X118" s="200"/>
      <c r="Y118" s="200"/>
      <c r="Z118" s="200"/>
      <c r="AA118" s="200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  <c r="AP118" s="201"/>
      <c r="AQ118" s="201"/>
      <c r="AR118" s="201"/>
      <c r="AS118" s="201"/>
    </row>
    <row r="119" spans="1:45" ht="24" customHeight="1" x14ac:dyDescent="0.25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0"/>
      <c r="X119" s="200"/>
      <c r="Y119" s="200"/>
      <c r="Z119" s="200"/>
      <c r="AA119" s="200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01"/>
    </row>
    <row r="120" spans="1:45" ht="24" customHeight="1" x14ac:dyDescent="0.25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0"/>
      <c r="X120" s="200"/>
      <c r="Y120" s="200"/>
      <c r="Z120" s="200"/>
      <c r="AA120" s="200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  <c r="AP120" s="201"/>
      <c r="AQ120" s="201"/>
      <c r="AR120" s="201"/>
      <c r="AS120" s="201"/>
    </row>
    <row r="121" spans="1:45" ht="24" customHeight="1" x14ac:dyDescent="0.25">
      <c r="A121" s="200"/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35"/>
      <c r="W121" s="200"/>
      <c r="X121" s="200"/>
      <c r="Y121" s="200"/>
      <c r="Z121" s="200"/>
      <c r="AA121" s="200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  <c r="AP121" s="201"/>
      <c r="AQ121" s="201"/>
      <c r="AR121" s="201"/>
      <c r="AS121" s="201"/>
    </row>
    <row r="122" spans="1:45" ht="24" customHeight="1" x14ac:dyDescent="0.25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35"/>
      <c r="W122" s="200"/>
      <c r="X122" s="200"/>
      <c r="Y122" s="200"/>
      <c r="Z122" s="200"/>
      <c r="AA122" s="200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  <c r="AP122" s="201"/>
      <c r="AQ122" s="201"/>
      <c r="AR122" s="201"/>
      <c r="AS122" s="201"/>
    </row>
    <row r="123" spans="1:45" ht="24" customHeight="1" x14ac:dyDescent="0.25">
      <c r="A123" s="200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35"/>
      <c r="W123" s="200"/>
      <c r="X123" s="200"/>
      <c r="Y123" s="200"/>
      <c r="Z123" s="200"/>
      <c r="AA123" s="200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  <c r="AP123" s="201"/>
      <c r="AQ123" s="201"/>
      <c r="AR123" s="201"/>
      <c r="AS123" s="201"/>
    </row>
    <row r="124" spans="1:45" ht="24" customHeight="1" x14ac:dyDescent="0.25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35"/>
      <c r="W124" s="200"/>
      <c r="X124" s="200"/>
      <c r="Y124" s="200"/>
      <c r="Z124" s="200"/>
      <c r="AA124" s="200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  <c r="AP124" s="201"/>
      <c r="AQ124" s="201"/>
      <c r="AR124" s="201"/>
      <c r="AS124" s="201"/>
    </row>
    <row r="125" spans="1:45" ht="24" customHeight="1" x14ac:dyDescent="0.25">
      <c r="A125" s="200"/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35"/>
      <c r="W125" s="200"/>
      <c r="X125" s="200"/>
      <c r="Y125" s="200"/>
      <c r="Z125" s="200"/>
      <c r="AA125" s="200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  <c r="AP125" s="201"/>
      <c r="AQ125" s="201"/>
      <c r="AR125" s="201"/>
      <c r="AS125" s="201"/>
    </row>
    <row r="126" spans="1:45" ht="24" customHeight="1" x14ac:dyDescent="0.25">
      <c r="A126" s="200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35"/>
      <c r="W126" s="200"/>
      <c r="X126" s="200"/>
      <c r="Y126" s="200"/>
      <c r="Z126" s="200"/>
      <c r="AA126" s="200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</row>
    <row r="127" spans="1:45" ht="24" customHeight="1" x14ac:dyDescent="0.25">
      <c r="A127" s="200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35"/>
      <c r="W127" s="200"/>
      <c r="X127" s="200"/>
      <c r="Y127" s="200"/>
      <c r="Z127" s="200"/>
      <c r="AA127" s="200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  <c r="AP127" s="201"/>
      <c r="AQ127" s="201"/>
      <c r="AR127" s="201"/>
      <c r="AS127" s="201"/>
    </row>
    <row r="128" spans="1:45" ht="24" customHeight="1" x14ac:dyDescent="0.25">
      <c r="A128" s="200"/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35"/>
      <c r="W128" s="200"/>
      <c r="X128" s="200"/>
      <c r="Y128" s="200"/>
      <c r="Z128" s="200"/>
      <c r="AA128" s="200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  <c r="AP128" s="201"/>
      <c r="AQ128" s="201"/>
      <c r="AR128" s="201"/>
      <c r="AS128" s="201"/>
    </row>
    <row r="129" spans="1:45" ht="24" customHeight="1" x14ac:dyDescent="0.25">
      <c r="A129" s="200"/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35"/>
      <c r="W129" s="200"/>
      <c r="X129" s="200"/>
      <c r="Y129" s="200"/>
      <c r="Z129" s="200"/>
      <c r="AA129" s="200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  <c r="AP129" s="201"/>
      <c r="AQ129" s="201"/>
      <c r="AR129" s="201"/>
      <c r="AS129" s="201"/>
    </row>
    <row r="130" spans="1:45" ht="24" customHeight="1" x14ac:dyDescent="0.25">
      <c r="A130" s="200"/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35"/>
      <c r="W130" s="200"/>
      <c r="X130" s="200"/>
      <c r="Y130" s="200"/>
      <c r="Z130" s="200"/>
      <c r="AA130" s="200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  <c r="AP130" s="201"/>
      <c r="AQ130" s="201"/>
      <c r="AR130" s="201"/>
      <c r="AS130" s="201"/>
    </row>
    <row r="131" spans="1:45" ht="24" customHeight="1" x14ac:dyDescent="0.25">
      <c r="A131" s="200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35"/>
      <c r="W131" s="200"/>
      <c r="X131" s="200"/>
      <c r="Y131" s="200"/>
      <c r="Z131" s="200"/>
      <c r="AA131" s="200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</row>
    <row r="132" spans="1:45" ht="24" customHeight="1" x14ac:dyDescent="0.25">
      <c r="A132" s="200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35"/>
      <c r="W132" s="200"/>
      <c r="X132" s="200"/>
      <c r="Y132" s="200"/>
      <c r="Z132" s="200"/>
      <c r="AA132" s="200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  <c r="AP132" s="201"/>
      <c r="AQ132" s="201"/>
      <c r="AR132" s="201"/>
      <c r="AS132" s="201"/>
    </row>
    <row r="133" spans="1:45" ht="24" customHeight="1" x14ac:dyDescent="0.25">
      <c r="A133" s="200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35"/>
      <c r="W133" s="200"/>
      <c r="X133" s="200"/>
      <c r="Y133" s="200"/>
      <c r="Z133" s="200"/>
      <c r="AA133" s="200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  <c r="AP133" s="201"/>
      <c r="AQ133" s="201"/>
      <c r="AR133" s="201"/>
      <c r="AS133" s="201"/>
    </row>
    <row r="134" spans="1:45" ht="24" customHeight="1" x14ac:dyDescent="0.25">
      <c r="A134" s="200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35"/>
      <c r="W134" s="200"/>
      <c r="X134" s="200"/>
      <c r="Y134" s="200"/>
      <c r="Z134" s="200"/>
      <c r="AA134" s="200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  <c r="AP134" s="201"/>
      <c r="AQ134" s="201"/>
      <c r="AR134" s="201"/>
      <c r="AS134" s="201"/>
    </row>
    <row r="135" spans="1:45" ht="24" customHeight="1" x14ac:dyDescent="0.25">
      <c r="A135" s="200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35"/>
      <c r="W135" s="200"/>
      <c r="X135" s="200"/>
      <c r="Y135" s="200"/>
      <c r="Z135" s="200"/>
      <c r="AA135" s="200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  <c r="AP135" s="201"/>
      <c r="AQ135" s="201"/>
      <c r="AR135" s="201"/>
      <c r="AS135" s="201"/>
    </row>
    <row r="136" spans="1:45" ht="24" customHeight="1" x14ac:dyDescent="0.25">
      <c r="A136" s="200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35"/>
      <c r="W136" s="200"/>
      <c r="X136" s="200"/>
      <c r="Y136" s="200"/>
      <c r="Z136" s="200"/>
      <c r="AA136" s="200"/>
      <c r="AB136" s="201"/>
      <c r="AC136" s="201"/>
      <c r="AD136" s="201"/>
      <c r="AE136" s="201"/>
      <c r="AF136" s="201"/>
      <c r="AG136" s="201"/>
      <c r="AH136" s="201"/>
      <c r="AI136" s="201"/>
      <c r="AJ136" s="201"/>
      <c r="AK136" s="201"/>
      <c r="AL136" s="201"/>
      <c r="AM136" s="201"/>
      <c r="AN136" s="201"/>
      <c r="AO136" s="201"/>
      <c r="AP136" s="201"/>
      <c r="AQ136" s="201"/>
      <c r="AR136" s="201"/>
      <c r="AS136" s="201"/>
    </row>
    <row r="137" spans="1:45" ht="24" customHeight="1" x14ac:dyDescent="0.25">
      <c r="A137" s="200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35"/>
      <c r="W137" s="200"/>
      <c r="X137" s="200"/>
      <c r="Y137" s="200"/>
      <c r="Z137" s="200"/>
      <c r="AA137" s="200"/>
      <c r="AB137" s="201"/>
      <c r="AC137" s="201"/>
      <c r="AD137" s="201"/>
      <c r="AE137" s="201"/>
      <c r="AF137" s="201"/>
      <c r="AG137" s="201"/>
      <c r="AH137" s="201"/>
      <c r="AI137" s="201"/>
      <c r="AJ137" s="201"/>
      <c r="AK137" s="201"/>
      <c r="AL137" s="201"/>
      <c r="AM137" s="201"/>
      <c r="AN137" s="201"/>
      <c r="AO137" s="201"/>
      <c r="AP137" s="201"/>
      <c r="AQ137" s="201"/>
      <c r="AR137" s="201"/>
      <c r="AS137" s="201"/>
    </row>
    <row r="138" spans="1:45" ht="24" customHeight="1" x14ac:dyDescent="0.25">
      <c r="A138" s="200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35"/>
      <c r="W138" s="200"/>
      <c r="X138" s="200"/>
      <c r="Y138" s="200"/>
      <c r="Z138" s="200"/>
      <c r="AA138" s="200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  <c r="AP138" s="201"/>
      <c r="AQ138" s="201"/>
      <c r="AR138" s="201"/>
      <c r="AS138" s="201"/>
    </row>
    <row r="139" spans="1:45" ht="24" customHeight="1" x14ac:dyDescent="0.25">
      <c r="A139" s="200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35"/>
      <c r="W139" s="200"/>
      <c r="X139" s="200"/>
      <c r="Y139" s="200"/>
      <c r="Z139" s="200"/>
      <c r="AA139" s="200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1"/>
      <c r="AO139" s="201"/>
      <c r="AP139" s="201"/>
      <c r="AQ139" s="201"/>
      <c r="AR139" s="201"/>
      <c r="AS139" s="201"/>
    </row>
    <row r="140" spans="1:45" ht="24" customHeight="1" x14ac:dyDescent="0.25">
      <c r="A140" s="200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35"/>
      <c r="W140" s="200"/>
      <c r="X140" s="200"/>
      <c r="Y140" s="200"/>
      <c r="Z140" s="200"/>
      <c r="AA140" s="200"/>
      <c r="AB140" s="201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1"/>
      <c r="AP140" s="201"/>
      <c r="AQ140" s="201"/>
      <c r="AR140" s="201"/>
      <c r="AS140" s="201"/>
    </row>
    <row r="141" spans="1:45" ht="24" customHeight="1" x14ac:dyDescent="0.25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35"/>
      <c r="W141" s="200"/>
      <c r="X141" s="200"/>
      <c r="Y141" s="200"/>
      <c r="Z141" s="200"/>
      <c r="AA141" s="200"/>
      <c r="AB141" s="201"/>
      <c r="AC141" s="201"/>
      <c r="AD141" s="201"/>
      <c r="AE141" s="201"/>
      <c r="AF141" s="201"/>
      <c r="AG141" s="201"/>
      <c r="AH141" s="201"/>
      <c r="AI141" s="201"/>
      <c r="AJ141" s="201"/>
      <c r="AK141" s="201"/>
      <c r="AL141" s="201"/>
      <c r="AM141" s="201"/>
      <c r="AN141" s="201"/>
      <c r="AO141" s="201"/>
      <c r="AP141" s="201"/>
      <c r="AQ141" s="201"/>
      <c r="AR141" s="201"/>
      <c r="AS141" s="201"/>
    </row>
    <row r="142" spans="1:45" ht="24" customHeight="1" x14ac:dyDescent="0.25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35"/>
      <c r="W142" s="200"/>
      <c r="X142" s="200"/>
      <c r="Y142" s="200"/>
      <c r="Z142" s="200"/>
      <c r="AA142" s="200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</row>
    <row r="143" spans="1:45" ht="24" customHeight="1" x14ac:dyDescent="0.25">
      <c r="A143" s="200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35"/>
      <c r="W143" s="200"/>
      <c r="X143" s="200"/>
      <c r="Y143" s="200"/>
      <c r="Z143" s="200"/>
      <c r="AA143" s="200"/>
      <c r="AB143" s="201"/>
      <c r="AC143" s="201"/>
      <c r="AD143" s="201"/>
      <c r="AE143" s="201"/>
      <c r="AF143" s="201"/>
      <c r="AG143" s="201"/>
      <c r="AH143" s="201"/>
      <c r="AI143" s="201"/>
      <c r="AJ143" s="201"/>
      <c r="AK143" s="201"/>
      <c r="AL143" s="201"/>
      <c r="AM143" s="201"/>
      <c r="AN143" s="201"/>
      <c r="AO143" s="201"/>
      <c r="AP143" s="201"/>
      <c r="AQ143" s="201"/>
      <c r="AR143" s="201"/>
      <c r="AS143" s="201"/>
    </row>
    <row r="144" spans="1:45" ht="24" customHeight="1" x14ac:dyDescent="0.25">
      <c r="A144" s="200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35"/>
      <c r="W144" s="200"/>
      <c r="X144" s="200"/>
      <c r="Y144" s="200"/>
      <c r="Z144" s="200"/>
      <c r="AA144" s="200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  <c r="AP144" s="201"/>
      <c r="AQ144" s="201"/>
      <c r="AR144" s="201"/>
      <c r="AS144" s="201"/>
    </row>
    <row r="145" spans="1:45" ht="24" customHeight="1" x14ac:dyDescent="0.25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35"/>
      <c r="W145" s="200"/>
      <c r="X145" s="200"/>
      <c r="Y145" s="200"/>
      <c r="Z145" s="200"/>
      <c r="AA145" s="200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  <c r="AP145" s="201"/>
      <c r="AQ145" s="201"/>
      <c r="AR145" s="201"/>
      <c r="AS145" s="201"/>
    </row>
    <row r="146" spans="1:45" ht="24" customHeight="1" x14ac:dyDescent="0.25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35"/>
      <c r="W146" s="200"/>
      <c r="X146" s="200"/>
      <c r="Y146" s="200"/>
      <c r="Z146" s="200"/>
      <c r="AA146" s="200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  <c r="AP146" s="201"/>
      <c r="AQ146" s="201"/>
      <c r="AR146" s="201"/>
      <c r="AS146" s="201"/>
    </row>
    <row r="147" spans="1:45" ht="24" customHeight="1" x14ac:dyDescent="0.25">
      <c r="A147" s="200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35"/>
      <c r="W147" s="200"/>
      <c r="X147" s="200"/>
      <c r="Y147" s="200"/>
      <c r="Z147" s="200"/>
      <c r="AA147" s="200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  <c r="AP147" s="201"/>
      <c r="AQ147" s="201"/>
      <c r="AR147" s="201"/>
      <c r="AS147" s="201"/>
    </row>
    <row r="148" spans="1:45" ht="24" customHeight="1" x14ac:dyDescent="0.25">
      <c r="A148" s="200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35"/>
      <c r="W148" s="200"/>
      <c r="X148" s="200"/>
      <c r="Y148" s="200"/>
      <c r="Z148" s="200"/>
      <c r="AA148" s="200"/>
      <c r="AB148" s="201"/>
      <c r="AC148" s="201"/>
      <c r="AD148" s="201"/>
      <c r="AE148" s="201"/>
      <c r="AF148" s="201"/>
      <c r="AG148" s="201"/>
      <c r="AH148" s="201"/>
      <c r="AI148" s="201"/>
      <c r="AJ148" s="201"/>
      <c r="AK148" s="201"/>
      <c r="AL148" s="201"/>
      <c r="AM148" s="201"/>
      <c r="AN148" s="201"/>
      <c r="AO148" s="201"/>
      <c r="AP148" s="201"/>
      <c r="AQ148" s="201"/>
      <c r="AR148" s="201"/>
      <c r="AS148" s="201"/>
    </row>
    <row r="149" spans="1:45" ht="24" customHeight="1" x14ac:dyDescent="0.25">
      <c r="A149" s="200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35"/>
      <c r="W149" s="200"/>
      <c r="X149" s="200"/>
      <c r="Y149" s="200"/>
      <c r="Z149" s="200"/>
      <c r="AA149" s="200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  <c r="AP149" s="201"/>
      <c r="AQ149" s="201"/>
      <c r="AR149" s="201"/>
      <c r="AS149" s="201"/>
    </row>
    <row r="150" spans="1:45" ht="24" customHeight="1" x14ac:dyDescent="0.25">
      <c r="A150" s="200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35"/>
      <c r="W150" s="200"/>
      <c r="X150" s="200"/>
      <c r="Y150" s="200"/>
      <c r="Z150" s="200"/>
      <c r="AA150" s="200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  <c r="AP150" s="201"/>
      <c r="AQ150" s="201"/>
      <c r="AR150" s="201"/>
      <c r="AS150" s="201"/>
    </row>
    <row r="151" spans="1:45" ht="24" customHeight="1" x14ac:dyDescent="0.25">
      <c r="A151" s="200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35"/>
      <c r="W151" s="200"/>
      <c r="X151" s="200"/>
      <c r="Y151" s="200"/>
      <c r="Z151" s="200"/>
      <c r="AA151" s="200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</row>
    <row r="152" spans="1:45" ht="24" customHeight="1" x14ac:dyDescent="0.25">
      <c r="A152" s="200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35"/>
      <c r="W152" s="200"/>
      <c r="X152" s="200"/>
      <c r="Y152" s="200"/>
      <c r="Z152" s="200"/>
      <c r="AA152" s="200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  <c r="AP152" s="201"/>
      <c r="AQ152" s="201"/>
      <c r="AR152" s="201"/>
      <c r="AS152" s="201"/>
    </row>
    <row r="153" spans="1:45" ht="24" customHeight="1" x14ac:dyDescent="0.25">
      <c r="A153" s="200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35"/>
      <c r="W153" s="200"/>
      <c r="X153" s="200"/>
      <c r="Y153" s="200"/>
      <c r="Z153" s="200"/>
      <c r="AA153" s="200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</row>
    <row r="154" spans="1:45" ht="24" customHeight="1" x14ac:dyDescent="0.25">
      <c r="A154" s="200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35"/>
      <c r="W154" s="200"/>
      <c r="X154" s="200"/>
      <c r="Y154" s="200"/>
      <c r="Z154" s="200"/>
      <c r="AA154" s="200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  <c r="AP154" s="201"/>
      <c r="AQ154" s="201"/>
      <c r="AR154" s="201"/>
      <c r="AS154" s="201"/>
    </row>
    <row r="155" spans="1:45" ht="24" customHeight="1" x14ac:dyDescent="0.25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35"/>
      <c r="W155" s="200"/>
      <c r="X155" s="200"/>
      <c r="Y155" s="200"/>
      <c r="Z155" s="200"/>
      <c r="AA155" s="200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  <c r="AP155" s="201"/>
      <c r="AQ155" s="201"/>
      <c r="AR155" s="201"/>
      <c r="AS155" s="201"/>
    </row>
    <row r="156" spans="1:45" ht="24" customHeight="1" x14ac:dyDescent="0.25">
      <c r="A156" s="200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35"/>
      <c r="W156" s="200"/>
      <c r="X156" s="200"/>
      <c r="Y156" s="200"/>
      <c r="Z156" s="200"/>
      <c r="AA156" s="200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  <c r="AP156" s="201"/>
      <c r="AQ156" s="201"/>
      <c r="AR156" s="201"/>
      <c r="AS156" s="201"/>
    </row>
    <row r="157" spans="1:45" ht="24" customHeight="1" x14ac:dyDescent="0.25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35"/>
      <c r="W157" s="200"/>
      <c r="X157" s="200"/>
      <c r="Y157" s="200"/>
      <c r="Z157" s="200"/>
      <c r="AA157" s="200"/>
      <c r="AB157" s="201"/>
      <c r="AC157" s="201"/>
      <c r="AD157" s="201"/>
      <c r="AE157" s="201"/>
      <c r="AF157" s="201"/>
      <c r="AG157" s="201"/>
      <c r="AH157" s="201"/>
      <c r="AI157" s="201"/>
      <c r="AJ157" s="201"/>
      <c r="AK157" s="201"/>
      <c r="AL157" s="201"/>
      <c r="AM157" s="201"/>
      <c r="AN157" s="201"/>
      <c r="AO157" s="201"/>
      <c r="AP157" s="201"/>
      <c r="AQ157" s="201"/>
      <c r="AR157" s="201"/>
      <c r="AS157" s="201"/>
    </row>
    <row r="158" spans="1:45" ht="24" customHeight="1" x14ac:dyDescent="0.25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35"/>
      <c r="W158" s="200"/>
      <c r="X158" s="200"/>
      <c r="Y158" s="200"/>
      <c r="Z158" s="200"/>
      <c r="AA158" s="200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  <c r="AP158" s="201"/>
      <c r="AQ158" s="201"/>
      <c r="AR158" s="201"/>
      <c r="AS158" s="201"/>
    </row>
    <row r="159" spans="1:45" ht="24" customHeight="1" x14ac:dyDescent="0.25">
      <c r="A159" s="200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35"/>
      <c r="W159" s="200"/>
      <c r="X159" s="200"/>
      <c r="Y159" s="200"/>
      <c r="Z159" s="200"/>
      <c r="AA159" s="200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  <c r="AP159" s="201"/>
      <c r="AQ159" s="201"/>
      <c r="AR159" s="201"/>
      <c r="AS159" s="201"/>
    </row>
    <row r="160" spans="1:45" ht="24" customHeight="1" x14ac:dyDescent="0.25">
      <c r="A160" s="200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35"/>
      <c r="W160" s="200"/>
      <c r="X160" s="200"/>
      <c r="Y160" s="200"/>
      <c r="Z160" s="200"/>
      <c r="AA160" s="200"/>
      <c r="AB160" s="201"/>
      <c r="AC160" s="201"/>
      <c r="AD160" s="201"/>
      <c r="AE160" s="201"/>
      <c r="AF160" s="201"/>
      <c r="AG160" s="201"/>
      <c r="AH160" s="201"/>
      <c r="AI160" s="201"/>
      <c r="AJ160" s="201"/>
      <c r="AK160" s="201"/>
      <c r="AL160" s="201"/>
      <c r="AM160" s="201"/>
      <c r="AN160" s="201"/>
      <c r="AO160" s="201"/>
      <c r="AP160" s="201"/>
      <c r="AQ160" s="201"/>
      <c r="AR160" s="201"/>
      <c r="AS160" s="201"/>
    </row>
    <row r="161" spans="1:45" ht="24" customHeight="1" x14ac:dyDescent="0.25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35"/>
      <c r="W161" s="200"/>
      <c r="X161" s="200"/>
      <c r="Y161" s="200"/>
      <c r="Z161" s="200"/>
      <c r="AA161" s="200"/>
      <c r="AB161" s="201"/>
      <c r="AC161" s="201"/>
      <c r="AD161" s="201"/>
      <c r="AE161" s="201"/>
      <c r="AF161" s="201"/>
      <c r="AG161" s="201"/>
      <c r="AH161" s="201"/>
      <c r="AI161" s="201"/>
      <c r="AJ161" s="201"/>
      <c r="AK161" s="201"/>
      <c r="AL161" s="201"/>
      <c r="AM161" s="201"/>
      <c r="AN161" s="201"/>
      <c r="AO161" s="201"/>
      <c r="AP161" s="201"/>
      <c r="AQ161" s="201"/>
      <c r="AR161" s="201"/>
      <c r="AS161" s="201"/>
    </row>
    <row r="162" spans="1:45" ht="24" customHeight="1" x14ac:dyDescent="0.25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35"/>
      <c r="W162" s="200"/>
      <c r="X162" s="200"/>
      <c r="Y162" s="200"/>
      <c r="Z162" s="200"/>
      <c r="AA162" s="200"/>
      <c r="AB162" s="201"/>
      <c r="AC162" s="201"/>
      <c r="AD162" s="201"/>
      <c r="AE162" s="201"/>
      <c r="AF162" s="201"/>
      <c r="AG162" s="201"/>
      <c r="AH162" s="201"/>
      <c r="AI162" s="201"/>
      <c r="AJ162" s="201"/>
      <c r="AK162" s="201"/>
      <c r="AL162" s="201"/>
      <c r="AM162" s="201"/>
      <c r="AN162" s="201"/>
      <c r="AO162" s="201"/>
      <c r="AP162" s="201"/>
      <c r="AQ162" s="201"/>
      <c r="AR162" s="201"/>
      <c r="AS162" s="201"/>
    </row>
    <row r="163" spans="1:45" ht="24" customHeight="1" x14ac:dyDescent="0.25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35"/>
      <c r="W163" s="200"/>
      <c r="X163" s="200"/>
      <c r="Y163" s="200"/>
      <c r="Z163" s="200"/>
      <c r="AA163" s="200"/>
      <c r="AB163" s="201"/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201"/>
      <c r="AP163" s="201"/>
      <c r="AQ163" s="201"/>
      <c r="AR163" s="201"/>
      <c r="AS163" s="201"/>
    </row>
    <row r="164" spans="1:45" ht="24" customHeight="1" x14ac:dyDescent="0.25">
      <c r="A164" s="200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35"/>
      <c r="W164" s="200"/>
      <c r="X164" s="200"/>
      <c r="Y164" s="200"/>
      <c r="Z164" s="200"/>
      <c r="AA164" s="200"/>
      <c r="AB164" s="201"/>
      <c r="AC164" s="201"/>
      <c r="AD164" s="201"/>
      <c r="AE164" s="201"/>
      <c r="AF164" s="201"/>
      <c r="AG164" s="201"/>
      <c r="AH164" s="201"/>
      <c r="AI164" s="201"/>
      <c r="AJ164" s="201"/>
      <c r="AK164" s="201"/>
      <c r="AL164" s="201"/>
      <c r="AM164" s="201"/>
      <c r="AN164" s="201"/>
      <c r="AO164" s="201"/>
      <c r="AP164" s="201"/>
      <c r="AQ164" s="201"/>
      <c r="AR164" s="201"/>
      <c r="AS164" s="201"/>
    </row>
    <row r="165" spans="1:45" ht="24" customHeight="1" x14ac:dyDescent="0.25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35"/>
      <c r="W165" s="200"/>
      <c r="X165" s="200"/>
      <c r="Y165" s="200"/>
      <c r="Z165" s="200"/>
      <c r="AA165" s="200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  <c r="AP165" s="201"/>
      <c r="AQ165" s="201"/>
      <c r="AR165" s="201"/>
      <c r="AS165" s="201"/>
    </row>
    <row r="166" spans="1:45" ht="24" customHeight="1" x14ac:dyDescent="0.25">
      <c r="A166" s="200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35"/>
      <c r="W166" s="200"/>
      <c r="X166" s="200"/>
      <c r="Y166" s="200"/>
      <c r="Z166" s="200"/>
      <c r="AA166" s="200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  <c r="AP166" s="201"/>
      <c r="AQ166" s="201"/>
      <c r="AR166" s="201"/>
      <c r="AS166" s="201"/>
    </row>
    <row r="167" spans="1:45" ht="24" customHeight="1" x14ac:dyDescent="0.25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35"/>
      <c r="W167" s="200"/>
      <c r="X167" s="200"/>
      <c r="Y167" s="200"/>
      <c r="Z167" s="200"/>
      <c r="AA167" s="200"/>
      <c r="AB167" s="201"/>
      <c r="AC167" s="201"/>
      <c r="AD167" s="201"/>
      <c r="AE167" s="201"/>
      <c r="AF167" s="201"/>
      <c r="AG167" s="201"/>
      <c r="AH167" s="201"/>
      <c r="AI167" s="201"/>
      <c r="AJ167" s="201"/>
      <c r="AK167" s="201"/>
      <c r="AL167" s="201"/>
      <c r="AM167" s="201"/>
      <c r="AN167" s="201"/>
      <c r="AO167" s="201"/>
      <c r="AP167" s="201"/>
      <c r="AQ167" s="201"/>
      <c r="AR167" s="201"/>
      <c r="AS167" s="201"/>
    </row>
    <row r="168" spans="1:45" ht="24" customHeight="1" x14ac:dyDescent="0.25">
      <c r="A168" s="200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35"/>
      <c r="W168" s="200"/>
      <c r="X168" s="200"/>
      <c r="Y168" s="200"/>
      <c r="Z168" s="200"/>
      <c r="AA168" s="200"/>
      <c r="AB168" s="201"/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  <c r="AP168" s="201"/>
      <c r="AQ168" s="201"/>
      <c r="AR168" s="201"/>
      <c r="AS168" s="201"/>
    </row>
    <row r="169" spans="1:45" ht="24" customHeight="1" x14ac:dyDescent="0.25">
      <c r="A169" s="200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35"/>
      <c r="W169" s="200"/>
      <c r="X169" s="200"/>
      <c r="Y169" s="200"/>
      <c r="Z169" s="200"/>
      <c r="AA169" s="200"/>
      <c r="AB169" s="201"/>
      <c r="AC169" s="201"/>
      <c r="AD169" s="201"/>
      <c r="AE169" s="201"/>
      <c r="AF169" s="201"/>
      <c r="AG169" s="201"/>
      <c r="AH169" s="201"/>
      <c r="AI169" s="201"/>
      <c r="AJ169" s="201"/>
      <c r="AK169" s="201"/>
      <c r="AL169" s="201"/>
      <c r="AM169" s="201"/>
      <c r="AN169" s="201"/>
      <c r="AO169" s="201"/>
      <c r="AP169" s="201"/>
      <c r="AQ169" s="201"/>
      <c r="AR169" s="201"/>
      <c r="AS169" s="201"/>
    </row>
    <row r="170" spans="1:45" ht="24" customHeight="1" x14ac:dyDescent="0.25">
      <c r="A170" s="200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35"/>
      <c r="W170" s="200"/>
      <c r="X170" s="200"/>
      <c r="Y170" s="200"/>
      <c r="Z170" s="200"/>
      <c r="AA170" s="200"/>
      <c r="AB170" s="201"/>
      <c r="AC170" s="201"/>
      <c r="AD170" s="201"/>
      <c r="AE170" s="201"/>
      <c r="AF170" s="201"/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</row>
    <row r="171" spans="1:45" ht="24" customHeight="1" x14ac:dyDescent="0.25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35"/>
      <c r="W171" s="200"/>
      <c r="X171" s="200"/>
      <c r="Y171" s="200"/>
      <c r="Z171" s="200"/>
      <c r="AA171" s="200"/>
      <c r="AB171" s="201"/>
      <c r="AC171" s="201"/>
      <c r="AD171" s="201"/>
      <c r="AE171" s="201"/>
      <c r="AF171" s="201"/>
      <c r="AG171" s="201"/>
      <c r="AH171" s="201"/>
      <c r="AI171" s="201"/>
      <c r="AJ171" s="201"/>
      <c r="AK171" s="201"/>
      <c r="AL171" s="201"/>
      <c r="AM171" s="201"/>
      <c r="AN171" s="201"/>
      <c r="AO171" s="201"/>
      <c r="AP171" s="201"/>
      <c r="AQ171" s="201"/>
      <c r="AR171" s="201"/>
      <c r="AS171" s="201"/>
    </row>
    <row r="172" spans="1:45" ht="24" customHeight="1" x14ac:dyDescent="0.25">
      <c r="A172" s="200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35"/>
      <c r="W172" s="200"/>
      <c r="X172" s="200"/>
      <c r="Y172" s="200"/>
      <c r="Z172" s="200"/>
      <c r="AA172" s="200"/>
      <c r="AB172" s="201"/>
      <c r="AC172" s="201"/>
      <c r="AD172" s="201"/>
      <c r="AE172" s="201"/>
      <c r="AF172" s="201"/>
      <c r="AG172" s="201"/>
      <c r="AH172" s="201"/>
      <c r="AI172" s="201"/>
      <c r="AJ172" s="201"/>
      <c r="AK172" s="201"/>
      <c r="AL172" s="201"/>
      <c r="AM172" s="201"/>
      <c r="AN172" s="201"/>
      <c r="AO172" s="201"/>
      <c r="AP172" s="201"/>
      <c r="AQ172" s="201"/>
      <c r="AR172" s="201"/>
      <c r="AS172" s="201"/>
    </row>
    <row r="173" spans="1:45" ht="24" customHeight="1" x14ac:dyDescent="0.25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35"/>
      <c r="W173" s="200"/>
      <c r="X173" s="200"/>
      <c r="Y173" s="200"/>
      <c r="Z173" s="200"/>
      <c r="AA173" s="200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</row>
    <row r="174" spans="1:45" ht="24" customHeight="1" x14ac:dyDescent="0.25">
      <c r="A174" s="200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35"/>
      <c r="W174" s="200"/>
      <c r="X174" s="200"/>
      <c r="Y174" s="200"/>
      <c r="Z174" s="200"/>
      <c r="AA174" s="200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  <c r="AP174" s="201"/>
      <c r="AQ174" s="201"/>
      <c r="AR174" s="201"/>
      <c r="AS174" s="201"/>
    </row>
    <row r="175" spans="1:45" ht="24" customHeight="1" x14ac:dyDescent="0.25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35"/>
      <c r="W175" s="200"/>
      <c r="X175" s="200"/>
      <c r="Y175" s="200"/>
      <c r="Z175" s="200"/>
      <c r="AA175" s="200"/>
      <c r="AB175" s="201"/>
      <c r="AC175" s="201"/>
      <c r="AD175" s="201"/>
      <c r="AE175" s="201"/>
      <c r="AF175" s="201"/>
      <c r="AG175" s="201"/>
      <c r="AH175" s="201"/>
      <c r="AI175" s="201"/>
      <c r="AJ175" s="201"/>
      <c r="AK175" s="201"/>
      <c r="AL175" s="201"/>
      <c r="AM175" s="201"/>
      <c r="AN175" s="201"/>
      <c r="AO175" s="201"/>
      <c r="AP175" s="201"/>
      <c r="AQ175" s="201"/>
      <c r="AR175" s="201"/>
      <c r="AS175" s="201"/>
    </row>
    <row r="176" spans="1:45" ht="24" customHeight="1" x14ac:dyDescent="0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35"/>
      <c r="W176" s="200"/>
      <c r="X176" s="200"/>
      <c r="Y176" s="200"/>
      <c r="Z176" s="200"/>
      <c r="AA176" s="200"/>
      <c r="AB176" s="201"/>
      <c r="AC176" s="201"/>
      <c r="AD176" s="201"/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  <c r="AP176" s="201"/>
      <c r="AQ176" s="201"/>
      <c r="AR176" s="201"/>
      <c r="AS176" s="201"/>
    </row>
    <row r="177" spans="1:45" ht="24" customHeight="1" x14ac:dyDescent="0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35"/>
      <c r="W177" s="200"/>
      <c r="X177" s="200"/>
      <c r="Y177" s="200"/>
      <c r="Z177" s="200"/>
      <c r="AA177" s="200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  <c r="AP177" s="201"/>
      <c r="AQ177" s="201"/>
      <c r="AR177" s="201"/>
      <c r="AS177" s="201"/>
    </row>
    <row r="178" spans="1:45" ht="24" customHeight="1" x14ac:dyDescent="0.25">
      <c r="A178" s="200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35"/>
      <c r="W178" s="200"/>
      <c r="X178" s="200"/>
      <c r="Y178" s="200"/>
      <c r="Z178" s="200"/>
      <c r="AA178" s="200"/>
      <c r="AB178" s="201"/>
      <c r="AC178" s="201"/>
      <c r="AD178" s="201"/>
      <c r="AE178" s="201"/>
      <c r="AF178" s="201"/>
      <c r="AG178" s="201"/>
      <c r="AH178" s="201"/>
      <c r="AI178" s="201"/>
      <c r="AJ178" s="201"/>
      <c r="AK178" s="201"/>
      <c r="AL178" s="201"/>
      <c r="AM178" s="201"/>
      <c r="AN178" s="201"/>
      <c r="AO178" s="201"/>
      <c r="AP178" s="201"/>
      <c r="AQ178" s="201"/>
      <c r="AR178" s="201"/>
      <c r="AS178" s="201"/>
    </row>
    <row r="179" spans="1:45" ht="24" customHeight="1" x14ac:dyDescent="0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35"/>
      <c r="W179" s="200"/>
      <c r="X179" s="200"/>
      <c r="Y179" s="200"/>
      <c r="Z179" s="200"/>
      <c r="AA179" s="200"/>
      <c r="AB179" s="201"/>
      <c r="AC179" s="201"/>
      <c r="AD179" s="201"/>
      <c r="AE179" s="201"/>
      <c r="AF179" s="201"/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</row>
    <row r="180" spans="1:45" ht="24" customHeight="1" x14ac:dyDescent="0.25">
      <c r="A180" s="200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35"/>
      <c r="W180" s="200"/>
      <c r="X180" s="200"/>
      <c r="Y180" s="200"/>
      <c r="Z180" s="200"/>
      <c r="AA180" s="200"/>
      <c r="AB180" s="201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</row>
    <row r="181" spans="1:45" ht="24" customHeight="1" x14ac:dyDescent="0.25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35"/>
      <c r="W181" s="200"/>
      <c r="X181" s="200"/>
      <c r="Y181" s="200"/>
      <c r="Z181" s="200"/>
      <c r="AA181" s="200"/>
      <c r="AB181" s="201"/>
      <c r="AC181" s="201"/>
      <c r="AD181" s="201"/>
      <c r="AE181" s="201"/>
      <c r="AF181" s="201"/>
      <c r="AG181" s="201"/>
      <c r="AH181" s="201"/>
      <c r="AI181" s="201"/>
      <c r="AJ181" s="201"/>
      <c r="AK181" s="201"/>
      <c r="AL181" s="201"/>
      <c r="AM181" s="201"/>
      <c r="AN181" s="201"/>
      <c r="AO181" s="201"/>
      <c r="AP181" s="201"/>
      <c r="AQ181" s="201"/>
      <c r="AR181" s="201"/>
      <c r="AS181" s="201"/>
    </row>
    <row r="182" spans="1:45" ht="24" customHeight="1" x14ac:dyDescent="0.25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35"/>
      <c r="W182" s="200"/>
      <c r="X182" s="200"/>
      <c r="Y182" s="200"/>
      <c r="Z182" s="200"/>
      <c r="AA182" s="200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  <c r="AP182" s="201"/>
      <c r="AQ182" s="201"/>
      <c r="AR182" s="201"/>
      <c r="AS182" s="201"/>
    </row>
    <row r="183" spans="1:45" ht="24" customHeight="1" x14ac:dyDescent="0.25">
      <c r="A183" s="200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35"/>
      <c r="W183" s="200"/>
      <c r="X183" s="200"/>
      <c r="Y183" s="200"/>
      <c r="Z183" s="200"/>
      <c r="AA183" s="200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  <c r="AP183" s="201"/>
      <c r="AQ183" s="201"/>
      <c r="AR183" s="201"/>
      <c r="AS183" s="201"/>
    </row>
    <row r="184" spans="1:45" ht="24" customHeight="1" x14ac:dyDescent="0.25">
      <c r="A184" s="200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35"/>
      <c r="W184" s="200"/>
      <c r="X184" s="200"/>
      <c r="Y184" s="200"/>
      <c r="Z184" s="200"/>
      <c r="AA184" s="200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  <c r="AP184" s="201"/>
      <c r="AQ184" s="201"/>
      <c r="AR184" s="201"/>
      <c r="AS184" s="201"/>
    </row>
    <row r="185" spans="1:45" ht="24" customHeight="1" x14ac:dyDescent="0.25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35"/>
      <c r="W185" s="200"/>
      <c r="X185" s="200"/>
      <c r="Y185" s="200"/>
      <c r="Z185" s="200"/>
      <c r="AA185" s="200"/>
      <c r="AB185" s="201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  <c r="AP185" s="201"/>
      <c r="AQ185" s="201"/>
      <c r="AR185" s="201"/>
      <c r="AS185" s="201"/>
    </row>
    <row r="186" spans="1:45" ht="24" customHeight="1" x14ac:dyDescent="0.25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35"/>
      <c r="W186" s="200"/>
      <c r="X186" s="200"/>
      <c r="Y186" s="200"/>
      <c r="Z186" s="200"/>
      <c r="AA186" s="200"/>
      <c r="AB186" s="201"/>
      <c r="AC186" s="201"/>
      <c r="AD186" s="201"/>
      <c r="AE186" s="201"/>
      <c r="AF186" s="201"/>
      <c r="AG186" s="201"/>
      <c r="AH186" s="201"/>
      <c r="AI186" s="201"/>
      <c r="AJ186" s="201"/>
      <c r="AK186" s="201"/>
      <c r="AL186" s="201"/>
      <c r="AM186" s="201"/>
      <c r="AN186" s="201"/>
      <c r="AO186" s="201"/>
      <c r="AP186" s="201"/>
      <c r="AQ186" s="201"/>
      <c r="AR186" s="201"/>
      <c r="AS186" s="201"/>
    </row>
    <row r="187" spans="1:45" ht="24" customHeight="1" x14ac:dyDescent="0.25">
      <c r="A187" s="200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35"/>
      <c r="W187" s="200"/>
      <c r="X187" s="200"/>
      <c r="Y187" s="200"/>
      <c r="Z187" s="200"/>
      <c r="AA187" s="200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</row>
    <row r="188" spans="1:45" ht="24" customHeight="1" x14ac:dyDescent="0.25">
      <c r="A188" s="200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35"/>
      <c r="W188" s="200"/>
      <c r="X188" s="200"/>
      <c r="Y188" s="200"/>
      <c r="Z188" s="200"/>
      <c r="AA188" s="200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/>
      <c r="AN188" s="201"/>
      <c r="AO188" s="201"/>
      <c r="AP188" s="201"/>
      <c r="AQ188" s="201"/>
      <c r="AR188" s="201"/>
      <c r="AS188" s="201"/>
    </row>
    <row r="189" spans="1:45" ht="24" customHeight="1" x14ac:dyDescent="0.25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35"/>
      <c r="W189" s="200"/>
      <c r="X189" s="200"/>
      <c r="Y189" s="200"/>
      <c r="Z189" s="200"/>
      <c r="AA189" s="200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/>
      <c r="AN189" s="201"/>
      <c r="AO189" s="201"/>
      <c r="AP189" s="201"/>
      <c r="AQ189" s="201"/>
      <c r="AR189" s="201"/>
      <c r="AS189" s="201"/>
    </row>
    <row r="190" spans="1:45" ht="24" customHeight="1" x14ac:dyDescent="0.25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35"/>
      <c r="W190" s="200"/>
      <c r="X190" s="200"/>
      <c r="Y190" s="200"/>
      <c r="Z190" s="200"/>
      <c r="AA190" s="200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  <c r="AP190" s="201"/>
      <c r="AQ190" s="201"/>
      <c r="AR190" s="201"/>
      <c r="AS190" s="201"/>
    </row>
    <row r="191" spans="1:45" ht="24" customHeight="1" x14ac:dyDescent="0.25">
      <c r="A191" s="200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35"/>
      <c r="W191" s="200"/>
      <c r="X191" s="200"/>
      <c r="Y191" s="200"/>
      <c r="Z191" s="200"/>
      <c r="AA191" s="200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  <c r="AP191" s="201"/>
      <c r="AQ191" s="201"/>
      <c r="AR191" s="201"/>
      <c r="AS191" s="201"/>
    </row>
    <row r="192" spans="1:45" ht="24" customHeight="1" x14ac:dyDescent="0.25">
      <c r="A192" s="200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35"/>
      <c r="W192" s="200"/>
      <c r="X192" s="200"/>
      <c r="Y192" s="200"/>
      <c r="Z192" s="200"/>
      <c r="AA192" s="200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201"/>
      <c r="AQ192" s="201"/>
      <c r="AR192" s="201"/>
      <c r="AS192" s="201"/>
    </row>
    <row r="193" spans="1:45" ht="24" customHeight="1" x14ac:dyDescent="0.25">
      <c r="A193" s="200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35"/>
      <c r="W193" s="200"/>
      <c r="X193" s="200"/>
      <c r="Y193" s="200"/>
      <c r="Z193" s="200"/>
      <c r="AA193" s="200"/>
      <c r="AB193" s="201"/>
      <c r="AC193" s="201"/>
      <c r="AD193" s="201"/>
      <c r="AE193" s="201"/>
      <c r="AF193" s="201"/>
      <c r="AG193" s="201"/>
      <c r="AH193" s="201"/>
      <c r="AI193" s="201"/>
      <c r="AJ193" s="201"/>
      <c r="AK193" s="201"/>
      <c r="AL193" s="201"/>
      <c r="AM193" s="201"/>
      <c r="AN193" s="201"/>
      <c r="AO193" s="201"/>
      <c r="AP193" s="201"/>
      <c r="AQ193" s="201"/>
      <c r="AR193" s="201"/>
      <c r="AS193" s="201"/>
    </row>
    <row r="194" spans="1:45" ht="24" customHeight="1" x14ac:dyDescent="0.25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35"/>
      <c r="W194" s="200"/>
      <c r="X194" s="200"/>
      <c r="Y194" s="200"/>
      <c r="Z194" s="200"/>
      <c r="AA194" s="200"/>
      <c r="AB194" s="201"/>
      <c r="AC194" s="201"/>
      <c r="AD194" s="201"/>
      <c r="AE194" s="201"/>
      <c r="AF194" s="201"/>
      <c r="AG194" s="201"/>
      <c r="AH194" s="201"/>
      <c r="AI194" s="201"/>
      <c r="AJ194" s="201"/>
      <c r="AK194" s="201"/>
      <c r="AL194" s="201"/>
      <c r="AM194" s="201"/>
      <c r="AN194" s="201"/>
      <c r="AO194" s="201"/>
      <c r="AP194" s="201"/>
      <c r="AQ194" s="201"/>
      <c r="AR194" s="201"/>
      <c r="AS194" s="201"/>
    </row>
    <row r="195" spans="1:45" ht="24" customHeight="1" x14ac:dyDescent="0.25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35"/>
      <c r="W195" s="200"/>
      <c r="X195" s="200"/>
      <c r="Y195" s="200"/>
      <c r="Z195" s="200"/>
      <c r="AA195" s="200"/>
      <c r="AB195" s="201"/>
      <c r="AC195" s="201"/>
      <c r="AD195" s="201"/>
      <c r="AE195" s="201"/>
      <c r="AF195" s="201"/>
      <c r="AG195" s="201"/>
      <c r="AH195" s="201"/>
      <c r="AI195" s="201"/>
      <c r="AJ195" s="201"/>
      <c r="AK195" s="201"/>
      <c r="AL195" s="201"/>
      <c r="AM195" s="201"/>
      <c r="AN195" s="201"/>
      <c r="AO195" s="201"/>
      <c r="AP195" s="201"/>
      <c r="AQ195" s="201"/>
      <c r="AR195" s="201"/>
      <c r="AS195" s="201"/>
    </row>
    <row r="196" spans="1:45" ht="24" customHeight="1" x14ac:dyDescent="0.25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35"/>
      <c r="W196" s="200"/>
      <c r="X196" s="200"/>
      <c r="Y196" s="200"/>
      <c r="Z196" s="200"/>
      <c r="AA196" s="200"/>
      <c r="AB196" s="201"/>
      <c r="AC196" s="201"/>
      <c r="AD196" s="201"/>
      <c r="AE196" s="201"/>
      <c r="AF196" s="201"/>
      <c r="AG196" s="201"/>
      <c r="AH196" s="201"/>
      <c r="AI196" s="201"/>
      <c r="AJ196" s="201"/>
      <c r="AK196" s="201"/>
      <c r="AL196" s="201"/>
      <c r="AM196" s="201"/>
      <c r="AN196" s="201"/>
      <c r="AO196" s="201"/>
      <c r="AP196" s="201"/>
      <c r="AQ196" s="201"/>
      <c r="AR196" s="201"/>
      <c r="AS196" s="201"/>
    </row>
    <row r="197" spans="1:45" ht="24" customHeight="1" x14ac:dyDescent="0.25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35"/>
      <c r="W197" s="200"/>
      <c r="X197" s="200"/>
      <c r="Y197" s="200"/>
      <c r="Z197" s="200"/>
      <c r="AA197" s="200"/>
      <c r="AB197" s="201"/>
      <c r="AC197" s="201"/>
      <c r="AD197" s="201"/>
      <c r="AE197" s="201"/>
      <c r="AF197" s="201"/>
      <c r="AG197" s="201"/>
      <c r="AH197" s="201"/>
      <c r="AI197" s="201"/>
      <c r="AJ197" s="201"/>
      <c r="AK197" s="201"/>
      <c r="AL197" s="201"/>
      <c r="AM197" s="201"/>
      <c r="AN197" s="201"/>
      <c r="AO197" s="201"/>
      <c r="AP197" s="201"/>
      <c r="AQ197" s="201"/>
      <c r="AR197" s="201"/>
      <c r="AS197" s="201"/>
    </row>
    <row r="198" spans="1:45" ht="24" customHeight="1" x14ac:dyDescent="0.25">
      <c r="A198" s="200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35"/>
      <c r="W198" s="200"/>
      <c r="X198" s="200"/>
      <c r="Y198" s="200"/>
      <c r="Z198" s="200"/>
      <c r="AA198" s="200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</row>
    <row r="199" spans="1:45" ht="24" customHeight="1" x14ac:dyDescent="0.25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35"/>
      <c r="W199" s="200"/>
      <c r="X199" s="200"/>
      <c r="Y199" s="200"/>
      <c r="Z199" s="200"/>
      <c r="AA199" s="200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/>
      <c r="AM199" s="201"/>
      <c r="AN199" s="201"/>
      <c r="AO199" s="201"/>
      <c r="AP199" s="201"/>
      <c r="AQ199" s="201"/>
      <c r="AR199" s="201"/>
      <c r="AS199" s="201"/>
    </row>
    <row r="200" spans="1:45" ht="24" customHeight="1" x14ac:dyDescent="0.25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35"/>
      <c r="W200" s="200"/>
      <c r="X200" s="200"/>
      <c r="Y200" s="200"/>
      <c r="Z200" s="200"/>
      <c r="AA200" s="200"/>
      <c r="AB200" s="201"/>
      <c r="AC200" s="201"/>
      <c r="AD200" s="201"/>
      <c r="AE200" s="201"/>
      <c r="AF200" s="201"/>
      <c r="AG200" s="201"/>
      <c r="AH200" s="201"/>
      <c r="AI200" s="201"/>
      <c r="AJ200" s="201"/>
      <c r="AK200" s="201"/>
      <c r="AL200" s="201"/>
      <c r="AM200" s="201"/>
      <c r="AN200" s="201"/>
      <c r="AO200" s="201"/>
      <c r="AP200" s="201"/>
      <c r="AQ200" s="201"/>
      <c r="AR200" s="201"/>
      <c r="AS200" s="201"/>
    </row>
    <row r="201" spans="1:45" ht="24" customHeight="1" x14ac:dyDescent="0.25">
      <c r="A201" s="200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35"/>
      <c r="W201" s="200"/>
      <c r="X201" s="200"/>
      <c r="Y201" s="200"/>
      <c r="Z201" s="200"/>
      <c r="AA201" s="200"/>
      <c r="AB201" s="201"/>
      <c r="AC201" s="201"/>
      <c r="AD201" s="201"/>
      <c r="AE201" s="201"/>
      <c r="AF201" s="201"/>
      <c r="AG201" s="201"/>
      <c r="AH201" s="201"/>
      <c r="AI201" s="201"/>
      <c r="AJ201" s="201"/>
      <c r="AK201" s="201"/>
      <c r="AL201" s="201"/>
      <c r="AM201" s="201"/>
      <c r="AN201" s="201"/>
      <c r="AO201" s="201"/>
      <c r="AP201" s="201"/>
      <c r="AQ201" s="201"/>
      <c r="AR201" s="201"/>
      <c r="AS201" s="201"/>
    </row>
    <row r="202" spans="1:45" ht="24" customHeight="1" x14ac:dyDescent="0.25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35"/>
      <c r="W202" s="200"/>
      <c r="X202" s="200"/>
      <c r="Y202" s="200"/>
      <c r="Z202" s="200"/>
      <c r="AA202" s="200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  <c r="AP202" s="201"/>
      <c r="AQ202" s="201"/>
      <c r="AR202" s="201"/>
      <c r="AS202" s="201"/>
    </row>
    <row r="203" spans="1:45" ht="24" customHeight="1" x14ac:dyDescent="0.25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35"/>
      <c r="W203" s="200"/>
      <c r="X203" s="200"/>
      <c r="Y203" s="200"/>
      <c r="Z203" s="200"/>
      <c r="AA203" s="200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  <c r="AP203" s="201"/>
      <c r="AQ203" s="201"/>
      <c r="AR203" s="201"/>
      <c r="AS203" s="201"/>
    </row>
    <row r="204" spans="1:45" ht="24" customHeight="1" x14ac:dyDescent="0.25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35"/>
      <c r="W204" s="200"/>
      <c r="X204" s="200"/>
      <c r="Y204" s="200"/>
      <c r="Z204" s="200"/>
      <c r="AA204" s="200"/>
      <c r="AB204" s="201"/>
      <c r="AC204" s="201"/>
      <c r="AD204" s="201"/>
      <c r="AE204" s="201"/>
      <c r="AF204" s="201"/>
      <c r="AG204" s="201"/>
      <c r="AH204" s="201"/>
      <c r="AI204" s="201"/>
      <c r="AJ204" s="201"/>
      <c r="AK204" s="201"/>
      <c r="AL204" s="201"/>
      <c r="AM204" s="201"/>
      <c r="AN204" s="201"/>
      <c r="AO204" s="201"/>
      <c r="AP204" s="201"/>
      <c r="AQ204" s="201"/>
      <c r="AR204" s="201"/>
      <c r="AS204" s="201"/>
    </row>
    <row r="205" spans="1:45" ht="24" customHeight="1" x14ac:dyDescent="0.25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35"/>
      <c r="W205" s="200"/>
      <c r="X205" s="200"/>
      <c r="Y205" s="200"/>
      <c r="Z205" s="200"/>
      <c r="AA205" s="200"/>
      <c r="AB205" s="201"/>
      <c r="AC205" s="201"/>
      <c r="AD205" s="201"/>
      <c r="AE205" s="201"/>
      <c r="AF205" s="201"/>
      <c r="AG205" s="201"/>
      <c r="AH205" s="201"/>
      <c r="AI205" s="201"/>
      <c r="AJ205" s="201"/>
      <c r="AK205" s="201"/>
      <c r="AL205" s="201"/>
      <c r="AM205" s="201"/>
      <c r="AN205" s="201"/>
      <c r="AO205" s="201"/>
      <c r="AP205" s="201"/>
      <c r="AQ205" s="201"/>
      <c r="AR205" s="201"/>
      <c r="AS205" s="201"/>
    </row>
    <row r="206" spans="1:45" ht="24" customHeight="1" x14ac:dyDescent="0.25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35"/>
      <c r="W206" s="200"/>
      <c r="X206" s="200"/>
      <c r="Y206" s="200"/>
      <c r="Z206" s="200"/>
      <c r="AA206" s="200"/>
      <c r="AB206" s="201"/>
      <c r="AC206" s="201"/>
      <c r="AD206" s="201"/>
      <c r="AE206" s="201"/>
      <c r="AF206" s="201"/>
      <c r="AG206" s="201"/>
      <c r="AH206" s="201"/>
      <c r="AI206" s="201"/>
      <c r="AJ206" s="201"/>
      <c r="AK206" s="201"/>
      <c r="AL206" s="201"/>
      <c r="AM206" s="201"/>
      <c r="AN206" s="201"/>
      <c r="AO206" s="201"/>
      <c r="AP206" s="201"/>
      <c r="AQ206" s="201"/>
      <c r="AR206" s="201"/>
      <c r="AS206" s="201"/>
    </row>
    <row r="207" spans="1:45" ht="24" customHeight="1" x14ac:dyDescent="0.25">
      <c r="A207" s="200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35"/>
      <c r="W207" s="200"/>
      <c r="X207" s="200"/>
      <c r="Y207" s="200"/>
      <c r="Z207" s="200"/>
      <c r="AA207" s="200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  <c r="AP207" s="201"/>
      <c r="AQ207" s="201"/>
      <c r="AR207" s="201"/>
      <c r="AS207" s="201"/>
    </row>
    <row r="208" spans="1:45" ht="24" customHeight="1" x14ac:dyDescent="0.25">
      <c r="A208" s="200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35"/>
      <c r="W208" s="200"/>
      <c r="X208" s="200"/>
      <c r="Y208" s="200"/>
      <c r="Z208" s="200"/>
      <c r="AA208" s="200"/>
      <c r="AB208" s="201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  <c r="AP208" s="201"/>
      <c r="AQ208" s="201"/>
      <c r="AR208" s="201"/>
      <c r="AS208" s="201"/>
    </row>
    <row r="209" spans="1:45" ht="24" customHeight="1" x14ac:dyDescent="0.25">
      <c r="A209" s="200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35"/>
      <c r="W209" s="200"/>
      <c r="X209" s="200"/>
      <c r="Y209" s="200"/>
      <c r="Z209" s="200"/>
      <c r="AA209" s="200"/>
      <c r="AB209" s="201"/>
      <c r="AC209" s="201"/>
      <c r="AD209" s="201"/>
      <c r="AE209" s="201"/>
      <c r="AF209" s="201"/>
      <c r="AG209" s="201"/>
      <c r="AH209" s="201"/>
      <c r="AI209" s="201"/>
      <c r="AJ209" s="201"/>
      <c r="AK209" s="201"/>
      <c r="AL209" s="201"/>
      <c r="AM209" s="201"/>
      <c r="AN209" s="201"/>
      <c r="AO209" s="201"/>
      <c r="AP209" s="201"/>
      <c r="AQ209" s="201"/>
      <c r="AR209" s="201"/>
      <c r="AS209" s="201"/>
    </row>
    <row r="210" spans="1:45" ht="24" customHeight="1" x14ac:dyDescent="0.25">
      <c r="A210" s="200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35"/>
      <c r="W210" s="200"/>
      <c r="X210" s="200"/>
      <c r="Y210" s="200"/>
      <c r="Z210" s="200"/>
      <c r="AA210" s="200"/>
      <c r="AB210" s="201"/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  <c r="AP210" s="201"/>
      <c r="AQ210" s="201"/>
      <c r="AR210" s="201"/>
      <c r="AS210" s="201"/>
    </row>
    <row r="211" spans="1:45" ht="24" customHeight="1" x14ac:dyDescent="0.25">
      <c r="A211" s="200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35"/>
      <c r="W211" s="200"/>
      <c r="X211" s="200"/>
      <c r="Y211" s="200"/>
      <c r="Z211" s="200"/>
      <c r="AA211" s="200"/>
      <c r="AB211" s="201"/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  <c r="AP211" s="201"/>
      <c r="AQ211" s="201"/>
      <c r="AR211" s="201"/>
      <c r="AS211" s="201"/>
    </row>
    <row r="212" spans="1:45" ht="24" customHeight="1" x14ac:dyDescent="0.25">
      <c r="A212" s="200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35"/>
      <c r="W212" s="200"/>
      <c r="X212" s="200"/>
      <c r="Y212" s="200"/>
      <c r="Z212" s="200"/>
      <c r="AA212" s="200"/>
      <c r="AB212" s="201"/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  <c r="AP212" s="201"/>
      <c r="AQ212" s="201"/>
      <c r="AR212" s="201"/>
      <c r="AS212" s="201"/>
    </row>
    <row r="213" spans="1:45" ht="24" customHeight="1" x14ac:dyDescent="0.25">
      <c r="A213" s="200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35"/>
      <c r="W213" s="200"/>
      <c r="X213" s="200"/>
      <c r="Y213" s="200"/>
      <c r="Z213" s="200"/>
      <c r="AA213" s="200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  <c r="AP213" s="201"/>
      <c r="AQ213" s="201"/>
      <c r="AR213" s="201"/>
      <c r="AS213" s="201"/>
    </row>
    <row r="214" spans="1:45" ht="24" customHeight="1" x14ac:dyDescent="0.25">
      <c r="A214" s="200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35"/>
      <c r="W214" s="200"/>
      <c r="X214" s="200"/>
      <c r="Y214" s="200"/>
      <c r="Z214" s="200"/>
      <c r="AA214" s="200"/>
      <c r="AB214" s="201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  <c r="AP214" s="201"/>
      <c r="AQ214" s="201"/>
      <c r="AR214" s="201"/>
      <c r="AS214" s="201"/>
    </row>
    <row r="215" spans="1:45" ht="24" customHeight="1" x14ac:dyDescent="0.25">
      <c r="A215" s="200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35"/>
      <c r="W215" s="200"/>
      <c r="X215" s="200"/>
      <c r="Y215" s="200"/>
      <c r="Z215" s="200"/>
      <c r="AA215" s="200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  <c r="AP215" s="201"/>
      <c r="AQ215" s="201"/>
      <c r="AR215" s="201"/>
      <c r="AS215" s="201"/>
    </row>
    <row r="216" spans="1:45" ht="24" customHeight="1" x14ac:dyDescent="0.25">
      <c r="A216" s="200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35"/>
      <c r="W216" s="200"/>
      <c r="X216" s="200"/>
      <c r="Y216" s="200"/>
      <c r="Z216" s="200"/>
      <c r="AA216" s="200"/>
      <c r="AB216" s="201"/>
      <c r="AC216" s="201"/>
      <c r="AD216" s="201"/>
      <c r="AE216" s="201"/>
      <c r="AF216" s="201"/>
      <c r="AG216" s="201"/>
      <c r="AH216" s="201"/>
      <c r="AI216" s="201"/>
      <c r="AJ216" s="201"/>
      <c r="AK216" s="201"/>
      <c r="AL216" s="201"/>
      <c r="AM216" s="201"/>
      <c r="AN216" s="201"/>
      <c r="AO216" s="201"/>
      <c r="AP216" s="201"/>
      <c r="AQ216" s="201"/>
      <c r="AR216" s="201"/>
      <c r="AS216" s="201"/>
    </row>
    <row r="217" spans="1:45" ht="24" customHeight="1" x14ac:dyDescent="0.25">
      <c r="A217" s="200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35"/>
      <c r="W217" s="200"/>
      <c r="X217" s="200"/>
      <c r="Y217" s="200"/>
      <c r="Z217" s="200"/>
      <c r="AA217" s="200"/>
      <c r="AB217" s="201"/>
      <c r="AC217" s="201"/>
      <c r="AD217" s="201"/>
      <c r="AE217" s="201"/>
      <c r="AF217" s="201"/>
      <c r="AG217" s="201"/>
      <c r="AH217" s="201"/>
      <c r="AI217" s="201"/>
      <c r="AJ217" s="201"/>
      <c r="AK217" s="201"/>
      <c r="AL217" s="201"/>
      <c r="AM217" s="201"/>
      <c r="AN217" s="201"/>
      <c r="AO217" s="201"/>
      <c r="AP217" s="201"/>
      <c r="AQ217" s="201"/>
      <c r="AR217" s="201"/>
      <c r="AS217" s="201"/>
    </row>
    <row r="218" spans="1:45" ht="24" customHeight="1" x14ac:dyDescent="0.25">
      <c r="A218" s="200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35"/>
      <c r="W218" s="200"/>
      <c r="X218" s="200"/>
      <c r="Y218" s="200"/>
      <c r="Z218" s="200"/>
      <c r="AA218" s="200"/>
      <c r="AB218" s="201"/>
      <c r="AC218" s="201"/>
      <c r="AD218" s="201"/>
      <c r="AE218" s="201"/>
      <c r="AF218" s="201"/>
      <c r="AG218" s="201"/>
      <c r="AH218" s="201"/>
      <c r="AI218" s="201"/>
      <c r="AJ218" s="201"/>
      <c r="AK218" s="201"/>
      <c r="AL218" s="201"/>
      <c r="AM218" s="201"/>
      <c r="AN218" s="201"/>
      <c r="AO218" s="201"/>
      <c r="AP218" s="201"/>
      <c r="AQ218" s="201"/>
      <c r="AR218" s="201"/>
      <c r="AS218" s="201"/>
    </row>
    <row r="219" spans="1:45" ht="24" customHeight="1" x14ac:dyDescent="0.25">
      <c r="A219" s="200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35"/>
      <c r="W219" s="200"/>
      <c r="X219" s="200"/>
      <c r="Y219" s="200"/>
      <c r="Z219" s="200"/>
      <c r="AA219" s="200"/>
      <c r="AB219" s="201"/>
      <c r="AC219" s="201"/>
      <c r="AD219" s="201"/>
      <c r="AE219" s="201"/>
      <c r="AF219" s="201"/>
      <c r="AG219" s="201"/>
      <c r="AH219" s="201"/>
      <c r="AI219" s="201"/>
      <c r="AJ219" s="201"/>
      <c r="AK219" s="201"/>
      <c r="AL219" s="201"/>
      <c r="AM219" s="201"/>
      <c r="AN219" s="201"/>
      <c r="AO219" s="201"/>
      <c r="AP219" s="201"/>
      <c r="AQ219" s="201"/>
      <c r="AR219" s="201"/>
      <c r="AS219" s="201"/>
    </row>
    <row r="220" spans="1:45" ht="24" customHeight="1" x14ac:dyDescent="0.25">
      <c r="A220" s="200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35"/>
      <c r="W220" s="200"/>
      <c r="X220" s="200"/>
      <c r="Y220" s="200"/>
      <c r="Z220" s="200"/>
      <c r="AA220" s="200"/>
      <c r="AB220" s="201"/>
      <c r="AC220" s="201"/>
      <c r="AD220" s="201"/>
      <c r="AE220" s="201"/>
      <c r="AF220" s="201"/>
      <c r="AG220" s="201"/>
      <c r="AH220" s="201"/>
      <c r="AI220" s="201"/>
      <c r="AJ220" s="201"/>
      <c r="AK220" s="201"/>
      <c r="AL220" s="201"/>
      <c r="AM220" s="201"/>
      <c r="AN220" s="201"/>
      <c r="AO220" s="201"/>
      <c r="AP220" s="201"/>
      <c r="AQ220" s="201"/>
      <c r="AR220" s="201"/>
      <c r="AS220" s="201"/>
    </row>
    <row r="221" spans="1:45" ht="24" customHeight="1" x14ac:dyDescent="0.25">
      <c r="A221" s="200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35"/>
      <c r="W221" s="200"/>
      <c r="X221" s="200"/>
      <c r="Y221" s="200"/>
      <c r="Z221" s="200"/>
      <c r="AA221" s="200"/>
      <c r="AB221" s="201"/>
      <c r="AC221" s="201"/>
      <c r="AD221" s="201"/>
      <c r="AE221" s="201"/>
      <c r="AF221" s="201"/>
      <c r="AG221" s="201"/>
      <c r="AH221" s="201"/>
      <c r="AI221" s="201"/>
      <c r="AJ221" s="201"/>
      <c r="AK221" s="201"/>
      <c r="AL221" s="201"/>
      <c r="AM221" s="201"/>
      <c r="AN221" s="201"/>
      <c r="AO221" s="201"/>
      <c r="AP221" s="201"/>
      <c r="AQ221" s="201"/>
      <c r="AR221" s="201"/>
      <c r="AS221" s="201"/>
    </row>
    <row r="222" spans="1:45" ht="24" customHeight="1" x14ac:dyDescent="0.25">
      <c r="A222" s="200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35"/>
      <c r="W222" s="200"/>
      <c r="X222" s="200"/>
      <c r="Y222" s="200"/>
      <c r="Z222" s="200"/>
      <c r="AA222" s="200"/>
      <c r="AB222" s="201"/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  <c r="AP222" s="201"/>
      <c r="AQ222" s="201"/>
      <c r="AR222" s="201"/>
      <c r="AS222" s="201"/>
    </row>
    <row r="223" spans="1:45" ht="24" customHeight="1" x14ac:dyDescent="0.25">
      <c r="A223" s="200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35"/>
      <c r="W223" s="200"/>
      <c r="X223" s="200"/>
      <c r="Y223" s="200"/>
      <c r="Z223" s="200"/>
      <c r="AA223" s="200"/>
      <c r="AB223" s="201"/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  <c r="AP223" s="201"/>
      <c r="AQ223" s="201"/>
      <c r="AR223" s="201"/>
      <c r="AS223" s="201"/>
    </row>
  </sheetData>
  <mergeCells count="39">
    <mergeCell ref="N8:O8"/>
    <mergeCell ref="B2:B21"/>
    <mergeCell ref="C2:O2"/>
    <mergeCell ref="P2:S2"/>
    <mergeCell ref="C3:C4"/>
    <mergeCell ref="D3:O3"/>
    <mergeCell ref="P3:S3"/>
    <mergeCell ref="D4:I4"/>
    <mergeCell ref="J4:O4"/>
    <mergeCell ref="P4:S4"/>
    <mergeCell ref="C5:C10"/>
    <mergeCell ref="D8:E8"/>
    <mergeCell ref="F8:G8"/>
    <mergeCell ref="H8:I8"/>
    <mergeCell ref="J8:K8"/>
    <mergeCell ref="L8:M8"/>
    <mergeCell ref="J20:O20"/>
    <mergeCell ref="D10:I10"/>
    <mergeCell ref="J10:O10"/>
    <mergeCell ref="D11:G11"/>
    <mergeCell ref="H11:I11"/>
    <mergeCell ref="J11:M11"/>
    <mergeCell ref="N11:O11"/>
    <mergeCell ref="D21:G21"/>
    <mergeCell ref="H21:I21"/>
    <mergeCell ref="J21:M21"/>
    <mergeCell ref="N21:O21"/>
    <mergeCell ref="C12:C13"/>
    <mergeCell ref="D12:O12"/>
    <mergeCell ref="D13:I13"/>
    <mergeCell ref="J13:O13"/>
    <mergeCell ref="C14:C20"/>
    <mergeCell ref="D17:E17"/>
    <mergeCell ref="F17:G17"/>
    <mergeCell ref="H17:I17"/>
    <mergeCell ref="J17:K17"/>
    <mergeCell ref="L17:M17"/>
    <mergeCell ref="N17:O17"/>
    <mergeCell ref="D20:I20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87" priority="2" stopIfTrue="1">
      <formula>LEN($D4)=14</formula>
    </cfRule>
  </conditionalFormatting>
  <conditionalFormatting sqref="J4:O4">
    <cfRule type="expression" dxfId="186" priority="3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68DC-8F05-4187-B5DB-A5EFE345B17C}">
  <dimension ref="B1:AQ68"/>
  <sheetViews>
    <sheetView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16384" width="8.7109375" style="68"/>
  </cols>
  <sheetData>
    <row r="1" spans="2:43" ht="24" customHeight="1" thickBot="1" x14ac:dyDescent="0.3">
      <c r="L1"/>
      <c r="M1"/>
      <c r="N1" s="1"/>
    </row>
    <row r="2" spans="2:43" ht="24" customHeight="1" thickBot="1" x14ac:dyDescent="0.3">
      <c r="B2" s="310">
        <v>46270</v>
      </c>
      <c r="C2" s="2" t="s">
        <v>55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3"/>
      <c r="AC2" s="3"/>
      <c r="AD2" s="3"/>
      <c r="AE2" s="3"/>
      <c r="AF2" s="4"/>
      <c r="AG2" s="5"/>
      <c r="AH2" s="3"/>
      <c r="AI2" s="3"/>
      <c r="AJ2" s="3"/>
      <c r="AK2" s="3"/>
      <c r="AL2" s="4"/>
      <c r="AM2" s="5"/>
      <c r="AN2" s="6" t="s">
        <v>56</v>
      </c>
      <c r="AO2" s="7"/>
      <c r="AP2" s="7"/>
      <c r="AQ2" s="8"/>
    </row>
    <row r="3" spans="2:43" ht="24" customHeight="1" thickBot="1" x14ac:dyDescent="0.3">
      <c r="B3" s="311"/>
      <c r="C3" s="357">
        <v>6.9444444444444441E-3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9"/>
      <c r="AC3" s="7"/>
      <c r="AD3" s="7"/>
      <c r="AE3" s="7"/>
      <c r="AF3" s="7"/>
      <c r="AG3" s="8"/>
      <c r="AH3" s="9"/>
      <c r="AI3" s="7"/>
      <c r="AJ3" s="7"/>
      <c r="AK3" s="7"/>
      <c r="AL3" s="7"/>
      <c r="AM3" s="8"/>
      <c r="AN3" s="10" t="s">
        <v>3</v>
      </c>
      <c r="AO3" s="11"/>
      <c r="AP3" s="11"/>
      <c r="AQ3" s="12"/>
    </row>
    <row r="4" spans="2:43" ht="24" customHeight="1" thickBot="1" x14ac:dyDescent="0.3">
      <c r="B4" s="311"/>
      <c r="C4" s="358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9" t="s">
        <v>43</v>
      </c>
      <c r="W4" s="7"/>
      <c r="X4" s="7"/>
      <c r="Y4" s="7"/>
      <c r="Z4" s="7"/>
      <c r="AA4" s="7"/>
      <c r="AB4" s="9" t="s">
        <v>57</v>
      </c>
      <c r="AC4" s="7"/>
      <c r="AD4" s="7"/>
      <c r="AE4" s="7"/>
      <c r="AF4" s="7"/>
      <c r="AG4" s="8"/>
      <c r="AH4" s="7" t="s">
        <v>58</v>
      </c>
      <c r="AI4" s="7"/>
      <c r="AJ4" s="7"/>
      <c r="AK4" s="7"/>
      <c r="AL4" s="7"/>
      <c r="AM4" s="8"/>
      <c r="AN4" s="6" t="str">
        <f>CONCATENATE(COUNT(AN6:AN21,AP6:AP21)," VIAGENS")</f>
        <v>32 VIAGENS</v>
      </c>
      <c r="AO4" s="7"/>
      <c r="AP4" s="7"/>
      <c r="AQ4" s="8"/>
    </row>
    <row r="5" spans="2:43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3" t="s">
        <v>8</v>
      </c>
      <c r="AC5" s="14" t="s">
        <v>9</v>
      </c>
      <c r="AD5" s="15" t="s">
        <v>10</v>
      </c>
      <c r="AE5" s="14" t="s">
        <v>11</v>
      </c>
      <c r="AF5" s="15" t="s">
        <v>12</v>
      </c>
      <c r="AG5" s="14" t="s">
        <v>13</v>
      </c>
      <c r="AH5" s="15" t="s">
        <v>8</v>
      </c>
      <c r="AI5" s="14" t="s">
        <v>9</v>
      </c>
      <c r="AJ5" s="15" t="s">
        <v>10</v>
      </c>
      <c r="AK5" s="14" t="s">
        <v>11</v>
      </c>
      <c r="AL5" s="15" t="s">
        <v>12</v>
      </c>
      <c r="AM5" s="14" t="s">
        <v>13</v>
      </c>
      <c r="AN5" s="16" t="s">
        <v>14</v>
      </c>
      <c r="AO5" s="17" t="s">
        <v>15</v>
      </c>
      <c r="AP5" s="16" t="s">
        <v>14</v>
      </c>
      <c r="AQ5" s="17" t="s">
        <v>15</v>
      </c>
    </row>
    <row r="6" spans="2:43" ht="24" customHeight="1" thickBot="1" x14ac:dyDescent="0.3">
      <c r="B6" s="311"/>
      <c r="C6" s="314"/>
      <c r="D6" s="18">
        <v>0.2013888888888889</v>
      </c>
      <c r="E6" s="19">
        <v>0.2409722222222222</v>
      </c>
      <c r="F6" s="19">
        <v>0.28541666666666671</v>
      </c>
      <c r="G6" s="20">
        <f>F6-D6</f>
        <v>8.4027777777777812E-2</v>
      </c>
      <c r="H6" s="55">
        <v>126</v>
      </c>
      <c r="I6" s="22">
        <v>1</v>
      </c>
      <c r="J6" s="18">
        <v>0.21875</v>
      </c>
      <c r="K6" s="19">
        <v>0.25972222222222219</v>
      </c>
      <c r="L6" s="19">
        <v>0.30625000000000002</v>
      </c>
      <c r="M6" s="20">
        <f>L6-J6</f>
        <v>8.7500000000000022E-2</v>
      </c>
      <c r="N6" s="55">
        <v>126</v>
      </c>
      <c r="O6" s="22">
        <v>2</v>
      </c>
      <c r="P6" s="18">
        <v>0.2361111111111111</v>
      </c>
      <c r="Q6" s="19">
        <v>0.28263888888888888</v>
      </c>
      <c r="R6" s="19">
        <v>0.33055555555555549</v>
      </c>
      <c r="S6" s="20">
        <f>R6-P6</f>
        <v>9.4444444444444386E-2</v>
      </c>
      <c r="T6" s="55">
        <v>126</v>
      </c>
      <c r="U6" s="22">
        <v>3</v>
      </c>
      <c r="V6" s="18">
        <v>0.25347222222222221</v>
      </c>
      <c r="W6" s="19">
        <v>0.30138888888888887</v>
      </c>
      <c r="X6" s="19">
        <v>0.35208333333333341</v>
      </c>
      <c r="Y6" s="20">
        <f>X6-V6</f>
        <v>9.8611111111111205E-2</v>
      </c>
      <c r="Z6" s="55">
        <v>126</v>
      </c>
      <c r="AA6" s="22">
        <v>4</v>
      </c>
      <c r="AB6" s="18">
        <v>0.27777777777777779</v>
      </c>
      <c r="AC6" s="19">
        <v>0.32430555555555562</v>
      </c>
      <c r="AD6" s="19">
        <v>0.37361111111111112</v>
      </c>
      <c r="AE6" s="20">
        <f>AD6-AB6</f>
        <v>9.5833333333333326E-2</v>
      </c>
      <c r="AF6" s="55">
        <v>126</v>
      </c>
      <c r="AG6" s="22">
        <v>5</v>
      </c>
      <c r="AH6" s="18">
        <v>0.30208333333333331</v>
      </c>
      <c r="AI6" s="19">
        <v>0.35</v>
      </c>
      <c r="AJ6" s="19">
        <v>0.39513888888888887</v>
      </c>
      <c r="AK6" s="20">
        <f>AJ6-AH6</f>
        <v>9.3055555555555558E-2</v>
      </c>
      <c r="AL6" s="55">
        <v>126</v>
      </c>
      <c r="AM6" s="22">
        <v>6</v>
      </c>
      <c r="AN6" s="23">
        <v>0.2013888888888889</v>
      </c>
      <c r="AO6" s="24"/>
      <c r="AP6" s="25">
        <v>0.62361111111111112</v>
      </c>
      <c r="AQ6" s="26">
        <f>AP6-AN21</f>
        <v>2.9861111111111116E-2</v>
      </c>
    </row>
    <row r="7" spans="2:43" ht="24" customHeight="1" thickBot="1" x14ac:dyDescent="0.3">
      <c r="B7" s="311"/>
      <c r="C7" s="314"/>
      <c r="D7" s="31">
        <f>IF(F6="",E6,F6)</f>
        <v>0.28541666666666671</v>
      </c>
      <c r="E7" s="32"/>
      <c r="F7" s="31">
        <f>IF(D8="",E8,D8)</f>
        <v>0.33333333333333331</v>
      </c>
      <c r="G7" s="32"/>
      <c r="H7" s="32">
        <f>F7-D7</f>
        <v>4.7916666666666607E-2</v>
      </c>
      <c r="I7" s="32"/>
      <c r="J7" s="31">
        <f>IF(L6="",K6,L6)</f>
        <v>0.30625000000000002</v>
      </c>
      <c r="K7" s="32"/>
      <c r="L7" s="31">
        <f>IF(J8="",K8,J8)</f>
        <v>0.3611111111111111</v>
      </c>
      <c r="M7" s="32"/>
      <c r="N7" s="32">
        <f>L7-J7</f>
        <v>5.4861111111111083E-2</v>
      </c>
      <c r="O7" s="32"/>
      <c r="P7" s="31">
        <f>IF(R6="",Q6,R6)</f>
        <v>0.33055555555555549</v>
      </c>
      <c r="Q7" s="32"/>
      <c r="R7" s="31">
        <f>IF(P8="",Q8,P8)</f>
        <v>0.3888888888888889</v>
      </c>
      <c r="S7" s="32"/>
      <c r="T7" s="32">
        <f>R7-P7</f>
        <v>5.8333333333333404E-2</v>
      </c>
      <c r="U7" s="32"/>
      <c r="V7" s="31">
        <f>IF(X6="",W6,X6)</f>
        <v>0.35208333333333341</v>
      </c>
      <c r="W7" s="32"/>
      <c r="X7" s="31">
        <f>IF(V8="",W8,V8)</f>
        <v>0.41666666666666669</v>
      </c>
      <c r="Y7" s="32"/>
      <c r="Z7" s="32">
        <f>X7-V7</f>
        <v>6.458333333333327E-2</v>
      </c>
      <c r="AA7" s="32"/>
      <c r="AB7" s="31">
        <f>IF(AD6="",AC6,AD6)</f>
        <v>0.37361111111111112</v>
      </c>
      <c r="AC7" s="32"/>
      <c r="AD7" s="31">
        <f>IF(AB8="",AC8,AB8)</f>
        <v>0.44444444444444442</v>
      </c>
      <c r="AE7" s="32"/>
      <c r="AF7" s="32">
        <f>AD7-AB7</f>
        <v>7.0833333333333304E-2</v>
      </c>
      <c r="AG7" s="32"/>
      <c r="AH7" s="31">
        <f>IF(AJ6="",AI6,AJ6)</f>
        <v>0.39513888888888887</v>
      </c>
      <c r="AI7" s="32"/>
      <c r="AJ7" s="31">
        <f>IF(AH8="",AI8,AH8)</f>
        <v>0.47222222222222221</v>
      </c>
      <c r="AK7" s="32"/>
      <c r="AL7" s="32">
        <f>AJ7-AH7</f>
        <v>7.7083333333333337E-2</v>
      </c>
      <c r="AM7" s="32"/>
      <c r="AN7" s="27">
        <v>0.21875</v>
      </c>
      <c r="AO7" s="28">
        <f t="shared" ref="AO7:AO21" si="0">AN7-AN6</f>
        <v>1.7361111111111105E-2</v>
      </c>
      <c r="AP7" s="29">
        <v>0.64444444444444449</v>
      </c>
      <c r="AQ7" s="30">
        <f t="shared" ref="AQ7:AQ21" si="1">AP7-AP6</f>
        <v>2.083333333333337E-2</v>
      </c>
    </row>
    <row r="8" spans="2:43" ht="24" customHeight="1" x14ac:dyDescent="0.25">
      <c r="B8" s="311"/>
      <c r="C8" s="314"/>
      <c r="D8" s="18">
        <v>0.33333333333333331</v>
      </c>
      <c r="E8" s="19">
        <v>0.38055555555555548</v>
      </c>
      <c r="F8" s="19">
        <v>0.4284722222222222</v>
      </c>
      <c r="G8" s="20">
        <f>F8-D8</f>
        <v>9.5138888888888884E-2</v>
      </c>
      <c r="H8" s="55">
        <v>126</v>
      </c>
      <c r="I8" s="22">
        <v>1</v>
      </c>
      <c r="J8" s="18">
        <v>0.3611111111111111</v>
      </c>
      <c r="K8" s="19">
        <v>0.40972222222222221</v>
      </c>
      <c r="L8" s="19">
        <v>0.4597222222222222</v>
      </c>
      <c r="M8" s="20">
        <f>L8-J8</f>
        <v>9.8611111111111094E-2</v>
      </c>
      <c r="N8" s="55">
        <v>126</v>
      </c>
      <c r="O8" s="22">
        <v>2</v>
      </c>
      <c r="P8" s="18">
        <v>0.3888888888888889</v>
      </c>
      <c r="Q8" s="19">
        <v>0.43680555555555561</v>
      </c>
      <c r="R8" s="19">
        <v>0.47986111111111113</v>
      </c>
      <c r="S8" s="20">
        <f>R8-P8</f>
        <v>9.0972222222222232E-2</v>
      </c>
      <c r="T8" s="55">
        <v>126</v>
      </c>
      <c r="U8" s="22">
        <v>3</v>
      </c>
      <c r="V8" s="18">
        <v>0.41666666666666669</v>
      </c>
      <c r="W8" s="19">
        <v>0.46736111111111112</v>
      </c>
      <c r="X8" s="19">
        <v>0.51527777777777772</v>
      </c>
      <c r="Y8" s="20">
        <f>X8-V8</f>
        <v>9.8611111111111038E-2</v>
      </c>
      <c r="Z8" s="55">
        <v>126</v>
      </c>
      <c r="AA8" s="22">
        <v>4</v>
      </c>
      <c r="AB8" s="18">
        <v>0.44444444444444442</v>
      </c>
      <c r="AC8" s="19">
        <v>0.48472222222222222</v>
      </c>
      <c r="AD8" s="19">
        <v>0.53263888888888888</v>
      </c>
      <c r="AE8" s="20">
        <f>AD8-AB8</f>
        <v>8.8194444444444464E-2</v>
      </c>
      <c r="AF8" s="55">
        <v>126</v>
      </c>
      <c r="AG8" s="22">
        <v>5</v>
      </c>
      <c r="AH8" s="18">
        <v>0.47222222222222221</v>
      </c>
      <c r="AI8" s="19">
        <v>0.51458333333333328</v>
      </c>
      <c r="AJ8" s="19">
        <v>0.56319444444444444</v>
      </c>
      <c r="AK8" s="20">
        <f>AJ8-AH8</f>
        <v>9.0972222222222232E-2</v>
      </c>
      <c r="AL8" s="55">
        <v>126</v>
      </c>
      <c r="AM8" s="22">
        <v>6</v>
      </c>
      <c r="AN8" s="27">
        <v>0.2361111111111111</v>
      </c>
      <c r="AO8" s="28">
        <f t="shared" si="0"/>
        <v>1.7361111111111105E-2</v>
      </c>
      <c r="AP8" s="29">
        <v>0.66527777777777775</v>
      </c>
      <c r="AQ8" s="30">
        <f t="shared" si="1"/>
        <v>2.0833333333333259E-2</v>
      </c>
    </row>
    <row r="9" spans="2:43" ht="24" customHeight="1" thickBot="1" x14ac:dyDescent="0.3">
      <c r="B9" s="311"/>
      <c r="C9" s="314"/>
      <c r="D9" s="18"/>
      <c r="E9" s="19"/>
      <c r="F9" s="19"/>
      <c r="G9" s="20"/>
      <c r="H9" s="55"/>
      <c r="I9" s="22"/>
      <c r="J9" s="18"/>
      <c r="K9" s="19"/>
      <c r="L9" s="19"/>
      <c r="M9" s="20"/>
      <c r="N9" s="55"/>
      <c r="O9" s="22"/>
      <c r="P9" s="18"/>
      <c r="Q9" s="19"/>
      <c r="R9" s="19"/>
      <c r="S9" s="20"/>
      <c r="T9" s="55"/>
      <c r="U9" s="22"/>
      <c r="V9" s="18"/>
      <c r="W9" s="19"/>
      <c r="X9" s="19"/>
      <c r="Y9" s="20"/>
      <c r="Z9" s="55"/>
      <c r="AA9" s="22"/>
      <c r="AB9" s="18">
        <v>0.53819444444444442</v>
      </c>
      <c r="AC9" s="19">
        <v>0.5805555555555556</v>
      </c>
      <c r="AD9" s="19">
        <v>0.62569444444444444</v>
      </c>
      <c r="AE9" s="20">
        <f>AD9-AB9</f>
        <v>8.7500000000000022E-2</v>
      </c>
      <c r="AF9" s="55">
        <v>126</v>
      </c>
      <c r="AG9" s="22">
        <v>5</v>
      </c>
      <c r="AH9" s="18">
        <v>0.57291666666666663</v>
      </c>
      <c r="AI9" s="19">
        <v>0.61527777777777781</v>
      </c>
      <c r="AJ9" s="19">
        <v>0.65694444444444444</v>
      </c>
      <c r="AK9" s="20">
        <f>AJ9-AH9</f>
        <v>8.4027777777777812E-2</v>
      </c>
      <c r="AL9" s="55">
        <v>126</v>
      </c>
      <c r="AM9" s="22">
        <v>6</v>
      </c>
      <c r="AN9" s="27">
        <v>0.25347222222222221</v>
      </c>
      <c r="AO9" s="28">
        <f t="shared" si="0"/>
        <v>1.7361111111111105E-2</v>
      </c>
      <c r="AP9" s="29">
        <v>0.68958333333333333</v>
      </c>
      <c r="AQ9" s="30">
        <f t="shared" si="1"/>
        <v>2.430555555555558E-2</v>
      </c>
    </row>
    <row r="10" spans="2:43" ht="24" customHeight="1" thickBot="1" x14ac:dyDescent="0.3">
      <c r="B10" s="311"/>
      <c r="C10" s="315"/>
      <c r="D10" s="320" t="s">
        <v>59</v>
      </c>
      <c r="E10" s="321"/>
      <c r="F10" s="321"/>
      <c r="G10" s="321"/>
      <c r="H10" s="321"/>
      <c r="I10" s="322"/>
      <c r="J10" s="320" t="s">
        <v>59</v>
      </c>
      <c r="K10" s="321"/>
      <c r="L10" s="321"/>
      <c r="M10" s="321"/>
      <c r="N10" s="321"/>
      <c r="O10" s="322"/>
      <c r="P10" s="320" t="s">
        <v>59</v>
      </c>
      <c r="Q10" s="321"/>
      <c r="R10" s="321"/>
      <c r="S10" s="321"/>
      <c r="T10" s="321"/>
      <c r="U10" s="322"/>
      <c r="V10" s="320" t="s">
        <v>59</v>
      </c>
      <c r="W10" s="321"/>
      <c r="X10" s="321"/>
      <c r="Y10" s="321"/>
      <c r="Z10" s="321"/>
      <c r="AA10" s="322"/>
      <c r="AB10" s="320" t="s">
        <v>59</v>
      </c>
      <c r="AC10" s="321"/>
      <c r="AD10" s="321"/>
      <c r="AE10" s="321"/>
      <c r="AF10" s="321"/>
      <c r="AG10" s="322"/>
      <c r="AH10" s="320" t="s">
        <v>59</v>
      </c>
      <c r="AI10" s="321"/>
      <c r="AJ10" s="321"/>
      <c r="AK10" s="321"/>
      <c r="AL10" s="321"/>
      <c r="AM10" s="322"/>
      <c r="AN10" s="27">
        <v>0.27777777777777779</v>
      </c>
      <c r="AO10" s="28">
        <f t="shared" si="0"/>
        <v>2.430555555555558E-2</v>
      </c>
      <c r="AP10" s="29">
        <v>0.70694444444444449</v>
      </c>
      <c r="AQ10" s="30">
        <f t="shared" si="1"/>
        <v>1.736111111111116E-2</v>
      </c>
    </row>
    <row r="11" spans="2:43" ht="24" customHeight="1" thickBot="1" x14ac:dyDescent="0.3">
      <c r="B11" s="311"/>
      <c r="C11" s="36" t="s">
        <v>17</v>
      </c>
      <c r="D11" s="37">
        <f>MAX(E6:F9)-IF(D6="",E6,D6)-MIN(H6:H9)+$C3</f>
        <v>0.18611111111111114</v>
      </c>
      <c r="E11" s="38"/>
      <c r="F11" s="38"/>
      <c r="G11" s="39"/>
      <c r="H11" s="40">
        <f ca="1">OFFSET(H5,MATCH(MIN(H6:H9),H6:H9,0),-4)-IF(D6="",E6,D6)+$C3</f>
        <v>9.097222222222226E-2</v>
      </c>
      <c r="I11" s="41"/>
      <c r="J11" s="37">
        <f>MAX(K6:L9)-IF(J6="",K6,J6)-MIN(N6:N9)+$C3</f>
        <v>0.19305555555555556</v>
      </c>
      <c r="K11" s="38"/>
      <c r="L11" s="38"/>
      <c r="M11" s="39"/>
      <c r="N11" s="40">
        <f ca="1">OFFSET(N5,MATCH(MIN(N6:N9),N6:N9,0),-4)-IF(J6="",K6,J6)+$C3</f>
        <v>9.444444444444447E-2</v>
      </c>
      <c r="O11" s="41"/>
      <c r="P11" s="37">
        <f>MAX(Q6:R9)-IF(P6="",Q6,P6)-MIN(T6:T9)+$C3</f>
        <v>0.19236111111111107</v>
      </c>
      <c r="Q11" s="38"/>
      <c r="R11" s="38"/>
      <c r="S11" s="39"/>
      <c r="T11" s="40">
        <f ca="1">OFFSET(T5,MATCH(MIN(T6:T9),T6:T9,0),-4)-IF(P6="",Q6,P6)+$C3</f>
        <v>0.10138888888888883</v>
      </c>
      <c r="U11" s="41"/>
      <c r="V11" s="37">
        <f>MAX(W6:X9)-IF(V6="",W6,V6)-MIN(Z6:Z9)+$C3</f>
        <v>0.20416666666666669</v>
      </c>
      <c r="W11" s="38"/>
      <c r="X11" s="38"/>
      <c r="Y11" s="39"/>
      <c r="Z11" s="40">
        <f ca="1">OFFSET(Z5,MATCH(MIN(Z6:Z9),Z6:Z9,0),-4)-IF(V6="",W6,V6)+$C3</f>
        <v>0.10555555555555565</v>
      </c>
      <c r="AA11" s="41"/>
      <c r="AB11" s="37">
        <f>MAX(AC6:AD9)-IF(AB6="",AC6,AB6)-MIN(AF6:AF9)+$C3</f>
        <v>0.28402777777777777</v>
      </c>
      <c r="AC11" s="38"/>
      <c r="AD11" s="38"/>
      <c r="AE11" s="39"/>
      <c r="AF11" s="40">
        <f ca="1">OFFSET(AF5,MATCH(MIN(AF6:AF9),AF6:AF9,0),-4)-IF(AB6="",AC6,AB6)+$C3</f>
        <v>0.10277777777777777</v>
      </c>
      <c r="AG11" s="41"/>
      <c r="AH11" s="37">
        <f>MAX(AI6:AJ9)-IF(AH6="",AI6,AH6)-MIN(AL6:AL9)+$C3</f>
        <v>0.28472222222222221</v>
      </c>
      <c r="AI11" s="38"/>
      <c r="AJ11" s="38"/>
      <c r="AK11" s="39"/>
      <c r="AL11" s="40">
        <f ca="1">OFFSET(AL5,MATCH(MIN(AL6:AL9),AL6:AL9,0),-4)-IF(AH6="",AI6,AH6)+$C3</f>
        <v>0.1</v>
      </c>
      <c r="AM11" s="42"/>
      <c r="AN11" s="27">
        <v>0.30208333333333331</v>
      </c>
      <c r="AO11" s="28">
        <f t="shared" si="0"/>
        <v>2.4305555555555525E-2</v>
      </c>
      <c r="AP11" s="29">
        <v>0.72777777777777775</v>
      </c>
      <c r="AQ11" s="30">
        <f t="shared" si="1"/>
        <v>2.0833333333333259E-2</v>
      </c>
    </row>
    <row r="12" spans="2:43" ht="24" customHeight="1" thickBot="1" x14ac:dyDescent="0.3">
      <c r="B12" s="311"/>
      <c r="C12" s="357">
        <v>6.9444444444444441E-3</v>
      </c>
      <c r="D12" s="9" t="s">
        <v>18</v>
      </c>
      <c r="E12" s="7"/>
      <c r="F12" s="7"/>
      <c r="G12" s="7"/>
      <c r="H12" s="7"/>
      <c r="I12" s="8"/>
      <c r="J12" s="9"/>
      <c r="K12" s="7"/>
      <c r="L12" s="7"/>
      <c r="M12" s="7"/>
      <c r="N12" s="7"/>
      <c r="O12" s="8"/>
      <c r="P12" s="9"/>
      <c r="Q12" s="7"/>
      <c r="R12" s="7"/>
      <c r="S12" s="7"/>
      <c r="T12" s="7"/>
      <c r="U12" s="8"/>
      <c r="V12" s="9"/>
      <c r="W12" s="7"/>
      <c r="X12" s="7"/>
      <c r="Y12" s="7"/>
      <c r="Z12" s="7"/>
      <c r="AA12" s="8"/>
      <c r="AB12" s="9"/>
      <c r="AC12" s="7"/>
      <c r="AD12" s="7"/>
      <c r="AE12" s="7"/>
      <c r="AF12" s="7"/>
      <c r="AG12" s="8"/>
      <c r="AH12" s="9"/>
      <c r="AI12" s="7"/>
      <c r="AJ12" s="7"/>
      <c r="AK12" s="7"/>
      <c r="AL12" s="7"/>
      <c r="AM12" s="7"/>
      <c r="AN12" s="27">
        <v>0.33333333333333331</v>
      </c>
      <c r="AO12" s="28">
        <f t="shared" si="0"/>
        <v>3.125E-2</v>
      </c>
      <c r="AP12" s="29">
        <v>0.74861111111111112</v>
      </c>
      <c r="AQ12" s="30">
        <f t="shared" si="1"/>
        <v>2.083333333333337E-2</v>
      </c>
    </row>
    <row r="13" spans="2:43" ht="24" customHeight="1" thickBot="1" x14ac:dyDescent="0.3">
      <c r="B13" s="311"/>
      <c r="C13" s="358"/>
      <c r="D13" s="9" t="s">
        <v>19</v>
      </c>
      <c r="E13" s="7"/>
      <c r="F13" s="7"/>
      <c r="G13" s="7"/>
      <c r="H13" s="7"/>
      <c r="I13" s="8"/>
      <c r="J13" s="9" t="s">
        <v>20</v>
      </c>
      <c r="K13" s="7"/>
      <c r="L13" s="7"/>
      <c r="M13" s="7"/>
      <c r="N13" s="7"/>
      <c r="O13" s="8"/>
      <c r="P13" s="9" t="s">
        <v>21</v>
      </c>
      <c r="Q13" s="7"/>
      <c r="R13" s="7"/>
      <c r="S13" s="7"/>
      <c r="T13" s="7"/>
      <c r="U13" s="8"/>
      <c r="V13" s="9" t="s">
        <v>45</v>
      </c>
      <c r="W13" s="7"/>
      <c r="X13" s="7"/>
      <c r="Y13" s="7"/>
      <c r="Z13" s="7"/>
      <c r="AA13" s="8"/>
      <c r="AB13" s="9" t="s">
        <v>60</v>
      </c>
      <c r="AC13" s="7"/>
      <c r="AD13" s="7"/>
      <c r="AE13" s="7"/>
      <c r="AF13" s="7"/>
      <c r="AG13" s="8"/>
      <c r="AH13" s="9" t="s">
        <v>61</v>
      </c>
      <c r="AI13" s="7"/>
      <c r="AJ13" s="7"/>
      <c r="AK13" s="7"/>
      <c r="AL13" s="7"/>
      <c r="AM13" s="7"/>
      <c r="AN13" s="27">
        <v>0.3611111111111111</v>
      </c>
      <c r="AO13" s="28">
        <f t="shared" si="0"/>
        <v>2.777777777777779E-2</v>
      </c>
      <c r="AP13" s="29">
        <v>0.76944444444444449</v>
      </c>
      <c r="AQ13" s="30">
        <f t="shared" si="1"/>
        <v>2.083333333333337E-2</v>
      </c>
    </row>
    <row r="14" spans="2:43" ht="24" customHeight="1" thickBot="1" x14ac:dyDescent="0.3">
      <c r="B14" s="311"/>
      <c r="C14" s="302" t="s">
        <v>7</v>
      </c>
      <c r="D14" s="13" t="s">
        <v>8</v>
      </c>
      <c r="E14" s="14" t="s">
        <v>9</v>
      </c>
      <c r="F14" s="15" t="s">
        <v>10</v>
      </c>
      <c r="G14" s="14" t="s">
        <v>11</v>
      </c>
      <c r="H14" s="15" t="s">
        <v>12</v>
      </c>
      <c r="I14" s="14" t="s">
        <v>13</v>
      </c>
      <c r="J14" s="15" t="s">
        <v>8</v>
      </c>
      <c r="K14" s="14" t="s">
        <v>9</v>
      </c>
      <c r="L14" s="15" t="s">
        <v>10</v>
      </c>
      <c r="M14" s="14" t="s">
        <v>11</v>
      </c>
      <c r="N14" s="15" t="s">
        <v>12</v>
      </c>
      <c r="O14" s="14" t="s">
        <v>13</v>
      </c>
      <c r="P14" s="13" t="s">
        <v>8</v>
      </c>
      <c r="Q14" s="14" t="s">
        <v>9</v>
      </c>
      <c r="R14" s="15" t="s">
        <v>10</v>
      </c>
      <c r="S14" s="14" t="s">
        <v>11</v>
      </c>
      <c r="T14" s="15" t="s">
        <v>12</v>
      </c>
      <c r="U14" s="14" t="s">
        <v>13</v>
      </c>
      <c r="V14" s="13" t="s">
        <v>8</v>
      </c>
      <c r="W14" s="14" t="s">
        <v>9</v>
      </c>
      <c r="X14" s="15" t="s">
        <v>10</v>
      </c>
      <c r="Y14" s="14" t="s">
        <v>11</v>
      </c>
      <c r="Z14" s="15" t="s">
        <v>12</v>
      </c>
      <c r="AA14" s="14" t="s">
        <v>13</v>
      </c>
      <c r="AB14" s="13" t="s">
        <v>8</v>
      </c>
      <c r="AC14" s="14" t="s">
        <v>9</v>
      </c>
      <c r="AD14" s="15" t="s">
        <v>10</v>
      </c>
      <c r="AE14" s="14" t="s">
        <v>11</v>
      </c>
      <c r="AF14" s="15" t="s">
        <v>12</v>
      </c>
      <c r="AG14" s="14" t="s">
        <v>13</v>
      </c>
      <c r="AH14" s="13" t="s">
        <v>8</v>
      </c>
      <c r="AI14" s="14" t="s">
        <v>9</v>
      </c>
      <c r="AJ14" s="15" t="s">
        <v>10</v>
      </c>
      <c r="AK14" s="14" t="s">
        <v>11</v>
      </c>
      <c r="AL14" s="15" t="s">
        <v>12</v>
      </c>
      <c r="AM14" s="13" t="s">
        <v>13</v>
      </c>
      <c r="AN14" s="27">
        <v>0.3888888888888889</v>
      </c>
      <c r="AO14" s="28">
        <f t="shared" si="0"/>
        <v>2.777777777777779E-2</v>
      </c>
      <c r="AP14" s="29">
        <v>0.80069444444444449</v>
      </c>
      <c r="AQ14" s="30">
        <f t="shared" si="1"/>
        <v>3.125E-2</v>
      </c>
    </row>
    <row r="15" spans="2:43" ht="24" customHeight="1" thickBot="1" x14ac:dyDescent="0.3">
      <c r="B15" s="311"/>
      <c r="C15" s="303"/>
      <c r="D15" s="23">
        <v>0.50347222222222221</v>
      </c>
      <c r="E15" s="25">
        <v>0.54861111111111116</v>
      </c>
      <c r="F15" s="25">
        <v>0.59166666666666667</v>
      </c>
      <c r="G15" s="20">
        <f>F15-D15</f>
        <v>8.8194444444444464E-2</v>
      </c>
      <c r="H15" s="56">
        <v>126</v>
      </c>
      <c r="I15" s="48">
        <v>1</v>
      </c>
      <c r="J15" s="23">
        <v>0.59375</v>
      </c>
      <c r="K15" s="25">
        <v>0.63541666666666663</v>
      </c>
      <c r="L15" s="25">
        <v>0.68263888888888891</v>
      </c>
      <c r="M15" s="20">
        <f>L15-J15</f>
        <v>8.8888888888888906E-2</v>
      </c>
      <c r="N15" s="56">
        <v>126</v>
      </c>
      <c r="O15" s="48">
        <v>2</v>
      </c>
      <c r="P15" s="23">
        <v>0.62361111111111112</v>
      </c>
      <c r="Q15" s="25">
        <v>0.66805555555555551</v>
      </c>
      <c r="R15" s="25">
        <v>0.71666666666666667</v>
      </c>
      <c r="S15" s="20">
        <f>R15-P15</f>
        <v>9.3055555555555558E-2</v>
      </c>
      <c r="T15" s="56">
        <v>126</v>
      </c>
      <c r="U15" s="48">
        <v>3</v>
      </c>
      <c r="V15" s="23">
        <v>0.66527777777777775</v>
      </c>
      <c r="W15" s="25">
        <v>0.70833333333333337</v>
      </c>
      <c r="X15" s="25">
        <v>0.75624999999999998</v>
      </c>
      <c r="Y15" s="20">
        <f>X15-V15</f>
        <v>9.0972222222222232E-2</v>
      </c>
      <c r="Z15" s="56">
        <v>126</v>
      </c>
      <c r="AA15" s="48">
        <v>4</v>
      </c>
      <c r="AB15" s="23">
        <v>0.70694444444444449</v>
      </c>
      <c r="AC15" s="25">
        <v>0.75694444444444442</v>
      </c>
      <c r="AD15" s="25">
        <v>0.80694444444444446</v>
      </c>
      <c r="AE15" s="20">
        <f>AD15-AB15</f>
        <v>9.9999999999999978E-2</v>
      </c>
      <c r="AF15" s="56">
        <v>126</v>
      </c>
      <c r="AG15" s="48">
        <v>5</v>
      </c>
      <c r="AH15" s="23">
        <v>0.80069444444444449</v>
      </c>
      <c r="AI15" s="25">
        <v>0.85277777777777775</v>
      </c>
      <c r="AJ15" s="25">
        <v>0.89652777777777781</v>
      </c>
      <c r="AK15" s="20">
        <f>AJ15-AH15</f>
        <v>9.5833333333333326E-2</v>
      </c>
      <c r="AL15" s="56">
        <v>126</v>
      </c>
      <c r="AM15" s="57">
        <v>6</v>
      </c>
      <c r="AN15" s="27">
        <v>0.41666666666666669</v>
      </c>
      <c r="AO15" s="28">
        <f t="shared" si="0"/>
        <v>2.777777777777779E-2</v>
      </c>
      <c r="AP15" s="29">
        <v>0.83194444444444449</v>
      </c>
      <c r="AQ15" s="30">
        <f t="shared" si="1"/>
        <v>3.125E-2</v>
      </c>
    </row>
    <row r="16" spans="2:43" ht="24" customHeight="1" thickBot="1" x14ac:dyDescent="0.3">
      <c r="B16" s="311"/>
      <c r="C16" s="303"/>
      <c r="D16" s="31">
        <f>IF(F15="",E15,F15)</f>
        <v>0.59166666666666667</v>
      </c>
      <c r="E16" s="32"/>
      <c r="F16" s="31">
        <f>IF(D17="",E17,D17)</f>
        <v>0.64444444444444449</v>
      </c>
      <c r="G16" s="32"/>
      <c r="H16" s="32">
        <f>F16-D16</f>
        <v>5.2777777777777812E-2</v>
      </c>
      <c r="I16" s="32"/>
      <c r="J16" s="27">
        <v>0.68958333333333333</v>
      </c>
      <c r="K16" s="29">
        <v>0.73888888888888893</v>
      </c>
      <c r="L16" s="29">
        <v>0.78611111111111109</v>
      </c>
      <c r="M16" s="20">
        <f>L16-J16</f>
        <v>9.6527777777777768E-2</v>
      </c>
      <c r="N16" s="58">
        <v>126</v>
      </c>
      <c r="O16" s="50">
        <v>2</v>
      </c>
      <c r="P16" s="27">
        <v>0.72777777777777775</v>
      </c>
      <c r="Q16" s="29">
        <v>0.77847222222222223</v>
      </c>
      <c r="R16" s="29">
        <v>0.82916666666666672</v>
      </c>
      <c r="S16" s="20">
        <f>R16-P16</f>
        <v>0.10138888888888897</v>
      </c>
      <c r="T16" s="58">
        <v>126</v>
      </c>
      <c r="U16" s="50">
        <v>3</v>
      </c>
      <c r="V16" s="27">
        <v>0.76944444444444449</v>
      </c>
      <c r="W16" s="29">
        <v>0.82708333333333328</v>
      </c>
      <c r="X16" s="29">
        <v>0.87430555555555556</v>
      </c>
      <c r="Y16" s="20">
        <f>X16-V16</f>
        <v>0.10486111111111107</v>
      </c>
      <c r="Z16" s="58">
        <v>126</v>
      </c>
      <c r="AA16" s="50">
        <v>4</v>
      </c>
      <c r="AB16" s="27">
        <v>0.83194444444444449</v>
      </c>
      <c r="AC16" s="29">
        <v>0.87916666666666665</v>
      </c>
      <c r="AD16" s="29">
        <v>0.92569444444444449</v>
      </c>
      <c r="AE16" s="20">
        <f>AD16-AB16</f>
        <v>9.375E-2</v>
      </c>
      <c r="AF16" s="58">
        <v>126</v>
      </c>
      <c r="AG16" s="50">
        <v>5</v>
      </c>
      <c r="AH16" s="31">
        <f>IF(AJ15="",AI15,AJ15)</f>
        <v>0.89652777777777781</v>
      </c>
      <c r="AI16" s="32"/>
      <c r="AJ16" s="31">
        <f>IF(AH17="",AI17,AH17)</f>
        <v>0.9604166666666667</v>
      </c>
      <c r="AK16" s="32"/>
      <c r="AL16" s="32">
        <f>AJ16-AH16</f>
        <v>6.3888888888888884E-2</v>
      </c>
      <c r="AM16" s="32"/>
      <c r="AN16" s="27">
        <v>0.44444444444444442</v>
      </c>
      <c r="AO16" s="28">
        <f t="shared" si="0"/>
        <v>2.7777777777777735E-2</v>
      </c>
      <c r="AP16" s="29">
        <v>0.86319444444444449</v>
      </c>
      <c r="AQ16" s="30">
        <f t="shared" si="1"/>
        <v>3.125E-2</v>
      </c>
    </row>
    <row r="17" spans="2:43" ht="24" customHeight="1" thickBot="1" x14ac:dyDescent="0.3">
      <c r="B17" s="311"/>
      <c r="C17" s="303"/>
      <c r="D17" s="27">
        <v>0.64444444444444449</v>
      </c>
      <c r="E17" s="29">
        <v>0.69097222222222221</v>
      </c>
      <c r="F17" s="29">
        <v>0.74097222222222225</v>
      </c>
      <c r="G17" s="20">
        <f>F17-D17</f>
        <v>9.6527777777777768E-2</v>
      </c>
      <c r="H17" s="58">
        <v>126</v>
      </c>
      <c r="I17" s="50">
        <v>1</v>
      </c>
      <c r="J17" s="31">
        <f>IF(L16="",K16,L16)</f>
        <v>0.78611111111111109</v>
      </c>
      <c r="K17" s="32"/>
      <c r="L17" s="31">
        <f>IF(J18="",K18,J18)</f>
        <v>0.86319444444444449</v>
      </c>
      <c r="M17" s="32"/>
      <c r="N17" s="32">
        <f>L17-J17</f>
        <v>7.7083333333333393E-2</v>
      </c>
      <c r="O17" s="32"/>
      <c r="P17" s="31">
        <f>IF(R16="",Q16,R16)</f>
        <v>0.82916666666666672</v>
      </c>
      <c r="Q17" s="32"/>
      <c r="R17" s="31">
        <f>IF(P18="",Q18,P18)</f>
        <v>0.8979166666666667</v>
      </c>
      <c r="S17" s="32"/>
      <c r="T17" s="32">
        <f>R17-P17</f>
        <v>6.8749999999999978E-2</v>
      </c>
      <c r="U17" s="32"/>
      <c r="V17" s="31">
        <f>IF(X16="",W16,X16)</f>
        <v>0.87430555555555556</v>
      </c>
      <c r="W17" s="32"/>
      <c r="X17" s="31">
        <f>IF(V18="",W18,V18)</f>
        <v>0.93263888888888891</v>
      </c>
      <c r="Y17" s="32"/>
      <c r="Z17" s="32">
        <f>X17-V17</f>
        <v>5.8333333333333348E-2</v>
      </c>
      <c r="AA17" s="32"/>
      <c r="AB17" s="31">
        <f>IF(AD16="",AC16,AD16)</f>
        <v>0.92569444444444449</v>
      </c>
      <c r="AC17" s="32"/>
      <c r="AD17" s="31">
        <f>IF(AB18="",AC18,AB18)</f>
        <v>1.0006944444444446</v>
      </c>
      <c r="AE17" s="32"/>
      <c r="AF17" s="32">
        <f>AD17-AB17</f>
        <v>7.5000000000000067E-2</v>
      </c>
      <c r="AG17" s="32"/>
      <c r="AH17" s="27">
        <v>0.9604166666666667</v>
      </c>
      <c r="AI17" s="29">
        <v>1.0013888888888889</v>
      </c>
      <c r="AJ17" s="29">
        <v>1.0361111111111112</v>
      </c>
      <c r="AK17" s="20">
        <f>AJ17-AH17</f>
        <v>7.5694444444444509E-2</v>
      </c>
      <c r="AL17" s="58">
        <v>126</v>
      </c>
      <c r="AM17" s="64">
        <v>6</v>
      </c>
      <c r="AN17" s="27">
        <v>0.47222222222222221</v>
      </c>
      <c r="AO17" s="28">
        <f t="shared" si="0"/>
        <v>2.777777777777779E-2</v>
      </c>
      <c r="AP17" s="29">
        <v>0.8979166666666667</v>
      </c>
      <c r="AQ17" s="30">
        <f t="shared" si="1"/>
        <v>3.472222222222221E-2</v>
      </c>
    </row>
    <row r="18" spans="2:43" ht="24" customHeight="1" thickBot="1" x14ac:dyDescent="0.3">
      <c r="B18" s="311"/>
      <c r="C18" s="303"/>
      <c r="D18" s="27">
        <v>0.74861111111111112</v>
      </c>
      <c r="E18" s="29">
        <v>0.80694444444444446</v>
      </c>
      <c r="F18" s="29">
        <v>0.85763888888888884</v>
      </c>
      <c r="G18" s="20">
        <f>F18-D18</f>
        <v>0.10902777777777772</v>
      </c>
      <c r="H18" s="58">
        <v>126</v>
      </c>
      <c r="I18" s="50">
        <v>1</v>
      </c>
      <c r="J18" s="27">
        <v>0.86319444444444449</v>
      </c>
      <c r="K18" s="29">
        <v>0.90902777777777777</v>
      </c>
      <c r="L18" s="29">
        <v>0.94930555555555551</v>
      </c>
      <c r="M18" s="20">
        <f>L18-J18</f>
        <v>8.6111111111111027E-2</v>
      </c>
      <c r="N18" s="58">
        <v>126</v>
      </c>
      <c r="O18" s="50">
        <v>2</v>
      </c>
      <c r="P18" s="27">
        <v>0.8979166666666667</v>
      </c>
      <c r="Q18" s="29">
        <v>0.94374999999999998</v>
      </c>
      <c r="R18" s="29">
        <v>0.98611111111111116</v>
      </c>
      <c r="S18" s="20">
        <f>R18-P18</f>
        <v>8.8194444444444464E-2</v>
      </c>
      <c r="T18" s="58">
        <v>126</v>
      </c>
      <c r="U18" s="50">
        <v>3</v>
      </c>
      <c r="V18" s="27">
        <v>0.93263888888888891</v>
      </c>
      <c r="W18" s="29">
        <v>0.97152777777777777</v>
      </c>
      <c r="X18" s="29">
        <v>1.0062500000000001</v>
      </c>
      <c r="Y18" s="20">
        <f>X18-V18</f>
        <v>7.3611111111111183E-2</v>
      </c>
      <c r="Z18" s="58">
        <v>126</v>
      </c>
      <c r="AA18" s="50">
        <v>4</v>
      </c>
      <c r="AB18" s="27">
        <v>1.0006944444444446</v>
      </c>
      <c r="AC18" s="29">
        <v>1.0416666666666667</v>
      </c>
      <c r="AD18" s="29">
        <v>1.0687500000000001</v>
      </c>
      <c r="AE18" s="20">
        <f>AD18-AB18</f>
        <v>6.8055555555555536E-2</v>
      </c>
      <c r="AF18" s="58">
        <v>126</v>
      </c>
      <c r="AG18" s="50">
        <v>5</v>
      </c>
      <c r="AH18" s="27">
        <v>1.0416666666666667</v>
      </c>
      <c r="AI18" s="29">
        <v>1.0826388888888889</v>
      </c>
      <c r="AJ18" s="29">
        <v>1.1215277777777777</v>
      </c>
      <c r="AK18" s="20">
        <f>AJ18-AH18</f>
        <v>7.9861111111110938E-2</v>
      </c>
      <c r="AL18" s="58">
        <v>126</v>
      </c>
      <c r="AM18" s="64">
        <v>6</v>
      </c>
      <c r="AN18" s="27">
        <v>0.50347222222222221</v>
      </c>
      <c r="AO18" s="28">
        <f t="shared" si="0"/>
        <v>3.125E-2</v>
      </c>
      <c r="AP18" s="29">
        <v>0.93263888888888891</v>
      </c>
      <c r="AQ18" s="30">
        <f t="shared" si="1"/>
        <v>3.472222222222221E-2</v>
      </c>
    </row>
    <row r="19" spans="2:43" ht="24" customHeight="1" thickBot="1" x14ac:dyDescent="0.3">
      <c r="B19" s="311"/>
      <c r="C19" s="304"/>
      <c r="D19" s="320" t="s">
        <v>59</v>
      </c>
      <c r="E19" s="321"/>
      <c r="F19" s="321"/>
      <c r="G19" s="321"/>
      <c r="H19" s="321"/>
      <c r="I19" s="322"/>
      <c r="J19" s="320" t="s">
        <v>59</v>
      </c>
      <c r="K19" s="321"/>
      <c r="L19" s="321"/>
      <c r="M19" s="321"/>
      <c r="N19" s="321"/>
      <c r="O19" s="322"/>
      <c r="P19" s="320" t="s">
        <v>59</v>
      </c>
      <c r="Q19" s="321"/>
      <c r="R19" s="321"/>
      <c r="S19" s="321"/>
      <c r="T19" s="321"/>
      <c r="U19" s="322"/>
      <c r="V19" s="320" t="s">
        <v>59</v>
      </c>
      <c r="W19" s="321"/>
      <c r="X19" s="321"/>
      <c r="Y19" s="321"/>
      <c r="Z19" s="321"/>
      <c r="AA19" s="322"/>
      <c r="AB19" s="320" t="s">
        <v>59</v>
      </c>
      <c r="AC19" s="321"/>
      <c r="AD19" s="321"/>
      <c r="AE19" s="321"/>
      <c r="AF19" s="321"/>
      <c r="AG19" s="322"/>
      <c r="AH19" s="320" t="s">
        <v>59</v>
      </c>
      <c r="AI19" s="321"/>
      <c r="AJ19" s="321"/>
      <c r="AK19" s="321"/>
      <c r="AL19" s="321"/>
      <c r="AM19" s="322"/>
      <c r="AN19" s="27">
        <v>0.53819444444444442</v>
      </c>
      <c r="AO19" s="28">
        <f t="shared" si="0"/>
        <v>3.472222222222221E-2</v>
      </c>
      <c r="AP19" s="29">
        <v>0.9604166666666667</v>
      </c>
      <c r="AQ19" s="30">
        <f t="shared" si="1"/>
        <v>2.777777777777779E-2</v>
      </c>
    </row>
    <row r="20" spans="2:43" ht="24" customHeight="1" thickBot="1" x14ac:dyDescent="0.3">
      <c r="B20" s="312"/>
      <c r="C20" s="36" t="s">
        <v>17</v>
      </c>
      <c r="D20" s="37">
        <f>MAX(E15:F18)-IF(D15="",E15,D15)-MIN(H15:H18)+$C12</f>
        <v>0.30833333333333324</v>
      </c>
      <c r="E20" s="51"/>
      <c r="F20" s="51"/>
      <c r="G20" s="52"/>
      <c r="H20" s="53">
        <f ca="1">OFFSET(H14,MATCH(MIN(H15:H18),H15:H18,0),-4)-IF(D15="",E15,D15)</f>
        <v>8.8194444444444464E-2</v>
      </c>
      <c r="I20" s="54"/>
      <c r="J20" s="37">
        <f>MAX(K15:L18)-IF(J15="",K15,J15)-MIN(N15:N18)+$C12</f>
        <v>0.28541666666666654</v>
      </c>
      <c r="K20" s="38"/>
      <c r="L20" s="38"/>
      <c r="M20" s="39"/>
      <c r="N20" s="53">
        <f ca="1">OFFSET(N14,MATCH(MIN(N15:N18),N15:N18,0),-4)-IF(J15="",K15,J15)</f>
        <v>0.19236111111111109</v>
      </c>
      <c r="O20" s="41"/>
      <c r="P20" s="37">
        <f>MAX(Q15:R18)-IF(P15="",Q15,P15)-MIN(T15:T18)+$C12</f>
        <v>0.30069444444444449</v>
      </c>
      <c r="Q20" s="38"/>
      <c r="R20" s="38"/>
      <c r="S20" s="39"/>
      <c r="T20" s="53">
        <f ca="1">OFFSET(T14,MATCH(MIN(T15:T18),T15:T18,0),-4)-IF(P15="",Q15,P15)</f>
        <v>0.2055555555555556</v>
      </c>
      <c r="U20" s="41"/>
      <c r="V20" s="37">
        <f>MAX(W15:X18)-IF(V15="",W15,V15)-MIN(Z15:Z18)+$C12</f>
        <v>0.28958333333333341</v>
      </c>
      <c r="W20" s="38"/>
      <c r="X20" s="38"/>
      <c r="Y20" s="39"/>
      <c r="Z20" s="53">
        <f ca="1">OFFSET(Z14,MATCH(MIN(Z15:Z18),Z15:Z18,0),-4)-IF(V15="",W15,V15)</f>
        <v>0.20902777777777781</v>
      </c>
      <c r="AA20" s="41"/>
      <c r="AB20" s="37">
        <f>MAX(AC15:AD18)-IF(AB15="",AC15,AB15)-MIN(AF15:AF18)+$C12</f>
        <v>0.29374999999999996</v>
      </c>
      <c r="AC20" s="38"/>
      <c r="AD20" s="38"/>
      <c r="AE20" s="39"/>
      <c r="AF20" s="53">
        <f ca="1">OFFSET(AF14,MATCH(MIN(AF15:AF18),AF15:AF18,0),-4)-IF(AB15="",AC15,AB15)</f>
        <v>0.21875</v>
      </c>
      <c r="AG20" s="41"/>
      <c r="AH20" s="37">
        <f>MAX(AI15:AJ18)-IF(AH15="",AI15,AH15)-MIN(AL15:AL18)+$C12</f>
        <v>0.26388888888888873</v>
      </c>
      <c r="AI20" s="38"/>
      <c r="AJ20" s="38"/>
      <c r="AK20" s="39"/>
      <c r="AL20" s="53">
        <f ca="1">OFFSET(AL14,MATCH(MIN(AL15:AL18),AL15:AL18,0),-4)-IF(AH15="",AI15,AH15)</f>
        <v>9.5833333333333326E-2</v>
      </c>
      <c r="AM20" s="42"/>
      <c r="AN20" s="27">
        <v>0.57291666666666663</v>
      </c>
      <c r="AO20" s="28">
        <f t="shared" si="0"/>
        <v>3.472222222222221E-2</v>
      </c>
      <c r="AP20" s="29">
        <v>1.0006944444444446</v>
      </c>
      <c r="AQ20" s="30">
        <f t="shared" si="1"/>
        <v>4.0277777777777857E-2</v>
      </c>
    </row>
    <row r="21" spans="2:43" ht="24" customHeight="1" thickBo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43">
        <v>0.59375</v>
      </c>
      <c r="AO21" s="44">
        <f t="shared" si="0"/>
        <v>2.083333333333337E-2</v>
      </c>
      <c r="AP21" s="45">
        <v>1.0416666666666667</v>
      </c>
      <c r="AQ21" s="46">
        <f t="shared" si="1"/>
        <v>4.0972222222222188E-2</v>
      </c>
    </row>
    <row r="22" spans="2:43" ht="24" customHeight="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/>
      <c r="AH22"/>
      <c r="AI22"/>
      <c r="AJ22"/>
      <c r="AK22" s="1"/>
      <c r="AL22" s="1"/>
      <c r="AM22" s="1"/>
      <c r="AN22" s="1"/>
      <c r="AO22" s="1"/>
      <c r="AP22" s="1"/>
      <c r="AQ22" s="1"/>
    </row>
    <row r="24" spans="2:43" ht="24" customHeight="1" thickBo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2:43" ht="24" customHeight="1" thickBot="1" x14ac:dyDescent="0.3">
      <c r="B25" s="310">
        <v>46271</v>
      </c>
      <c r="C25" s="2" t="s">
        <v>62</v>
      </c>
      <c r="D25" s="3"/>
      <c r="E25" s="3"/>
      <c r="F25" s="3"/>
      <c r="G25" s="3"/>
      <c r="H25" s="4"/>
      <c r="I25" s="5"/>
      <c r="J25" s="3"/>
      <c r="K25" s="3"/>
      <c r="L25" s="3"/>
      <c r="M25" s="3"/>
      <c r="N25" s="4"/>
      <c r="O25" s="5"/>
      <c r="P25" s="3"/>
      <c r="Q25" s="3"/>
      <c r="R25" s="3"/>
      <c r="S25" s="3"/>
      <c r="T25" s="4"/>
      <c r="U25" s="5"/>
      <c r="V25" s="3"/>
      <c r="W25" s="3"/>
      <c r="X25" s="3"/>
      <c r="Y25" s="3"/>
      <c r="Z25" s="4"/>
      <c r="AA25" s="5"/>
      <c r="AB25" s="3"/>
      <c r="AC25" s="3"/>
      <c r="AD25" s="3"/>
      <c r="AE25" s="3"/>
      <c r="AF25" s="4"/>
      <c r="AG25" s="5"/>
      <c r="AH25" s="3"/>
      <c r="AI25" s="3"/>
      <c r="AJ25" s="3"/>
      <c r="AK25" s="3"/>
      <c r="AL25" s="4"/>
      <c r="AM25" s="5"/>
      <c r="AN25" s="6" t="s">
        <v>56</v>
      </c>
      <c r="AO25" s="7"/>
      <c r="AP25" s="7"/>
      <c r="AQ25" s="8"/>
    </row>
    <row r="26" spans="2:43" ht="24" customHeight="1" thickBot="1" x14ac:dyDescent="0.3">
      <c r="B26" s="316"/>
      <c r="C26" s="357">
        <v>6.9444444444444441E-3</v>
      </c>
      <c r="D26" s="9" t="s">
        <v>2</v>
      </c>
      <c r="E26" s="7"/>
      <c r="F26" s="7"/>
      <c r="G26" s="7"/>
      <c r="H26" s="7"/>
      <c r="I26" s="8"/>
      <c r="J26" s="9"/>
      <c r="K26" s="7"/>
      <c r="L26" s="7"/>
      <c r="M26" s="7"/>
      <c r="N26" s="7"/>
      <c r="O26" s="8"/>
      <c r="P26" s="9"/>
      <c r="Q26" s="7"/>
      <c r="R26" s="7"/>
      <c r="S26" s="7"/>
      <c r="T26" s="7"/>
      <c r="U26" s="8"/>
      <c r="V26" s="9"/>
      <c r="W26" s="7"/>
      <c r="X26" s="7"/>
      <c r="Y26" s="7"/>
      <c r="Z26" s="7"/>
      <c r="AA26" s="8"/>
      <c r="AB26" s="9"/>
      <c r="AC26" s="7"/>
      <c r="AD26" s="7"/>
      <c r="AE26" s="7"/>
      <c r="AF26" s="7"/>
      <c r="AG26" s="8"/>
      <c r="AH26" s="9"/>
      <c r="AI26" s="7"/>
      <c r="AJ26" s="7"/>
      <c r="AK26" s="7"/>
      <c r="AL26" s="7"/>
      <c r="AM26" s="8"/>
      <c r="AN26" s="10" t="s">
        <v>23</v>
      </c>
      <c r="AO26" s="11"/>
      <c r="AP26" s="11"/>
      <c r="AQ26" s="12"/>
    </row>
    <row r="27" spans="2:43" ht="24" customHeight="1" thickBot="1" x14ac:dyDescent="0.3">
      <c r="B27" s="316"/>
      <c r="C27" s="358"/>
      <c r="D27" s="9" t="s">
        <v>4</v>
      </c>
      <c r="E27" s="7"/>
      <c r="F27" s="7"/>
      <c r="G27" s="7"/>
      <c r="H27" s="7"/>
      <c r="I27" s="8"/>
      <c r="J27" s="9" t="s">
        <v>5</v>
      </c>
      <c r="K27" s="7"/>
      <c r="L27" s="7"/>
      <c r="M27" s="7"/>
      <c r="N27" s="7"/>
      <c r="O27" s="8"/>
      <c r="P27" s="9" t="s">
        <v>6</v>
      </c>
      <c r="Q27" s="7"/>
      <c r="R27" s="7"/>
      <c r="S27" s="7"/>
      <c r="T27" s="7"/>
      <c r="U27" s="8"/>
      <c r="V27" s="9" t="s">
        <v>43</v>
      </c>
      <c r="W27" s="7"/>
      <c r="X27" s="7"/>
      <c r="Y27" s="7"/>
      <c r="Z27" s="7"/>
      <c r="AA27" s="7"/>
      <c r="AB27" s="9" t="s">
        <v>57</v>
      </c>
      <c r="AC27" s="7"/>
      <c r="AD27" s="7"/>
      <c r="AE27" s="7"/>
      <c r="AF27" s="7"/>
      <c r="AG27" s="8"/>
      <c r="AH27" s="7" t="s">
        <v>58</v>
      </c>
      <c r="AI27" s="7"/>
      <c r="AJ27" s="7"/>
      <c r="AK27" s="7"/>
      <c r="AL27" s="7"/>
      <c r="AM27" s="8"/>
      <c r="AN27" s="6" t="str">
        <f>CONCATENATE(COUNT(AN29:AN44,AP29:AP44)," VIAGENS")</f>
        <v>32 VIAGENS</v>
      </c>
      <c r="AO27" s="7"/>
      <c r="AP27" s="7"/>
      <c r="AQ27" s="8"/>
    </row>
    <row r="28" spans="2:43" ht="24" customHeight="1" thickBot="1" x14ac:dyDescent="0.3">
      <c r="B28" s="316"/>
      <c r="C28" s="313" t="s">
        <v>7</v>
      </c>
      <c r="D28" s="13" t="s">
        <v>8</v>
      </c>
      <c r="E28" s="14" t="s">
        <v>9</v>
      </c>
      <c r="F28" s="15" t="s">
        <v>10</v>
      </c>
      <c r="G28" s="14" t="s">
        <v>11</v>
      </c>
      <c r="H28" s="15" t="s">
        <v>12</v>
      </c>
      <c r="I28" s="14" t="s">
        <v>13</v>
      </c>
      <c r="J28" s="13" t="s">
        <v>8</v>
      </c>
      <c r="K28" s="14" t="s">
        <v>9</v>
      </c>
      <c r="L28" s="15" t="s">
        <v>10</v>
      </c>
      <c r="M28" s="14" t="s">
        <v>11</v>
      </c>
      <c r="N28" s="15" t="s">
        <v>12</v>
      </c>
      <c r="O28" s="14" t="s">
        <v>13</v>
      </c>
      <c r="P28" s="13" t="s">
        <v>8</v>
      </c>
      <c r="Q28" s="14" t="s">
        <v>9</v>
      </c>
      <c r="R28" s="15" t="s">
        <v>10</v>
      </c>
      <c r="S28" s="14" t="s">
        <v>11</v>
      </c>
      <c r="T28" s="15" t="s">
        <v>12</v>
      </c>
      <c r="U28" s="14" t="s">
        <v>13</v>
      </c>
      <c r="V28" s="13" t="s">
        <v>8</v>
      </c>
      <c r="W28" s="14" t="s">
        <v>9</v>
      </c>
      <c r="X28" s="15" t="s">
        <v>10</v>
      </c>
      <c r="Y28" s="14" t="s">
        <v>11</v>
      </c>
      <c r="Z28" s="15" t="s">
        <v>12</v>
      </c>
      <c r="AA28" s="13" t="s">
        <v>13</v>
      </c>
      <c r="AB28" s="13" t="s">
        <v>8</v>
      </c>
      <c r="AC28" s="14" t="s">
        <v>9</v>
      </c>
      <c r="AD28" s="15" t="s">
        <v>10</v>
      </c>
      <c r="AE28" s="14" t="s">
        <v>11</v>
      </c>
      <c r="AF28" s="15" t="s">
        <v>12</v>
      </c>
      <c r="AG28" s="14" t="s">
        <v>13</v>
      </c>
      <c r="AH28" s="15" t="s">
        <v>8</v>
      </c>
      <c r="AI28" s="14" t="s">
        <v>9</v>
      </c>
      <c r="AJ28" s="15" t="s">
        <v>10</v>
      </c>
      <c r="AK28" s="14" t="s">
        <v>11</v>
      </c>
      <c r="AL28" s="15" t="s">
        <v>12</v>
      </c>
      <c r="AM28" s="14" t="s">
        <v>13</v>
      </c>
      <c r="AN28" s="16" t="s">
        <v>14</v>
      </c>
      <c r="AO28" s="17" t="s">
        <v>15</v>
      </c>
      <c r="AP28" s="16" t="s">
        <v>14</v>
      </c>
      <c r="AQ28" s="17" t="s">
        <v>15</v>
      </c>
    </row>
    <row r="29" spans="2:43" ht="24" customHeight="1" thickBot="1" x14ac:dyDescent="0.3">
      <c r="B29" s="316"/>
      <c r="C29" s="314"/>
      <c r="D29" s="18">
        <v>0.2013888888888889</v>
      </c>
      <c r="E29" s="19">
        <v>0.2409722222222222</v>
      </c>
      <c r="F29" s="19">
        <v>0.28541666666666671</v>
      </c>
      <c r="G29" s="20">
        <f>F29-D29</f>
        <v>8.4027777777777812E-2</v>
      </c>
      <c r="H29" s="55">
        <v>126</v>
      </c>
      <c r="I29" s="22">
        <v>1</v>
      </c>
      <c r="J29" s="18">
        <v>0.21875</v>
      </c>
      <c r="K29" s="19">
        <v>0.25972222222222219</v>
      </c>
      <c r="L29" s="19">
        <v>0.30625000000000002</v>
      </c>
      <c r="M29" s="20">
        <f>L29-J29</f>
        <v>8.7500000000000022E-2</v>
      </c>
      <c r="N29" s="55">
        <v>126</v>
      </c>
      <c r="O29" s="22">
        <v>2</v>
      </c>
      <c r="P29" s="18">
        <v>0.2361111111111111</v>
      </c>
      <c r="Q29" s="19">
        <v>0.28263888888888888</v>
      </c>
      <c r="R29" s="19">
        <v>0.33055555555555549</v>
      </c>
      <c r="S29" s="20">
        <f>R29-P29</f>
        <v>9.4444444444444386E-2</v>
      </c>
      <c r="T29" s="55">
        <v>126</v>
      </c>
      <c r="U29" s="22">
        <v>3</v>
      </c>
      <c r="V29" s="18">
        <v>0.25347222222222221</v>
      </c>
      <c r="W29" s="19">
        <v>0.30138888888888887</v>
      </c>
      <c r="X29" s="19">
        <v>0.35208333333333341</v>
      </c>
      <c r="Y29" s="20">
        <f>X29-V29</f>
        <v>9.8611111111111205E-2</v>
      </c>
      <c r="Z29" s="55">
        <v>126</v>
      </c>
      <c r="AA29" s="22">
        <v>4</v>
      </c>
      <c r="AB29" s="18">
        <v>0.27777777777777779</v>
      </c>
      <c r="AC29" s="19">
        <v>0.32430555555555562</v>
      </c>
      <c r="AD29" s="19">
        <v>0.37361111111111112</v>
      </c>
      <c r="AE29" s="20">
        <f>AD29-AB29</f>
        <v>9.5833333333333326E-2</v>
      </c>
      <c r="AF29" s="55">
        <v>126</v>
      </c>
      <c r="AG29" s="22">
        <v>5</v>
      </c>
      <c r="AH29" s="18">
        <v>0.30208333333333331</v>
      </c>
      <c r="AI29" s="19">
        <v>0.35</v>
      </c>
      <c r="AJ29" s="19">
        <v>0.39513888888888887</v>
      </c>
      <c r="AK29" s="20">
        <f>AJ29-AH29</f>
        <v>9.3055555555555558E-2</v>
      </c>
      <c r="AL29" s="55">
        <v>126</v>
      </c>
      <c r="AM29" s="22">
        <v>6</v>
      </c>
      <c r="AN29" s="23">
        <v>0.2013888888888889</v>
      </c>
      <c r="AO29" s="24"/>
      <c r="AP29" s="25">
        <v>0.62361111111111112</v>
      </c>
      <c r="AQ29" s="26">
        <f>AP29-AN44</f>
        <v>2.9861111111111116E-2</v>
      </c>
    </row>
    <row r="30" spans="2:43" ht="24" customHeight="1" thickBot="1" x14ac:dyDescent="0.3">
      <c r="B30" s="316"/>
      <c r="C30" s="314"/>
      <c r="D30" s="31">
        <f>IF(F29="",E29,F29)</f>
        <v>0.28541666666666671</v>
      </c>
      <c r="E30" s="32"/>
      <c r="F30" s="31">
        <f>IF(D31="",E31,D31)</f>
        <v>0.33333333333333331</v>
      </c>
      <c r="G30" s="32"/>
      <c r="H30" s="32">
        <f>F30-D30</f>
        <v>4.7916666666666607E-2</v>
      </c>
      <c r="I30" s="32"/>
      <c r="J30" s="31">
        <f>IF(L29="",K29,L29)</f>
        <v>0.30625000000000002</v>
      </c>
      <c r="K30" s="32"/>
      <c r="L30" s="31">
        <f>IF(J31="",K31,J31)</f>
        <v>0.3611111111111111</v>
      </c>
      <c r="M30" s="32"/>
      <c r="N30" s="32">
        <f>L30-J30</f>
        <v>5.4861111111111083E-2</v>
      </c>
      <c r="O30" s="32"/>
      <c r="P30" s="31">
        <f>IF(R29="",Q29,R29)</f>
        <v>0.33055555555555549</v>
      </c>
      <c r="Q30" s="32"/>
      <c r="R30" s="31">
        <f>IF(P31="",Q31,P31)</f>
        <v>0.3888888888888889</v>
      </c>
      <c r="S30" s="32"/>
      <c r="T30" s="32">
        <f>R30-P30</f>
        <v>5.8333333333333404E-2</v>
      </c>
      <c r="U30" s="32"/>
      <c r="V30" s="31">
        <f>IF(X29="",W29,X29)</f>
        <v>0.35208333333333341</v>
      </c>
      <c r="W30" s="32"/>
      <c r="X30" s="31">
        <f>IF(V31="",W31,V31)</f>
        <v>0.41666666666666669</v>
      </c>
      <c r="Y30" s="32"/>
      <c r="Z30" s="32">
        <f>X30-V30</f>
        <v>6.458333333333327E-2</v>
      </c>
      <c r="AA30" s="32"/>
      <c r="AB30" s="31">
        <f>IF(AD29="",AC29,AD29)</f>
        <v>0.37361111111111112</v>
      </c>
      <c r="AC30" s="32"/>
      <c r="AD30" s="31">
        <f>IF(AB31="",AC31,AB31)</f>
        <v>0.44444444444444442</v>
      </c>
      <c r="AE30" s="32"/>
      <c r="AF30" s="32">
        <f>AD30-AB30</f>
        <v>7.0833333333333304E-2</v>
      </c>
      <c r="AG30" s="32"/>
      <c r="AH30" s="31">
        <f>IF(AJ29="",AI29,AJ29)</f>
        <v>0.39513888888888887</v>
      </c>
      <c r="AI30" s="32"/>
      <c r="AJ30" s="31">
        <f>IF(AH31="",AI31,AH31)</f>
        <v>0.47222222222222221</v>
      </c>
      <c r="AK30" s="32"/>
      <c r="AL30" s="32">
        <f>AJ30-AH30</f>
        <v>7.7083333333333337E-2</v>
      </c>
      <c r="AM30" s="32"/>
      <c r="AN30" s="27">
        <v>0.21875</v>
      </c>
      <c r="AO30" s="28">
        <f t="shared" ref="AO30:AO44" si="2">AN30-AN29</f>
        <v>1.7361111111111105E-2</v>
      </c>
      <c r="AP30" s="29">
        <v>0.64444444444444449</v>
      </c>
      <c r="AQ30" s="30">
        <f t="shared" ref="AQ30:AQ44" si="3">AP30-AP29</f>
        <v>2.083333333333337E-2</v>
      </c>
    </row>
    <row r="31" spans="2:43" ht="24" customHeight="1" x14ac:dyDescent="0.25">
      <c r="B31" s="316"/>
      <c r="C31" s="314"/>
      <c r="D31" s="18">
        <v>0.33333333333333331</v>
      </c>
      <c r="E31" s="19">
        <v>0.38055555555555548</v>
      </c>
      <c r="F31" s="19">
        <v>0.4284722222222222</v>
      </c>
      <c r="G31" s="20">
        <f>F31-D31</f>
        <v>9.5138888888888884E-2</v>
      </c>
      <c r="H31" s="55">
        <v>126</v>
      </c>
      <c r="I31" s="22">
        <v>1</v>
      </c>
      <c r="J31" s="18">
        <v>0.3611111111111111</v>
      </c>
      <c r="K31" s="19">
        <v>0.40972222222222221</v>
      </c>
      <c r="L31" s="19">
        <v>0.4597222222222222</v>
      </c>
      <c r="M31" s="20">
        <f>L31-J31</f>
        <v>9.8611111111111094E-2</v>
      </c>
      <c r="N31" s="55">
        <v>126</v>
      </c>
      <c r="O31" s="22">
        <v>2</v>
      </c>
      <c r="P31" s="18">
        <v>0.3888888888888889</v>
      </c>
      <c r="Q31" s="19">
        <v>0.43680555555555561</v>
      </c>
      <c r="R31" s="19">
        <v>0.47986111111111113</v>
      </c>
      <c r="S31" s="20">
        <f>R31-P31</f>
        <v>9.0972222222222232E-2</v>
      </c>
      <c r="T31" s="55">
        <v>126</v>
      </c>
      <c r="U31" s="22">
        <v>3</v>
      </c>
      <c r="V31" s="18">
        <v>0.41666666666666669</v>
      </c>
      <c r="W31" s="19">
        <v>0.46736111111111112</v>
      </c>
      <c r="X31" s="19">
        <v>0.51527777777777772</v>
      </c>
      <c r="Y31" s="20">
        <f>X31-V31</f>
        <v>9.8611111111111038E-2</v>
      </c>
      <c r="Z31" s="55">
        <v>126</v>
      </c>
      <c r="AA31" s="22">
        <v>4</v>
      </c>
      <c r="AB31" s="18">
        <v>0.44444444444444442</v>
      </c>
      <c r="AC31" s="19">
        <v>0.48472222222222222</v>
      </c>
      <c r="AD31" s="19">
        <v>0.53263888888888888</v>
      </c>
      <c r="AE31" s="20">
        <f>AD31-AB31</f>
        <v>8.8194444444444464E-2</v>
      </c>
      <c r="AF31" s="55">
        <v>126</v>
      </c>
      <c r="AG31" s="22">
        <v>5</v>
      </c>
      <c r="AH31" s="18">
        <v>0.47222222222222221</v>
      </c>
      <c r="AI31" s="19">
        <v>0.51458333333333328</v>
      </c>
      <c r="AJ31" s="19">
        <v>0.56319444444444444</v>
      </c>
      <c r="AK31" s="20">
        <f>AJ31-AH31</f>
        <v>9.0972222222222232E-2</v>
      </c>
      <c r="AL31" s="55">
        <v>126</v>
      </c>
      <c r="AM31" s="22">
        <v>6</v>
      </c>
      <c r="AN31" s="27">
        <v>0.2361111111111111</v>
      </c>
      <c r="AO31" s="28">
        <f t="shared" si="2"/>
        <v>1.7361111111111105E-2</v>
      </c>
      <c r="AP31" s="29">
        <v>0.66527777777777775</v>
      </c>
      <c r="AQ31" s="30">
        <f t="shared" si="3"/>
        <v>2.0833333333333259E-2</v>
      </c>
    </row>
    <row r="32" spans="2:43" ht="24" customHeight="1" thickBot="1" x14ac:dyDescent="0.3">
      <c r="B32" s="316"/>
      <c r="C32" s="314"/>
      <c r="D32" s="18"/>
      <c r="E32" s="19"/>
      <c r="F32" s="19"/>
      <c r="G32" s="20"/>
      <c r="H32" s="55"/>
      <c r="I32" s="22"/>
      <c r="J32" s="18"/>
      <c r="K32" s="19"/>
      <c r="L32" s="19"/>
      <c r="M32" s="20"/>
      <c r="N32" s="55"/>
      <c r="O32" s="22"/>
      <c r="P32" s="18"/>
      <c r="Q32" s="19"/>
      <c r="R32" s="19"/>
      <c r="S32" s="20"/>
      <c r="T32" s="55"/>
      <c r="U32" s="22"/>
      <c r="V32" s="18"/>
      <c r="W32" s="19"/>
      <c r="X32" s="19"/>
      <c r="Y32" s="20"/>
      <c r="Z32" s="55"/>
      <c r="AA32" s="22"/>
      <c r="AB32" s="18">
        <v>0.53819444444444442</v>
      </c>
      <c r="AC32" s="19">
        <v>0.5805555555555556</v>
      </c>
      <c r="AD32" s="19">
        <v>0.62569444444444444</v>
      </c>
      <c r="AE32" s="20">
        <f>AD32-AB32</f>
        <v>8.7500000000000022E-2</v>
      </c>
      <c r="AF32" s="55">
        <v>126</v>
      </c>
      <c r="AG32" s="22">
        <v>5</v>
      </c>
      <c r="AH32" s="18">
        <v>0.57291666666666663</v>
      </c>
      <c r="AI32" s="19">
        <v>0.61527777777777781</v>
      </c>
      <c r="AJ32" s="19">
        <v>0.65694444444444444</v>
      </c>
      <c r="AK32" s="20">
        <f>AJ32-AH32</f>
        <v>8.4027777777777812E-2</v>
      </c>
      <c r="AL32" s="55">
        <v>126</v>
      </c>
      <c r="AM32" s="22">
        <v>6</v>
      </c>
      <c r="AN32" s="27">
        <v>0.25347222222222221</v>
      </c>
      <c r="AO32" s="28">
        <f t="shared" si="2"/>
        <v>1.7361111111111105E-2</v>
      </c>
      <c r="AP32" s="29">
        <v>0.68958333333333333</v>
      </c>
      <c r="AQ32" s="30">
        <f t="shared" si="3"/>
        <v>2.430555555555558E-2</v>
      </c>
    </row>
    <row r="33" spans="2:43" ht="24" customHeight="1" thickBot="1" x14ac:dyDescent="0.3">
      <c r="B33" s="316"/>
      <c r="C33" s="315"/>
      <c r="D33" s="320" t="s">
        <v>59</v>
      </c>
      <c r="E33" s="321"/>
      <c r="F33" s="321"/>
      <c r="G33" s="321"/>
      <c r="H33" s="321"/>
      <c r="I33" s="322"/>
      <c r="J33" s="320" t="s">
        <v>59</v>
      </c>
      <c r="K33" s="321"/>
      <c r="L33" s="321"/>
      <c r="M33" s="321"/>
      <c r="N33" s="321"/>
      <c r="O33" s="322"/>
      <c r="P33" s="320" t="s">
        <v>59</v>
      </c>
      <c r="Q33" s="321"/>
      <c r="R33" s="321"/>
      <c r="S33" s="321"/>
      <c r="T33" s="321"/>
      <c r="U33" s="322"/>
      <c r="V33" s="320" t="s">
        <v>59</v>
      </c>
      <c r="W33" s="321"/>
      <c r="X33" s="321"/>
      <c r="Y33" s="321"/>
      <c r="Z33" s="321"/>
      <c r="AA33" s="322"/>
      <c r="AB33" s="320" t="s">
        <v>59</v>
      </c>
      <c r="AC33" s="321"/>
      <c r="AD33" s="321"/>
      <c r="AE33" s="321"/>
      <c r="AF33" s="321"/>
      <c r="AG33" s="322"/>
      <c r="AH33" s="320" t="s">
        <v>59</v>
      </c>
      <c r="AI33" s="321"/>
      <c r="AJ33" s="321"/>
      <c r="AK33" s="321"/>
      <c r="AL33" s="321"/>
      <c r="AM33" s="322"/>
      <c r="AN33" s="27">
        <v>0.27777777777777779</v>
      </c>
      <c r="AO33" s="28">
        <f t="shared" si="2"/>
        <v>2.430555555555558E-2</v>
      </c>
      <c r="AP33" s="29">
        <v>0.70694444444444449</v>
      </c>
      <c r="AQ33" s="30">
        <f t="shared" si="3"/>
        <v>1.736111111111116E-2</v>
      </c>
    </row>
    <row r="34" spans="2:43" ht="24" customHeight="1" thickBot="1" x14ac:dyDescent="0.3">
      <c r="B34" s="316"/>
      <c r="C34" s="36" t="s">
        <v>17</v>
      </c>
      <c r="D34" s="37">
        <f>MAX(E29:F32)-IF(D29="",E29,D29)-MIN(H29:H32)+$C26</f>
        <v>0.18611111111111114</v>
      </c>
      <c r="E34" s="38"/>
      <c r="F34" s="38"/>
      <c r="G34" s="39"/>
      <c r="H34" s="40">
        <f ca="1">OFFSET(H28,MATCH(MIN(H29:H32),H29:H32,0),-4)-IF(D29="",E29,D29)+$C26</f>
        <v>9.097222222222226E-2</v>
      </c>
      <c r="I34" s="41"/>
      <c r="J34" s="37">
        <f>MAX(K29:L32)-IF(J29="",K29,J29)-MIN(N29:N32)+$C26</f>
        <v>0.19305555555555556</v>
      </c>
      <c r="K34" s="38"/>
      <c r="L34" s="38"/>
      <c r="M34" s="39"/>
      <c r="N34" s="40">
        <f ca="1">OFFSET(N28,MATCH(MIN(N29:N32),N29:N32,0),-4)-IF(J29="",K29,J29)+$C26</f>
        <v>9.444444444444447E-2</v>
      </c>
      <c r="O34" s="41"/>
      <c r="P34" s="37">
        <f>MAX(Q29:R32)-IF(P29="",Q29,P29)-MIN(T29:T32)+$C26</f>
        <v>0.19236111111111107</v>
      </c>
      <c r="Q34" s="38"/>
      <c r="R34" s="38"/>
      <c r="S34" s="39"/>
      <c r="T34" s="40">
        <f ca="1">OFFSET(T28,MATCH(MIN(T29:T32),T29:T32,0),-4)-IF(P29="",Q29,P29)+$C26</f>
        <v>0.10138888888888883</v>
      </c>
      <c r="U34" s="41"/>
      <c r="V34" s="37">
        <f>MAX(W29:X32)-IF(V29="",W29,V29)-MIN(Z29:Z32)+$C26</f>
        <v>0.20416666666666669</v>
      </c>
      <c r="W34" s="38"/>
      <c r="X34" s="38"/>
      <c r="Y34" s="39"/>
      <c r="Z34" s="40">
        <f ca="1">OFFSET(Z28,MATCH(MIN(Z29:Z32),Z29:Z32,0),-4)-IF(V29="",W29,V29)+$C26</f>
        <v>0.10555555555555565</v>
      </c>
      <c r="AA34" s="41"/>
      <c r="AB34" s="37">
        <f>MAX(AC29:AD32)-IF(AB29="",AC29,AB29)-MIN(AF29:AF32)+$C26</f>
        <v>0.28402777777777777</v>
      </c>
      <c r="AC34" s="38"/>
      <c r="AD34" s="38"/>
      <c r="AE34" s="39"/>
      <c r="AF34" s="40">
        <f ca="1">OFFSET(AF28,MATCH(MIN(AF29:AF32),AF29:AF32,0),-4)-IF(AB29="",AC29,AB29)+$C26</f>
        <v>0.10277777777777777</v>
      </c>
      <c r="AG34" s="41"/>
      <c r="AH34" s="37">
        <f>MAX(AI29:AJ32)-IF(AH29="",AI29,AH29)-MIN(AL29:AL32)+$C26</f>
        <v>0.28472222222222221</v>
      </c>
      <c r="AI34" s="38"/>
      <c r="AJ34" s="38"/>
      <c r="AK34" s="39"/>
      <c r="AL34" s="40">
        <f ca="1">OFFSET(AL28,MATCH(MIN(AL29:AL32),AL29:AL32,0),-4)-IF(AH29="",AI29,AH29)+$C26</f>
        <v>0.1</v>
      </c>
      <c r="AM34" s="42"/>
      <c r="AN34" s="27">
        <v>0.30208333333333331</v>
      </c>
      <c r="AO34" s="28">
        <f t="shared" si="2"/>
        <v>2.4305555555555525E-2</v>
      </c>
      <c r="AP34" s="29">
        <v>0.72777777777777775</v>
      </c>
      <c r="AQ34" s="30">
        <f t="shared" si="3"/>
        <v>2.0833333333333259E-2</v>
      </c>
    </row>
    <row r="35" spans="2:43" ht="24" customHeight="1" thickBot="1" x14ac:dyDescent="0.3">
      <c r="B35" s="316"/>
      <c r="C35" s="357">
        <v>6.9444444444444441E-3</v>
      </c>
      <c r="D35" s="9" t="s">
        <v>18</v>
      </c>
      <c r="E35" s="7"/>
      <c r="F35" s="7"/>
      <c r="G35" s="7"/>
      <c r="H35" s="7"/>
      <c r="I35" s="8"/>
      <c r="J35" s="9"/>
      <c r="K35" s="7"/>
      <c r="L35" s="7"/>
      <c r="M35" s="7"/>
      <c r="N35" s="7"/>
      <c r="O35" s="8"/>
      <c r="P35" s="9"/>
      <c r="Q35" s="7"/>
      <c r="R35" s="7"/>
      <c r="S35" s="7"/>
      <c r="T35" s="7"/>
      <c r="U35" s="8"/>
      <c r="V35" s="9"/>
      <c r="W35" s="7"/>
      <c r="X35" s="7"/>
      <c r="Y35" s="7"/>
      <c r="Z35" s="7"/>
      <c r="AA35" s="8"/>
      <c r="AB35" s="9"/>
      <c r="AC35" s="7"/>
      <c r="AD35" s="7"/>
      <c r="AE35" s="7"/>
      <c r="AF35" s="7"/>
      <c r="AG35" s="8"/>
      <c r="AH35" s="9"/>
      <c r="AI35" s="7"/>
      <c r="AJ35" s="7"/>
      <c r="AK35" s="7"/>
      <c r="AL35" s="7"/>
      <c r="AM35" s="7"/>
      <c r="AN35" s="27">
        <v>0.33333333333333331</v>
      </c>
      <c r="AO35" s="28">
        <f t="shared" si="2"/>
        <v>3.125E-2</v>
      </c>
      <c r="AP35" s="29">
        <v>0.74861111111111112</v>
      </c>
      <c r="AQ35" s="30">
        <f t="shared" si="3"/>
        <v>2.083333333333337E-2</v>
      </c>
    </row>
    <row r="36" spans="2:43" ht="24" customHeight="1" thickBot="1" x14ac:dyDescent="0.3">
      <c r="B36" s="316"/>
      <c r="C36" s="358"/>
      <c r="D36" s="9" t="s">
        <v>19</v>
      </c>
      <c r="E36" s="7"/>
      <c r="F36" s="7"/>
      <c r="G36" s="7"/>
      <c r="H36" s="7"/>
      <c r="I36" s="8"/>
      <c r="J36" s="9" t="s">
        <v>20</v>
      </c>
      <c r="K36" s="7"/>
      <c r="L36" s="7"/>
      <c r="M36" s="7"/>
      <c r="N36" s="7"/>
      <c r="O36" s="8"/>
      <c r="P36" s="9" t="s">
        <v>21</v>
      </c>
      <c r="Q36" s="7"/>
      <c r="R36" s="7"/>
      <c r="S36" s="7"/>
      <c r="T36" s="7"/>
      <c r="U36" s="8"/>
      <c r="V36" s="9" t="s">
        <v>45</v>
      </c>
      <c r="W36" s="7"/>
      <c r="X36" s="7"/>
      <c r="Y36" s="7"/>
      <c r="Z36" s="7"/>
      <c r="AA36" s="8"/>
      <c r="AB36" s="9" t="s">
        <v>60</v>
      </c>
      <c r="AC36" s="7"/>
      <c r="AD36" s="7"/>
      <c r="AE36" s="7"/>
      <c r="AF36" s="7"/>
      <c r="AG36" s="8"/>
      <c r="AH36" s="9" t="s">
        <v>61</v>
      </c>
      <c r="AI36" s="7"/>
      <c r="AJ36" s="7"/>
      <c r="AK36" s="7"/>
      <c r="AL36" s="7"/>
      <c r="AM36" s="7"/>
      <c r="AN36" s="27">
        <v>0.3611111111111111</v>
      </c>
      <c r="AO36" s="28">
        <f t="shared" si="2"/>
        <v>2.777777777777779E-2</v>
      </c>
      <c r="AP36" s="29">
        <v>0.76944444444444449</v>
      </c>
      <c r="AQ36" s="30">
        <f t="shared" si="3"/>
        <v>2.083333333333337E-2</v>
      </c>
    </row>
    <row r="37" spans="2:43" ht="24" customHeight="1" thickBot="1" x14ac:dyDescent="0.3">
      <c r="B37" s="316"/>
      <c r="C37" s="302" t="s">
        <v>7</v>
      </c>
      <c r="D37" s="13" t="s">
        <v>8</v>
      </c>
      <c r="E37" s="14" t="s">
        <v>9</v>
      </c>
      <c r="F37" s="15" t="s">
        <v>10</v>
      </c>
      <c r="G37" s="14" t="s">
        <v>11</v>
      </c>
      <c r="H37" s="15" t="s">
        <v>12</v>
      </c>
      <c r="I37" s="14" t="s">
        <v>13</v>
      </c>
      <c r="J37" s="15" t="s">
        <v>8</v>
      </c>
      <c r="K37" s="14" t="s">
        <v>9</v>
      </c>
      <c r="L37" s="15" t="s">
        <v>10</v>
      </c>
      <c r="M37" s="14" t="s">
        <v>11</v>
      </c>
      <c r="N37" s="15" t="s">
        <v>12</v>
      </c>
      <c r="O37" s="14" t="s">
        <v>13</v>
      </c>
      <c r="P37" s="13" t="s">
        <v>8</v>
      </c>
      <c r="Q37" s="14" t="s">
        <v>9</v>
      </c>
      <c r="R37" s="15" t="s">
        <v>10</v>
      </c>
      <c r="S37" s="14" t="s">
        <v>11</v>
      </c>
      <c r="T37" s="15" t="s">
        <v>12</v>
      </c>
      <c r="U37" s="14" t="s">
        <v>13</v>
      </c>
      <c r="V37" s="13" t="s">
        <v>8</v>
      </c>
      <c r="W37" s="14" t="s">
        <v>9</v>
      </c>
      <c r="X37" s="15" t="s">
        <v>10</v>
      </c>
      <c r="Y37" s="14" t="s">
        <v>11</v>
      </c>
      <c r="Z37" s="15" t="s">
        <v>12</v>
      </c>
      <c r="AA37" s="14" t="s">
        <v>13</v>
      </c>
      <c r="AB37" s="13" t="s">
        <v>8</v>
      </c>
      <c r="AC37" s="14" t="s">
        <v>9</v>
      </c>
      <c r="AD37" s="15" t="s">
        <v>10</v>
      </c>
      <c r="AE37" s="14" t="s">
        <v>11</v>
      </c>
      <c r="AF37" s="15" t="s">
        <v>12</v>
      </c>
      <c r="AG37" s="14" t="s">
        <v>13</v>
      </c>
      <c r="AH37" s="13" t="s">
        <v>8</v>
      </c>
      <c r="AI37" s="14" t="s">
        <v>9</v>
      </c>
      <c r="AJ37" s="15" t="s">
        <v>10</v>
      </c>
      <c r="AK37" s="14" t="s">
        <v>11</v>
      </c>
      <c r="AL37" s="15" t="s">
        <v>12</v>
      </c>
      <c r="AM37" s="13" t="s">
        <v>13</v>
      </c>
      <c r="AN37" s="27">
        <v>0.3888888888888889</v>
      </c>
      <c r="AO37" s="28">
        <f t="shared" si="2"/>
        <v>2.777777777777779E-2</v>
      </c>
      <c r="AP37" s="29">
        <v>0.80069444444444449</v>
      </c>
      <c r="AQ37" s="30">
        <f t="shared" si="3"/>
        <v>3.125E-2</v>
      </c>
    </row>
    <row r="38" spans="2:43" ht="24" customHeight="1" thickBot="1" x14ac:dyDescent="0.3">
      <c r="B38" s="316"/>
      <c r="C38" s="303"/>
      <c r="D38" s="23">
        <v>0.50347222222222221</v>
      </c>
      <c r="E38" s="25">
        <v>0.54861111111111116</v>
      </c>
      <c r="F38" s="25">
        <v>0.59166666666666667</v>
      </c>
      <c r="G38" s="20">
        <f>F38-D38</f>
        <v>8.8194444444444464E-2</v>
      </c>
      <c r="H38" s="56">
        <v>126</v>
      </c>
      <c r="I38" s="48">
        <v>1</v>
      </c>
      <c r="J38" s="23">
        <v>0.59375</v>
      </c>
      <c r="K38" s="25">
        <v>0.63541666666666663</v>
      </c>
      <c r="L38" s="25">
        <v>0.68263888888888891</v>
      </c>
      <c r="M38" s="20">
        <f>L38-J38</f>
        <v>8.8888888888888906E-2</v>
      </c>
      <c r="N38" s="56">
        <v>126</v>
      </c>
      <c r="O38" s="48">
        <v>2</v>
      </c>
      <c r="P38" s="23">
        <v>0.62361111111111112</v>
      </c>
      <c r="Q38" s="25">
        <v>0.66805555555555551</v>
      </c>
      <c r="R38" s="25">
        <v>0.71666666666666667</v>
      </c>
      <c r="S38" s="20">
        <f>R38-P38</f>
        <v>9.3055555555555558E-2</v>
      </c>
      <c r="T38" s="56">
        <v>126</v>
      </c>
      <c r="U38" s="48">
        <v>3</v>
      </c>
      <c r="V38" s="23">
        <v>0.66527777777777775</v>
      </c>
      <c r="W38" s="25">
        <v>0.70833333333333337</v>
      </c>
      <c r="X38" s="25">
        <v>0.75624999999999998</v>
      </c>
      <c r="Y38" s="20">
        <f>X38-V38</f>
        <v>9.0972222222222232E-2</v>
      </c>
      <c r="Z38" s="56">
        <v>126</v>
      </c>
      <c r="AA38" s="48">
        <v>4</v>
      </c>
      <c r="AB38" s="23">
        <v>0.70694444444444449</v>
      </c>
      <c r="AC38" s="25">
        <v>0.75694444444444442</v>
      </c>
      <c r="AD38" s="25">
        <v>0.80694444444444446</v>
      </c>
      <c r="AE38" s="20">
        <f>AD38-AB38</f>
        <v>9.9999999999999978E-2</v>
      </c>
      <c r="AF38" s="56">
        <v>126</v>
      </c>
      <c r="AG38" s="48">
        <v>5</v>
      </c>
      <c r="AH38" s="23">
        <v>0.80069444444444449</v>
      </c>
      <c r="AI38" s="25">
        <v>0.85277777777777775</v>
      </c>
      <c r="AJ38" s="25">
        <v>0.89652777777777781</v>
      </c>
      <c r="AK38" s="20">
        <f>AJ38-AH38</f>
        <v>9.5833333333333326E-2</v>
      </c>
      <c r="AL38" s="56">
        <v>126</v>
      </c>
      <c r="AM38" s="57">
        <v>6</v>
      </c>
      <c r="AN38" s="27">
        <v>0.41666666666666669</v>
      </c>
      <c r="AO38" s="28">
        <f t="shared" si="2"/>
        <v>2.777777777777779E-2</v>
      </c>
      <c r="AP38" s="29">
        <v>0.83194444444444449</v>
      </c>
      <c r="AQ38" s="30">
        <f t="shared" si="3"/>
        <v>3.125E-2</v>
      </c>
    </row>
    <row r="39" spans="2:43" ht="24" customHeight="1" thickBot="1" x14ac:dyDescent="0.3">
      <c r="B39" s="316"/>
      <c r="C39" s="303"/>
      <c r="D39" s="31">
        <f>IF(F38="",E38,F38)</f>
        <v>0.59166666666666667</v>
      </c>
      <c r="E39" s="32"/>
      <c r="F39" s="31">
        <f>IF(D40="",E40,D40)</f>
        <v>0.64444444444444449</v>
      </c>
      <c r="G39" s="32"/>
      <c r="H39" s="32">
        <f>F39-D39</f>
        <v>5.2777777777777812E-2</v>
      </c>
      <c r="I39" s="32"/>
      <c r="J39" s="27">
        <v>0.68958333333333333</v>
      </c>
      <c r="K39" s="29">
        <v>0.73888888888888893</v>
      </c>
      <c r="L39" s="29">
        <v>0.78611111111111109</v>
      </c>
      <c r="M39" s="20">
        <f>L39-J39</f>
        <v>9.6527777777777768E-2</v>
      </c>
      <c r="N39" s="58">
        <v>126</v>
      </c>
      <c r="O39" s="50">
        <v>2</v>
      </c>
      <c r="P39" s="27">
        <v>0.72777777777777775</v>
      </c>
      <c r="Q39" s="29">
        <v>0.77847222222222223</v>
      </c>
      <c r="R39" s="29">
        <v>0.82916666666666672</v>
      </c>
      <c r="S39" s="20">
        <f>R39-P39</f>
        <v>0.10138888888888897</v>
      </c>
      <c r="T39" s="58">
        <v>126</v>
      </c>
      <c r="U39" s="50">
        <v>3</v>
      </c>
      <c r="V39" s="27">
        <v>0.76944444444444449</v>
      </c>
      <c r="W39" s="29">
        <v>0.82708333333333328</v>
      </c>
      <c r="X39" s="29">
        <v>0.87430555555555556</v>
      </c>
      <c r="Y39" s="20">
        <f>X39-V39</f>
        <v>0.10486111111111107</v>
      </c>
      <c r="Z39" s="58">
        <v>126</v>
      </c>
      <c r="AA39" s="50">
        <v>4</v>
      </c>
      <c r="AB39" s="27">
        <v>0.83194444444444449</v>
      </c>
      <c r="AC39" s="29">
        <v>0.87916666666666665</v>
      </c>
      <c r="AD39" s="29">
        <v>0.92569444444444449</v>
      </c>
      <c r="AE39" s="20">
        <f>AD39-AB39</f>
        <v>9.375E-2</v>
      </c>
      <c r="AF39" s="58">
        <v>126</v>
      </c>
      <c r="AG39" s="50">
        <v>5</v>
      </c>
      <c r="AH39" s="31">
        <f>IF(AJ38="",AI38,AJ38)</f>
        <v>0.89652777777777781</v>
      </c>
      <c r="AI39" s="32"/>
      <c r="AJ39" s="31">
        <f>IF(AH40="",AI40,AH40)</f>
        <v>0.9604166666666667</v>
      </c>
      <c r="AK39" s="32"/>
      <c r="AL39" s="32">
        <f>AJ39-AH39</f>
        <v>6.3888888888888884E-2</v>
      </c>
      <c r="AM39" s="32"/>
      <c r="AN39" s="27">
        <v>0.44444444444444442</v>
      </c>
      <c r="AO39" s="28">
        <f t="shared" si="2"/>
        <v>2.7777777777777735E-2</v>
      </c>
      <c r="AP39" s="29">
        <v>0.86319444444444449</v>
      </c>
      <c r="AQ39" s="30">
        <f t="shared" si="3"/>
        <v>3.125E-2</v>
      </c>
    </row>
    <row r="40" spans="2:43" ht="24" customHeight="1" thickBot="1" x14ac:dyDescent="0.3">
      <c r="B40" s="316"/>
      <c r="C40" s="303"/>
      <c r="D40" s="27">
        <v>0.64444444444444449</v>
      </c>
      <c r="E40" s="29">
        <v>0.69097222222222221</v>
      </c>
      <c r="F40" s="29">
        <v>0.74097222222222225</v>
      </c>
      <c r="G40" s="20">
        <f>F40-D40</f>
        <v>9.6527777777777768E-2</v>
      </c>
      <c r="H40" s="58">
        <v>126</v>
      </c>
      <c r="I40" s="50">
        <v>1</v>
      </c>
      <c r="J40" s="31">
        <f>IF(L39="",K39,L39)</f>
        <v>0.78611111111111109</v>
      </c>
      <c r="K40" s="32"/>
      <c r="L40" s="31">
        <f>IF(J41="",K41,J41)</f>
        <v>0.86319444444444449</v>
      </c>
      <c r="M40" s="32"/>
      <c r="N40" s="32">
        <f>L40-J40</f>
        <v>7.7083333333333393E-2</v>
      </c>
      <c r="O40" s="32"/>
      <c r="P40" s="31">
        <f>IF(R39="",Q39,R39)</f>
        <v>0.82916666666666672</v>
      </c>
      <c r="Q40" s="32"/>
      <c r="R40" s="31">
        <f>IF(P41="",Q41,P41)</f>
        <v>0.8979166666666667</v>
      </c>
      <c r="S40" s="32"/>
      <c r="T40" s="32">
        <f>R40-P40</f>
        <v>6.8749999999999978E-2</v>
      </c>
      <c r="U40" s="32"/>
      <c r="V40" s="31">
        <f>IF(X39="",W39,X39)</f>
        <v>0.87430555555555556</v>
      </c>
      <c r="W40" s="32"/>
      <c r="X40" s="31">
        <f>IF(V41="",W41,V41)</f>
        <v>0.93263888888888891</v>
      </c>
      <c r="Y40" s="32"/>
      <c r="Z40" s="32">
        <f>X40-V40</f>
        <v>5.8333333333333348E-2</v>
      </c>
      <c r="AA40" s="32"/>
      <c r="AB40" s="31">
        <f>IF(AD39="",AC39,AD39)</f>
        <v>0.92569444444444449</v>
      </c>
      <c r="AC40" s="32"/>
      <c r="AD40" s="31">
        <f>IF(AB41="",AC41,AB41)</f>
        <v>1.0006944444444446</v>
      </c>
      <c r="AE40" s="32"/>
      <c r="AF40" s="32">
        <f>AD40-AB40</f>
        <v>7.5000000000000067E-2</v>
      </c>
      <c r="AG40" s="32"/>
      <c r="AH40" s="27">
        <v>0.9604166666666667</v>
      </c>
      <c r="AI40" s="29">
        <v>1.0013888888888889</v>
      </c>
      <c r="AJ40" s="29">
        <v>1.0361111111111112</v>
      </c>
      <c r="AK40" s="20">
        <f>AJ40-AH40</f>
        <v>7.5694444444444509E-2</v>
      </c>
      <c r="AL40" s="58">
        <v>126</v>
      </c>
      <c r="AM40" s="64">
        <v>6</v>
      </c>
      <c r="AN40" s="27">
        <v>0.47222222222222221</v>
      </c>
      <c r="AO40" s="28">
        <f t="shared" si="2"/>
        <v>2.777777777777779E-2</v>
      </c>
      <c r="AP40" s="29">
        <v>0.8979166666666667</v>
      </c>
      <c r="AQ40" s="30">
        <f t="shared" si="3"/>
        <v>3.472222222222221E-2</v>
      </c>
    </row>
    <row r="41" spans="2:43" ht="24" customHeight="1" thickBot="1" x14ac:dyDescent="0.3">
      <c r="B41" s="316"/>
      <c r="C41" s="303"/>
      <c r="D41" s="27">
        <v>0.74861111111111112</v>
      </c>
      <c r="E41" s="29">
        <v>0.80694444444444446</v>
      </c>
      <c r="F41" s="29">
        <v>0.85763888888888884</v>
      </c>
      <c r="G41" s="20">
        <f>F41-D41</f>
        <v>0.10902777777777772</v>
      </c>
      <c r="H41" s="58">
        <v>126</v>
      </c>
      <c r="I41" s="50">
        <v>1</v>
      </c>
      <c r="J41" s="27">
        <v>0.86319444444444449</v>
      </c>
      <c r="K41" s="29">
        <v>0.90902777777777777</v>
      </c>
      <c r="L41" s="29">
        <v>0.94930555555555551</v>
      </c>
      <c r="M41" s="20">
        <f>L41-J41</f>
        <v>8.6111111111111027E-2</v>
      </c>
      <c r="N41" s="58">
        <v>126</v>
      </c>
      <c r="O41" s="50">
        <v>2</v>
      </c>
      <c r="P41" s="27">
        <v>0.8979166666666667</v>
      </c>
      <c r="Q41" s="29">
        <v>0.94374999999999998</v>
      </c>
      <c r="R41" s="29">
        <v>0.98611111111111116</v>
      </c>
      <c r="S41" s="20">
        <f>R41-P41</f>
        <v>8.8194444444444464E-2</v>
      </c>
      <c r="T41" s="58">
        <v>126</v>
      </c>
      <c r="U41" s="50">
        <v>3</v>
      </c>
      <c r="V41" s="27">
        <v>0.93263888888888891</v>
      </c>
      <c r="W41" s="29">
        <v>0.97152777777777777</v>
      </c>
      <c r="X41" s="29">
        <v>1.0062500000000001</v>
      </c>
      <c r="Y41" s="20">
        <f>X41-V41</f>
        <v>7.3611111111111183E-2</v>
      </c>
      <c r="Z41" s="58">
        <v>126</v>
      </c>
      <c r="AA41" s="50">
        <v>4</v>
      </c>
      <c r="AB41" s="27">
        <v>1.0006944444444446</v>
      </c>
      <c r="AC41" s="29">
        <v>1.0416666666666667</v>
      </c>
      <c r="AD41" s="29">
        <v>1.0687500000000001</v>
      </c>
      <c r="AE41" s="20">
        <f>AD41-AB41</f>
        <v>6.8055555555555536E-2</v>
      </c>
      <c r="AF41" s="58">
        <v>126</v>
      </c>
      <c r="AG41" s="50">
        <v>5</v>
      </c>
      <c r="AH41" s="27">
        <v>1.0416666666666667</v>
      </c>
      <c r="AI41" s="29">
        <v>1.0826388888888889</v>
      </c>
      <c r="AJ41" s="29">
        <v>1.1215277777777777</v>
      </c>
      <c r="AK41" s="20">
        <f>AJ41-AH41</f>
        <v>7.9861111111110938E-2</v>
      </c>
      <c r="AL41" s="58">
        <v>126</v>
      </c>
      <c r="AM41" s="64">
        <v>6</v>
      </c>
      <c r="AN41" s="27">
        <v>0.50347222222222221</v>
      </c>
      <c r="AO41" s="28">
        <f t="shared" si="2"/>
        <v>3.125E-2</v>
      </c>
      <c r="AP41" s="29">
        <v>0.93263888888888891</v>
      </c>
      <c r="AQ41" s="30">
        <f t="shared" si="3"/>
        <v>3.472222222222221E-2</v>
      </c>
    </row>
    <row r="42" spans="2:43" ht="24" customHeight="1" thickBot="1" x14ac:dyDescent="0.3">
      <c r="B42" s="316"/>
      <c r="C42" s="304"/>
      <c r="D42" s="320" t="s">
        <v>59</v>
      </c>
      <c r="E42" s="321"/>
      <c r="F42" s="321"/>
      <c r="G42" s="321"/>
      <c r="H42" s="321"/>
      <c r="I42" s="322"/>
      <c r="J42" s="320" t="s">
        <v>59</v>
      </c>
      <c r="K42" s="321"/>
      <c r="L42" s="321"/>
      <c r="M42" s="321"/>
      <c r="N42" s="321"/>
      <c r="O42" s="322"/>
      <c r="P42" s="320" t="s">
        <v>59</v>
      </c>
      <c r="Q42" s="321"/>
      <c r="R42" s="321"/>
      <c r="S42" s="321"/>
      <c r="T42" s="321"/>
      <c r="U42" s="322"/>
      <c r="V42" s="320" t="s">
        <v>59</v>
      </c>
      <c r="W42" s="321"/>
      <c r="X42" s="321"/>
      <c r="Y42" s="321"/>
      <c r="Z42" s="321"/>
      <c r="AA42" s="322"/>
      <c r="AB42" s="320" t="s">
        <v>59</v>
      </c>
      <c r="AC42" s="321"/>
      <c r="AD42" s="321"/>
      <c r="AE42" s="321"/>
      <c r="AF42" s="321"/>
      <c r="AG42" s="322"/>
      <c r="AH42" s="320" t="s">
        <v>59</v>
      </c>
      <c r="AI42" s="321"/>
      <c r="AJ42" s="321"/>
      <c r="AK42" s="321"/>
      <c r="AL42" s="321"/>
      <c r="AM42" s="322"/>
      <c r="AN42" s="27">
        <v>0.53819444444444442</v>
      </c>
      <c r="AO42" s="28">
        <f t="shared" si="2"/>
        <v>3.472222222222221E-2</v>
      </c>
      <c r="AP42" s="29">
        <v>0.9604166666666667</v>
      </c>
      <c r="AQ42" s="30">
        <f t="shared" si="3"/>
        <v>2.777777777777779E-2</v>
      </c>
    </row>
    <row r="43" spans="2:43" ht="24" customHeight="1" thickBot="1" x14ac:dyDescent="0.3">
      <c r="B43" s="317"/>
      <c r="C43" s="36" t="s">
        <v>17</v>
      </c>
      <c r="D43" s="37">
        <f>MAX(E38:F41)-IF(D38="",E38,D38)-MIN(H38:H41)+$C35</f>
        <v>0.30833333333333324</v>
      </c>
      <c r="E43" s="51"/>
      <c r="F43" s="51"/>
      <c r="G43" s="52"/>
      <c r="H43" s="53">
        <f ca="1">OFFSET(H37,MATCH(MIN(H38:H41),H38:H41,0),-4)-IF(D38="",E38,D38)</f>
        <v>8.8194444444444464E-2</v>
      </c>
      <c r="I43" s="54"/>
      <c r="J43" s="37">
        <f>MAX(K38:L41)-IF(J38="",K38,J38)-MIN(N38:N41)+$C35</f>
        <v>0.28541666666666654</v>
      </c>
      <c r="K43" s="38"/>
      <c r="L43" s="38"/>
      <c r="M43" s="39"/>
      <c r="N43" s="53">
        <f ca="1">OFFSET(N37,MATCH(MIN(N38:N41),N38:N41,0),-4)-IF(J38="",K38,J38)</f>
        <v>0.19236111111111109</v>
      </c>
      <c r="O43" s="41"/>
      <c r="P43" s="37">
        <f>MAX(Q38:R41)-IF(P38="",Q38,P38)-MIN(T38:T41)+$C35</f>
        <v>0.30069444444444449</v>
      </c>
      <c r="Q43" s="38"/>
      <c r="R43" s="38"/>
      <c r="S43" s="39"/>
      <c r="T43" s="53">
        <f ca="1">OFFSET(T37,MATCH(MIN(T38:T41),T38:T41,0),-4)-IF(P38="",Q38,P38)</f>
        <v>0.2055555555555556</v>
      </c>
      <c r="U43" s="41"/>
      <c r="V43" s="37">
        <f>MAX(W38:X41)-IF(V38="",W38,V38)-MIN(Z38:Z41)+$C35</f>
        <v>0.28958333333333341</v>
      </c>
      <c r="W43" s="38"/>
      <c r="X43" s="38"/>
      <c r="Y43" s="39"/>
      <c r="Z43" s="53">
        <f ca="1">OFFSET(Z37,MATCH(MIN(Z38:Z41),Z38:Z41,0),-4)-IF(V38="",W38,V38)</f>
        <v>0.20902777777777781</v>
      </c>
      <c r="AA43" s="41"/>
      <c r="AB43" s="37">
        <f>MAX(AC38:AD41)-IF(AB38="",AC38,AB38)-MIN(AF38:AF41)+$C35</f>
        <v>0.29374999999999996</v>
      </c>
      <c r="AC43" s="38"/>
      <c r="AD43" s="38"/>
      <c r="AE43" s="39"/>
      <c r="AF43" s="53">
        <f ca="1">OFFSET(AF37,MATCH(MIN(AF38:AF41),AF38:AF41,0),-4)-IF(AB38="",AC38,AB38)</f>
        <v>0.21875</v>
      </c>
      <c r="AG43" s="41"/>
      <c r="AH43" s="37">
        <f>MAX(AI38:AJ41)-IF(AH38="",AI38,AH38)-MIN(AL38:AL41)+$C35</f>
        <v>0.26388888888888873</v>
      </c>
      <c r="AI43" s="38"/>
      <c r="AJ43" s="38"/>
      <c r="AK43" s="39"/>
      <c r="AL43" s="53">
        <f ca="1">OFFSET(AL37,MATCH(MIN(AL38:AL41),AL38:AL41,0),-4)-IF(AH38="",AI38,AH38)</f>
        <v>9.5833333333333326E-2</v>
      </c>
      <c r="AM43" s="42"/>
      <c r="AN43" s="27">
        <v>0.57291666666666663</v>
      </c>
      <c r="AO43" s="28">
        <f t="shared" si="2"/>
        <v>3.472222222222221E-2</v>
      </c>
      <c r="AP43" s="29">
        <v>1.0006944444444446</v>
      </c>
      <c r="AQ43" s="30">
        <f t="shared" si="3"/>
        <v>4.0277777777777857E-2</v>
      </c>
    </row>
    <row r="44" spans="2:43" ht="24" customHeight="1" thickBot="1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43">
        <v>0.59375</v>
      </c>
      <c r="AO44" s="44">
        <f t="shared" si="2"/>
        <v>2.083333333333337E-2</v>
      </c>
      <c r="AP44" s="45">
        <v>1.0416666666666667</v>
      </c>
      <c r="AQ44" s="46">
        <f t="shared" si="3"/>
        <v>4.0972222222222188E-2</v>
      </c>
    </row>
    <row r="45" spans="2:43" ht="24" customHeight="1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2:43" ht="24" customHeight="1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2:43" ht="24" customHeight="1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2:43" ht="24" customHeight="1" thickBo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2:43" ht="24" customHeight="1" thickBot="1" x14ac:dyDescent="0.3">
      <c r="B49" s="310">
        <v>46272</v>
      </c>
      <c r="C49" s="2" t="s">
        <v>63</v>
      </c>
      <c r="D49" s="3"/>
      <c r="E49" s="3"/>
      <c r="F49" s="3"/>
      <c r="G49" s="3"/>
      <c r="H49" s="4"/>
      <c r="I49" s="5"/>
      <c r="J49" s="3"/>
      <c r="K49" s="3"/>
      <c r="L49" s="3"/>
      <c r="M49" s="3"/>
      <c r="N49" s="4"/>
      <c r="O49" s="5"/>
      <c r="P49" s="3"/>
      <c r="Q49" s="3"/>
      <c r="R49" s="3"/>
      <c r="S49" s="3"/>
      <c r="T49" s="4"/>
      <c r="U49" s="5"/>
      <c r="V49" s="3"/>
      <c r="W49" s="3"/>
      <c r="X49" s="3"/>
      <c r="Y49" s="3"/>
      <c r="Z49" s="4"/>
      <c r="AA49" s="5"/>
      <c r="AB49" s="3"/>
      <c r="AC49" s="3"/>
      <c r="AD49" s="3"/>
      <c r="AE49" s="3"/>
      <c r="AF49" s="4"/>
      <c r="AG49" s="5"/>
      <c r="AH49" s="3"/>
      <c r="AI49" s="3"/>
      <c r="AJ49" s="3"/>
      <c r="AK49" s="3"/>
      <c r="AL49" s="4"/>
      <c r="AM49" s="5"/>
      <c r="AN49" s="359" t="s">
        <v>56</v>
      </c>
      <c r="AO49" s="360"/>
      <c r="AP49" s="360"/>
      <c r="AQ49" s="361"/>
    </row>
    <row r="50" spans="2:43" ht="24" customHeight="1" thickBot="1" x14ac:dyDescent="0.3">
      <c r="B50" s="316"/>
      <c r="C50" s="357">
        <v>6.9444444444444441E-3</v>
      </c>
      <c r="D50" s="9" t="s">
        <v>2</v>
      </c>
      <c r="E50" s="7"/>
      <c r="F50" s="7"/>
      <c r="G50" s="7"/>
      <c r="H50" s="7"/>
      <c r="I50" s="8"/>
      <c r="J50" s="9"/>
      <c r="K50" s="7"/>
      <c r="L50" s="7"/>
      <c r="M50" s="7"/>
      <c r="N50" s="7"/>
      <c r="O50" s="8"/>
      <c r="P50" s="9"/>
      <c r="Q50" s="7"/>
      <c r="R50" s="7"/>
      <c r="S50" s="7"/>
      <c r="T50" s="7"/>
      <c r="U50" s="8"/>
      <c r="V50" s="9"/>
      <c r="W50" s="7"/>
      <c r="X50" s="7"/>
      <c r="Y50" s="7"/>
      <c r="Z50" s="7"/>
      <c r="AA50" s="8"/>
      <c r="AB50" s="9"/>
      <c r="AC50" s="7"/>
      <c r="AD50" s="7"/>
      <c r="AE50" s="7"/>
      <c r="AF50" s="7"/>
      <c r="AG50" s="8"/>
      <c r="AH50" s="9"/>
      <c r="AI50" s="7"/>
      <c r="AJ50" s="7"/>
      <c r="AK50" s="7"/>
      <c r="AL50" s="7"/>
      <c r="AM50" s="8"/>
      <c r="AN50" s="362" t="s">
        <v>64</v>
      </c>
      <c r="AO50" s="363"/>
      <c r="AP50" s="363"/>
      <c r="AQ50" s="364"/>
    </row>
    <row r="51" spans="2:43" ht="24" customHeight="1" thickBot="1" x14ac:dyDescent="0.3">
      <c r="B51" s="316"/>
      <c r="C51" s="358"/>
      <c r="D51" s="9" t="s">
        <v>4</v>
      </c>
      <c r="E51" s="7"/>
      <c r="F51" s="7"/>
      <c r="G51" s="7"/>
      <c r="H51" s="7"/>
      <c r="I51" s="8"/>
      <c r="J51" s="9" t="s">
        <v>5</v>
      </c>
      <c r="K51" s="7"/>
      <c r="L51" s="7"/>
      <c r="M51" s="7"/>
      <c r="N51" s="7"/>
      <c r="O51" s="8"/>
      <c r="P51" s="9" t="s">
        <v>6</v>
      </c>
      <c r="Q51" s="7"/>
      <c r="R51" s="7"/>
      <c r="S51" s="7"/>
      <c r="T51" s="7"/>
      <c r="U51" s="8"/>
      <c r="V51" s="9" t="s">
        <v>43</v>
      </c>
      <c r="W51" s="7"/>
      <c r="X51" s="7"/>
      <c r="Y51" s="7"/>
      <c r="Z51" s="7"/>
      <c r="AA51" s="7"/>
      <c r="AB51" s="9" t="s">
        <v>57</v>
      </c>
      <c r="AC51" s="7"/>
      <c r="AD51" s="7"/>
      <c r="AE51" s="7"/>
      <c r="AF51" s="7"/>
      <c r="AG51" s="8"/>
      <c r="AH51" s="7" t="s">
        <v>58</v>
      </c>
      <c r="AI51" s="7"/>
      <c r="AJ51" s="7"/>
      <c r="AK51" s="7"/>
      <c r="AL51" s="7"/>
      <c r="AM51" s="8"/>
      <c r="AN51" s="6" t="str">
        <f>CONCATENATE(COUNT(AN53:AN68,AP53:AP68)," VIAGENS")</f>
        <v>32 VIAGENS</v>
      </c>
      <c r="AO51" s="7"/>
      <c r="AP51" s="7"/>
      <c r="AQ51" s="8"/>
    </row>
    <row r="52" spans="2:43" ht="24" customHeight="1" thickBot="1" x14ac:dyDescent="0.3">
      <c r="B52" s="316"/>
      <c r="C52" s="313" t="s">
        <v>7</v>
      </c>
      <c r="D52" s="13" t="s">
        <v>8</v>
      </c>
      <c r="E52" s="14" t="s">
        <v>9</v>
      </c>
      <c r="F52" s="15" t="s">
        <v>10</v>
      </c>
      <c r="G52" s="14" t="s">
        <v>11</v>
      </c>
      <c r="H52" s="15" t="s">
        <v>12</v>
      </c>
      <c r="I52" s="14" t="s">
        <v>13</v>
      </c>
      <c r="J52" s="13" t="s">
        <v>8</v>
      </c>
      <c r="K52" s="14" t="s">
        <v>9</v>
      </c>
      <c r="L52" s="15" t="s">
        <v>10</v>
      </c>
      <c r="M52" s="14" t="s">
        <v>11</v>
      </c>
      <c r="N52" s="15" t="s">
        <v>12</v>
      </c>
      <c r="O52" s="14" t="s">
        <v>13</v>
      </c>
      <c r="P52" s="13" t="s">
        <v>8</v>
      </c>
      <c r="Q52" s="14" t="s">
        <v>9</v>
      </c>
      <c r="R52" s="15" t="s">
        <v>10</v>
      </c>
      <c r="S52" s="14" t="s">
        <v>11</v>
      </c>
      <c r="T52" s="15" t="s">
        <v>12</v>
      </c>
      <c r="U52" s="14" t="s">
        <v>13</v>
      </c>
      <c r="V52" s="13" t="s">
        <v>8</v>
      </c>
      <c r="W52" s="14" t="s">
        <v>9</v>
      </c>
      <c r="X52" s="15" t="s">
        <v>10</v>
      </c>
      <c r="Y52" s="14" t="s">
        <v>11</v>
      </c>
      <c r="Z52" s="15" t="s">
        <v>12</v>
      </c>
      <c r="AA52" s="13" t="s">
        <v>13</v>
      </c>
      <c r="AB52" s="13" t="s">
        <v>8</v>
      </c>
      <c r="AC52" s="14" t="s">
        <v>9</v>
      </c>
      <c r="AD52" s="15" t="s">
        <v>10</v>
      </c>
      <c r="AE52" s="14" t="s">
        <v>11</v>
      </c>
      <c r="AF52" s="15" t="s">
        <v>12</v>
      </c>
      <c r="AG52" s="14" t="s">
        <v>13</v>
      </c>
      <c r="AH52" s="15" t="s">
        <v>8</v>
      </c>
      <c r="AI52" s="14" t="s">
        <v>9</v>
      </c>
      <c r="AJ52" s="15" t="s">
        <v>10</v>
      </c>
      <c r="AK52" s="14" t="s">
        <v>11</v>
      </c>
      <c r="AL52" s="15" t="s">
        <v>12</v>
      </c>
      <c r="AM52" s="14" t="s">
        <v>13</v>
      </c>
      <c r="AN52" s="16" t="s">
        <v>14</v>
      </c>
      <c r="AO52" s="17" t="s">
        <v>15</v>
      </c>
      <c r="AP52" s="16" t="s">
        <v>14</v>
      </c>
      <c r="AQ52" s="17" t="s">
        <v>15</v>
      </c>
    </row>
    <row r="53" spans="2:43" ht="24" customHeight="1" thickBot="1" x14ac:dyDescent="0.3">
      <c r="B53" s="316"/>
      <c r="C53" s="314"/>
      <c r="D53" s="18">
        <v>0.2013888888888889</v>
      </c>
      <c r="E53" s="19">
        <v>0.2409722222222222</v>
      </c>
      <c r="F53" s="19">
        <v>0.28541666666666671</v>
      </c>
      <c r="G53" s="20">
        <f>F53-D53</f>
        <v>8.4027777777777812E-2</v>
      </c>
      <c r="H53" s="55">
        <v>126</v>
      </c>
      <c r="I53" s="22">
        <v>1</v>
      </c>
      <c r="J53" s="18">
        <v>0.21875</v>
      </c>
      <c r="K53" s="19">
        <v>0.25972222222222219</v>
      </c>
      <c r="L53" s="19">
        <v>0.30625000000000002</v>
      </c>
      <c r="M53" s="20">
        <f>L53-J53</f>
        <v>8.7500000000000022E-2</v>
      </c>
      <c r="N53" s="55">
        <v>126</v>
      </c>
      <c r="O53" s="22">
        <v>2</v>
      </c>
      <c r="P53" s="18">
        <v>0.2361111111111111</v>
      </c>
      <c r="Q53" s="19">
        <v>0.28263888888888888</v>
      </c>
      <c r="R53" s="19">
        <v>0.33055555555555549</v>
      </c>
      <c r="S53" s="20">
        <f>R53-P53</f>
        <v>9.4444444444444386E-2</v>
      </c>
      <c r="T53" s="55">
        <v>126</v>
      </c>
      <c r="U53" s="22">
        <v>3</v>
      </c>
      <c r="V53" s="18">
        <v>0.25347222222222221</v>
      </c>
      <c r="W53" s="19">
        <v>0.30138888888888887</v>
      </c>
      <c r="X53" s="19">
        <v>0.35208333333333341</v>
      </c>
      <c r="Y53" s="20">
        <f>X53-V53</f>
        <v>9.8611111111111205E-2</v>
      </c>
      <c r="Z53" s="55">
        <v>126</v>
      </c>
      <c r="AA53" s="22">
        <v>4</v>
      </c>
      <c r="AB53" s="18">
        <v>0.27777777777777779</v>
      </c>
      <c r="AC53" s="19">
        <v>0.32430555555555562</v>
      </c>
      <c r="AD53" s="19">
        <v>0.37361111111111112</v>
      </c>
      <c r="AE53" s="20">
        <f>AD53-AB53</f>
        <v>9.5833333333333326E-2</v>
      </c>
      <c r="AF53" s="55">
        <v>126</v>
      </c>
      <c r="AG53" s="22">
        <v>5</v>
      </c>
      <c r="AH53" s="18">
        <v>0.30208333333333331</v>
      </c>
      <c r="AI53" s="19">
        <v>0.35</v>
      </c>
      <c r="AJ53" s="19">
        <v>0.39513888888888887</v>
      </c>
      <c r="AK53" s="20">
        <f>AJ53-AH53</f>
        <v>9.3055555555555558E-2</v>
      </c>
      <c r="AL53" s="55">
        <v>126</v>
      </c>
      <c r="AM53" s="22">
        <v>6</v>
      </c>
      <c r="AN53" s="23">
        <v>0.2013888888888889</v>
      </c>
      <c r="AO53" s="24"/>
      <c r="AP53" s="25">
        <v>0.62361111111111112</v>
      </c>
      <c r="AQ53" s="26">
        <f>AP53-AN68</f>
        <v>2.9861111111111116E-2</v>
      </c>
    </row>
    <row r="54" spans="2:43" ht="24" customHeight="1" thickBot="1" x14ac:dyDescent="0.3">
      <c r="B54" s="316"/>
      <c r="C54" s="314"/>
      <c r="D54" s="31">
        <f>IF(F53="",E53,F53)</f>
        <v>0.28541666666666671</v>
      </c>
      <c r="E54" s="32"/>
      <c r="F54" s="31">
        <f>IF(D55="",E55,D55)</f>
        <v>0.33333333333333331</v>
      </c>
      <c r="G54" s="32"/>
      <c r="H54" s="32">
        <f>F54-D54</f>
        <v>4.7916666666666607E-2</v>
      </c>
      <c r="I54" s="32"/>
      <c r="J54" s="31">
        <f>IF(L53="",K53,L53)</f>
        <v>0.30625000000000002</v>
      </c>
      <c r="K54" s="32"/>
      <c r="L54" s="31">
        <f>IF(J55="",K55,J55)</f>
        <v>0.3611111111111111</v>
      </c>
      <c r="M54" s="32"/>
      <c r="N54" s="32">
        <f>L54-J54</f>
        <v>5.4861111111111083E-2</v>
      </c>
      <c r="O54" s="32"/>
      <c r="P54" s="31">
        <f>IF(R53="",Q53,R53)</f>
        <v>0.33055555555555549</v>
      </c>
      <c r="Q54" s="32"/>
      <c r="R54" s="31">
        <f>IF(P55="",Q55,P55)</f>
        <v>0.3888888888888889</v>
      </c>
      <c r="S54" s="32"/>
      <c r="T54" s="32">
        <f>R54-P54</f>
        <v>5.8333333333333404E-2</v>
      </c>
      <c r="U54" s="32"/>
      <c r="V54" s="31">
        <f>IF(X53="",W53,X53)</f>
        <v>0.35208333333333341</v>
      </c>
      <c r="W54" s="32"/>
      <c r="X54" s="31">
        <f>IF(V55="",W55,V55)</f>
        <v>0.41666666666666669</v>
      </c>
      <c r="Y54" s="32"/>
      <c r="Z54" s="32">
        <f>X54-V54</f>
        <v>6.458333333333327E-2</v>
      </c>
      <c r="AA54" s="32"/>
      <c r="AB54" s="31">
        <f>IF(AD53="",AC53,AD53)</f>
        <v>0.37361111111111112</v>
      </c>
      <c r="AC54" s="32"/>
      <c r="AD54" s="31">
        <f>IF(AB55="",AC55,AB55)</f>
        <v>0.44444444444444442</v>
      </c>
      <c r="AE54" s="32"/>
      <c r="AF54" s="32">
        <f>AD54-AB54</f>
        <v>7.0833333333333304E-2</v>
      </c>
      <c r="AG54" s="32"/>
      <c r="AH54" s="31">
        <f>IF(AJ53="",AI53,AJ53)</f>
        <v>0.39513888888888887</v>
      </c>
      <c r="AI54" s="32"/>
      <c r="AJ54" s="31">
        <f>IF(AH55="",AI55,AH55)</f>
        <v>0.47222222222222221</v>
      </c>
      <c r="AK54" s="32"/>
      <c r="AL54" s="32">
        <f>AJ54-AH54</f>
        <v>7.7083333333333337E-2</v>
      </c>
      <c r="AM54" s="32"/>
      <c r="AN54" s="27">
        <v>0.21875</v>
      </c>
      <c r="AO54" s="28">
        <f t="shared" ref="AO54:AO68" si="4">AN54-AN53</f>
        <v>1.7361111111111105E-2</v>
      </c>
      <c r="AP54" s="29">
        <v>0.64444444444444449</v>
      </c>
      <c r="AQ54" s="30">
        <f t="shared" ref="AQ54:AQ68" si="5">AP54-AP53</f>
        <v>2.083333333333337E-2</v>
      </c>
    </row>
    <row r="55" spans="2:43" ht="24" customHeight="1" x14ac:dyDescent="0.25">
      <c r="B55" s="316"/>
      <c r="C55" s="314"/>
      <c r="D55" s="18">
        <v>0.33333333333333331</v>
      </c>
      <c r="E55" s="19">
        <v>0.38055555555555548</v>
      </c>
      <c r="F55" s="19">
        <v>0.4284722222222222</v>
      </c>
      <c r="G55" s="20">
        <f>F55-D55</f>
        <v>9.5138888888888884E-2</v>
      </c>
      <c r="H55" s="55">
        <v>126</v>
      </c>
      <c r="I55" s="22">
        <v>1</v>
      </c>
      <c r="J55" s="18">
        <v>0.3611111111111111</v>
      </c>
      <c r="K55" s="19">
        <v>0.40972222222222221</v>
      </c>
      <c r="L55" s="19">
        <v>0.4597222222222222</v>
      </c>
      <c r="M55" s="20">
        <f>L55-J55</f>
        <v>9.8611111111111094E-2</v>
      </c>
      <c r="N55" s="55">
        <v>126</v>
      </c>
      <c r="O55" s="22">
        <v>2</v>
      </c>
      <c r="P55" s="18">
        <v>0.3888888888888889</v>
      </c>
      <c r="Q55" s="19">
        <v>0.43680555555555561</v>
      </c>
      <c r="R55" s="19">
        <v>0.47986111111111113</v>
      </c>
      <c r="S55" s="20">
        <f>R55-P55</f>
        <v>9.0972222222222232E-2</v>
      </c>
      <c r="T55" s="55">
        <v>126</v>
      </c>
      <c r="U55" s="22">
        <v>3</v>
      </c>
      <c r="V55" s="18">
        <v>0.41666666666666669</v>
      </c>
      <c r="W55" s="19">
        <v>0.46736111111111112</v>
      </c>
      <c r="X55" s="19">
        <v>0.51527777777777772</v>
      </c>
      <c r="Y55" s="20">
        <f>X55-V55</f>
        <v>9.8611111111111038E-2</v>
      </c>
      <c r="Z55" s="55">
        <v>126</v>
      </c>
      <c r="AA55" s="22">
        <v>4</v>
      </c>
      <c r="AB55" s="18">
        <v>0.44444444444444442</v>
      </c>
      <c r="AC55" s="19">
        <v>0.48472222222222222</v>
      </c>
      <c r="AD55" s="19">
        <v>0.53263888888888888</v>
      </c>
      <c r="AE55" s="20">
        <f>AD55-AB55</f>
        <v>8.8194444444444464E-2</v>
      </c>
      <c r="AF55" s="55">
        <v>126</v>
      </c>
      <c r="AG55" s="22">
        <v>5</v>
      </c>
      <c r="AH55" s="18">
        <v>0.47222222222222221</v>
      </c>
      <c r="AI55" s="19">
        <v>0.51458333333333328</v>
      </c>
      <c r="AJ55" s="19">
        <v>0.56319444444444444</v>
      </c>
      <c r="AK55" s="20">
        <f>AJ55-AH55</f>
        <v>9.0972222222222232E-2</v>
      </c>
      <c r="AL55" s="55">
        <v>126</v>
      </c>
      <c r="AM55" s="22">
        <v>6</v>
      </c>
      <c r="AN55" s="27">
        <v>0.2361111111111111</v>
      </c>
      <c r="AO55" s="28">
        <f t="shared" si="4"/>
        <v>1.7361111111111105E-2</v>
      </c>
      <c r="AP55" s="29">
        <v>0.66527777777777775</v>
      </c>
      <c r="AQ55" s="30">
        <f t="shared" si="5"/>
        <v>2.0833333333333259E-2</v>
      </c>
    </row>
    <row r="56" spans="2:43" ht="24" customHeight="1" thickBot="1" x14ac:dyDescent="0.3">
      <c r="B56" s="316"/>
      <c r="C56" s="314"/>
      <c r="D56" s="18"/>
      <c r="E56" s="19"/>
      <c r="F56" s="19"/>
      <c r="G56" s="20"/>
      <c r="H56" s="55"/>
      <c r="I56" s="22"/>
      <c r="J56" s="18"/>
      <c r="K56" s="19"/>
      <c r="L56" s="19"/>
      <c r="M56" s="20"/>
      <c r="N56" s="55"/>
      <c r="O56" s="22"/>
      <c r="P56" s="18"/>
      <c r="Q56" s="19"/>
      <c r="R56" s="19"/>
      <c r="S56" s="20"/>
      <c r="T56" s="55"/>
      <c r="U56" s="22"/>
      <c r="V56" s="18"/>
      <c r="W56" s="19"/>
      <c r="X56" s="19"/>
      <c r="Y56" s="20"/>
      <c r="Z56" s="55"/>
      <c r="AA56" s="22"/>
      <c r="AB56" s="18">
        <v>0.53819444444444442</v>
      </c>
      <c r="AC56" s="19">
        <v>0.5805555555555556</v>
      </c>
      <c r="AD56" s="19">
        <v>0.62569444444444444</v>
      </c>
      <c r="AE56" s="20">
        <f>AD56-AB56</f>
        <v>8.7500000000000022E-2</v>
      </c>
      <c r="AF56" s="55">
        <v>126</v>
      </c>
      <c r="AG56" s="22">
        <v>5</v>
      </c>
      <c r="AH56" s="18">
        <v>0.57291666666666663</v>
      </c>
      <c r="AI56" s="19">
        <v>0.61527777777777781</v>
      </c>
      <c r="AJ56" s="19">
        <v>0.65694444444444444</v>
      </c>
      <c r="AK56" s="20">
        <f>AJ56-AH56</f>
        <v>8.4027777777777812E-2</v>
      </c>
      <c r="AL56" s="55">
        <v>126</v>
      </c>
      <c r="AM56" s="22">
        <v>6</v>
      </c>
      <c r="AN56" s="27">
        <v>0.25347222222222221</v>
      </c>
      <c r="AO56" s="28">
        <f t="shared" si="4"/>
        <v>1.7361111111111105E-2</v>
      </c>
      <c r="AP56" s="29">
        <v>0.68958333333333333</v>
      </c>
      <c r="AQ56" s="30">
        <f t="shared" si="5"/>
        <v>2.430555555555558E-2</v>
      </c>
    </row>
    <row r="57" spans="2:43" ht="24" customHeight="1" thickBot="1" x14ac:dyDescent="0.3">
      <c r="B57" s="316"/>
      <c r="C57" s="315"/>
      <c r="D57" s="320" t="s">
        <v>59</v>
      </c>
      <c r="E57" s="321"/>
      <c r="F57" s="321"/>
      <c r="G57" s="321"/>
      <c r="H57" s="321"/>
      <c r="I57" s="322"/>
      <c r="J57" s="320" t="s">
        <v>59</v>
      </c>
      <c r="K57" s="321"/>
      <c r="L57" s="321"/>
      <c r="M57" s="321"/>
      <c r="N57" s="321"/>
      <c r="O57" s="322"/>
      <c r="P57" s="320" t="s">
        <v>59</v>
      </c>
      <c r="Q57" s="321"/>
      <c r="R57" s="321"/>
      <c r="S57" s="321"/>
      <c r="T57" s="321"/>
      <c r="U57" s="322"/>
      <c r="V57" s="320" t="s">
        <v>59</v>
      </c>
      <c r="W57" s="321"/>
      <c r="X57" s="321"/>
      <c r="Y57" s="321"/>
      <c r="Z57" s="321"/>
      <c r="AA57" s="322"/>
      <c r="AB57" s="320" t="s">
        <v>59</v>
      </c>
      <c r="AC57" s="321"/>
      <c r="AD57" s="321"/>
      <c r="AE57" s="321"/>
      <c r="AF57" s="321"/>
      <c r="AG57" s="322"/>
      <c r="AH57" s="320" t="s">
        <v>59</v>
      </c>
      <c r="AI57" s="321"/>
      <c r="AJ57" s="321"/>
      <c r="AK57" s="321"/>
      <c r="AL57" s="321"/>
      <c r="AM57" s="322"/>
      <c r="AN57" s="27">
        <v>0.27777777777777779</v>
      </c>
      <c r="AO57" s="28">
        <f t="shared" si="4"/>
        <v>2.430555555555558E-2</v>
      </c>
      <c r="AP57" s="29">
        <v>0.70694444444444449</v>
      </c>
      <c r="AQ57" s="30">
        <f t="shared" si="5"/>
        <v>1.736111111111116E-2</v>
      </c>
    </row>
    <row r="58" spans="2:43" ht="24" customHeight="1" thickBot="1" x14ac:dyDescent="0.3">
      <c r="B58" s="316"/>
      <c r="C58" s="36" t="s">
        <v>17</v>
      </c>
      <c r="D58" s="37">
        <f>MAX(E53:F56)-IF(D53="",E53,D53)-MIN(H53:H56)+$C50</f>
        <v>0.18611111111111114</v>
      </c>
      <c r="E58" s="38"/>
      <c r="F58" s="38"/>
      <c r="G58" s="39"/>
      <c r="H58" s="40">
        <f ca="1">OFFSET(H52,MATCH(MIN(H53:H56),H53:H56,0),-4)-IF(D53="",E53,D53)+$C50</f>
        <v>9.097222222222226E-2</v>
      </c>
      <c r="I58" s="41"/>
      <c r="J58" s="37">
        <f>MAX(K53:L56)-IF(J53="",K53,J53)-MIN(N53:N56)+$C50</f>
        <v>0.19305555555555556</v>
      </c>
      <c r="K58" s="38"/>
      <c r="L58" s="38"/>
      <c r="M58" s="39"/>
      <c r="N58" s="40">
        <f ca="1">OFFSET(N52,MATCH(MIN(N53:N56),N53:N56,0),-4)-IF(J53="",K53,J53)+$C50</f>
        <v>9.444444444444447E-2</v>
      </c>
      <c r="O58" s="41"/>
      <c r="P58" s="37">
        <f>MAX(Q53:R56)-IF(P53="",Q53,P53)-MIN(T53:T56)+$C50</f>
        <v>0.19236111111111107</v>
      </c>
      <c r="Q58" s="38"/>
      <c r="R58" s="38"/>
      <c r="S58" s="39"/>
      <c r="T58" s="40">
        <f ca="1">OFFSET(T52,MATCH(MIN(T53:T56),T53:T56,0),-4)-IF(P53="",Q53,P53)+$C50</f>
        <v>0.10138888888888883</v>
      </c>
      <c r="U58" s="41"/>
      <c r="V58" s="37">
        <f>MAX(W53:X56)-IF(V53="",W53,V53)-MIN(Z53:Z56)+$C50</f>
        <v>0.20416666666666669</v>
      </c>
      <c r="W58" s="38"/>
      <c r="X58" s="38"/>
      <c r="Y58" s="39"/>
      <c r="Z58" s="40">
        <f ca="1">OFFSET(Z52,MATCH(MIN(Z53:Z56),Z53:Z56,0),-4)-IF(V53="",W53,V53)+$C50</f>
        <v>0.10555555555555565</v>
      </c>
      <c r="AA58" s="41"/>
      <c r="AB58" s="37">
        <f>MAX(AC53:AD56)-IF(AB53="",AC53,AB53)-MIN(AF53:AF56)+$C50</f>
        <v>0.28402777777777777</v>
      </c>
      <c r="AC58" s="38"/>
      <c r="AD58" s="38"/>
      <c r="AE58" s="39"/>
      <c r="AF58" s="40">
        <f ca="1">OFFSET(AF52,MATCH(MIN(AF53:AF56),AF53:AF56,0),-4)-IF(AB53="",AC53,AB53)+$C50</f>
        <v>0.10277777777777777</v>
      </c>
      <c r="AG58" s="41"/>
      <c r="AH58" s="37">
        <f>MAX(AI53:AJ56)-IF(AH53="",AI53,AH53)-MIN(AL53:AL56)+$C50</f>
        <v>0.28472222222222221</v>
      </c>
      <c r="AI58" s="38"/>
      <c r="AJ58" s="38"/>
      <c r="AK58" s="39"/>
      <c r="AL58" s="40">
        <f ca="1">OFFSET(AL52,MATCH(MIN(AL53:AL56),AL53:AL56,0),-4)-IF(AH53="",AI53,AH53)+$C50</f>
        <v>0.1</v>
      </c>
      <c r="AM58" s="42"/>
      <c r="AN58" s="27">
        <v>0.30208333333333331</v>
      </c>
      <c r="AO58" s="28">
        <f t="shared" si="4"/>
        <v>2.4305555555555525E-2</v>
      </c>
      <c r="AP58" s="29">
        <v>0.72777777777777775</v>
      </c>
      <c r="AQ58" s="30">
        <f t="shared" si="5"/>
        <v>2.0833333333333259E-2</v>
      </c>
    </row>
    <row r="59" spans="2:43" ht="24" customHeight="1" thickBot="1" x14ac:dyDescent="0.3">
      <c r="B59" s="316"/>
      <c r="C59" s="357">
        <v>6.9444444444444441E-3</v>
      </c>
      <c r="D59" s="9" t="s">
        <v>18</v>
      </c>
      <c r="E59" s="7"/>
      <c r="F59" s="7"/>
      <c r="G59" s="7"/>
      <c r="H59" s="7"/>
      <c r="I59" s="8"/>
      <c r="J59" s="9"/>
      <c r="K59" s="7"/>
      <c r="L59" s="7"/>
      <c r="M59" s="7"/>
      <c r="N59" s="7"/>
      <c r="O59" s="8"/>
      <c r="P59" s="9"/>
      <c r="Q59" s="7"/>
      <c r="R59" s="7"/>
      <c r="S59" s="7"/>
      <c r="T59" s="7"/>
      <c r="U59" s="8"/>
      <c r="V59" s="9"/>
      <c r="W59" s="7"/>
      <c r="X59" s="7"/>
      <c r="Y59" s="7"/>
      <c r="Z59" s="7"/>
      <c r="AA59" s="8"/>
      <c r="AB59" s="9"/>
      <c r="AC59" s="7"/>
      <c r="AD59" s="7"/>
      <c r="AE59" s="7"/>
      <c r="AF59" s="7"/>
      <c r="AG59" s="8"/>
      <c r="AH59" s="9"/>
      <c r="AI59" s="7"/>
      <c r="AJ59" s="7"/>
      <c r="AK59" s="7"/>
      <c r="AL59" s="7"/>
      <c r="AM59" s="7"/>
      <c r="AN59" s="27">
        <v>0.33333333333333331</v>
      </c>
      <c r="AO59" s="28">
        <f t="shared" si="4"/>
        <v>3.125E-2</v>
      </c>
      <c r="AP59" s="29">
        <v>0.74861111111111112</v>
      </c>
      <c r="AQ59" s="30">
        <f t="shared" si="5"/>
        <v>2.083333333333337E-2</v>
      </c>
    </row>
    <row r="60" spans="2:43" ht="24" customHeight="1" thickBot="1" x14ac:dyDescent="0.3">
      <c r="B60" s="316"/>
      <c r="C60" s="358"/>
      <c r="D60" s="9" t="s">
        <v>19</v>
      </c>
      <c r="E60" s="7"/>
      <c r="F60" s="7"/>
      <c r="G60" s="7"/>
      <c r="H60" s="7"/>
      <c r="I60" s="8"/>
      <c r="J60" s="9" t="s">
        <v>20</v>
      </c>
      <c r="K60" s="7"/>
      <c r="L60" s="7"/>
      <c r="M60" s="7"/>
      <c r="N60" s="7"/>
      <c r="O60" s="8"/>
      <c r="P60" s="9" t="s">
        <v>21</v>
      </c>
      <c r="Q60" s="7"/>
      <c r="R60" s="7"/>
      <c r="S60" s="7"/>
      <c r="T60" s="7"/>
      <c r="U60" s="8"/>
      <c r="V60" s="9" t="s">
        <v>45</v>
      </c>
      <c r="W60" s="7"/>
      <c r="X60" s="7"/>
      <c r="Y60" s="7"/>
      <c r="Z60" s="7"/>
      <c r="AA60" s="8"/>
      <c r="AB60" s="9" t="s">
        <v>60</v>
      </c>
      <c r="AC60" s="7"/>
      <c r="AD60" s="7"/>
      <c r="AE60" s="7"/>
      <c r="AF60" s="7"/>
      <c r="AG60" s="8"/>
      <c r="AH60" s="9" t="s">
        <v>61</v>
      </c>
      <c r="AI60" s="7"/>
      <c r="AJ60" s="7"/>
      <c r="AK60" s="7"/>
      <c r="AL60" s="7"/>
      <c r="AM60" s="7"/>
      <c r="AN60" s="27">
        <v>0.3611111111111111</v>
      </c>
      <c r="AO60" s="28">
        <f t="shared" si="4"/>
        <v>2.777777777777779E-2</v>
      </c>
      <c r="AP60" s="29">
        <v>0.76944444444444449</v>
      </c>
      <c r="AQ60" s="30">
        <f t="shared" si="5"/>
        <v>2.083333333333337E-2</v>
      </c>
    </row>
    <row r="61" spans="2:43" ht="24" customHeight="1" thickBot="1" x14ac:dyDescent="0.3">
      <c r="B61" s="316"/>
      <c r="C61" s="302" t="s">
        <v>7</v>
      </c>
      <c r="D61" s="13" t="s">
        <v>8</v>
      </c>
      <c r="E61" s="14" t="s">
        <v>9</v>
      </c>
      <c r="F61" s="15" t="s">
        <v>10</v>
      </c>
      <c r="G61" s="14" t="s">
        <v>11</v>
      </c>
      <c r="H61" s="15" t="s">
        <v>12</v>
      </c>
      <c r="I61" s="14" t="s">
        <v>13</v>
      </c>
      <c r="J61" s="15" t="s">
        <v>8</v>
      </c>
      <c r="K61" s="14" t="s">
        <v>9</v>
      </c>
      <c r="L61" s="15" t="s">
        <v>10</v>
      </c>
      <c r="M61" s="14" t="s">
        <v>11</v>
      </c>
      <c r="N61" s="15" t="s">
        <v>12</v>
      </c>
      <c r="O61" s="14" t="s">
        <v>13</v>
      </c>
      <c r="P61" s="13" t="s">
        <v>8</v>
      </c>
      <c r="Q61" s="14" t="s">
        <v>9</v>
      </c>
      <c r="R61" s="15" t="s">
        <v>10</v>
      </c>
      <c r="S61" s="14" t="s">
        <v>11</v>
      </c>
      <c r="T61" s="15" t="s">
        <v>12</v>
      </c>
      <c r="U61" s="14" t="s">
        <v>13</v>
      </c>
      <c r="V61" s="13" t="s">
        <v>8</v>
      </c>
      <c r="W61" s="14" t="s">
        <v>9</v>
      </c>
      <c r="X61" s="15" t="s">
        <v>10</v>
      </c>
      <c r="Y61" s="14" t="s">
        <v>11</v>
      </c>
      <c r="Z61" s="15" t="s">
        <v>12</v>
      </c>
      <c r="AA61" s="14" t="s">
        <v>13</v>
      </c>
      <c r="AB61" s="13" t="s">
        <v>8</v>
      </c>
      <c r="AC61" s="14" t="s">
        <v>9</v>
      </c>
      <c r="AD61" s="15" t="s">
        <v>10</v>
      </c>
      <c r="AE61" s="14" t="s">
        <v>11</v>
      </c>
      <c r="AF61" s="15" t="s">
        <v>12</v>
      </c>
      <c r="AG61" s="14" t="s">
        <v>13</v>
      </c>
      <c r="AH61" s="13" t="s">
        <v>8</v>
      </c>
      <c r="AI61" s="14" t="s">
        <v>9</v>
      </c>
      <c r="AJ61" s="15" t="s">
        <v>10</v>
      </c>
      <c r="AK61" s="14" t="s">
        <v>11</v>
      </c>
      <c r="AL61" s="15" t="s">
        <v>12</v>
      </c>
      <c r="AM61" s="13" t="s">
        <v>13</v>
      </c>
      <c r="AN61" s="27">
        <v>0.3888888888888889</v>
      </c>
      <c r="AO61" s="28">
        <f t="shared" si="4"/>
        <v>2.777777777777779E-2</v>
      </c>
      <c r="AP61" s="29">
        <v>0.80069444444444449</v>
      </c>
      <c r="AQ61" s="30">
        <f t="shared" si="5"/>
        <v>3.125E-2</v>
      </c>
    </row>
    <row r="62" spans="2:43" ht="24" customHeight="1" thickBot="1" x14ac:dyDescent="0.3">
      <c r="B62" s="316"/>
      <c r="C62" s="303"/>
      <c r="D62" s="23">
        <v>0.50347222222222221</v>
      </c>
      <c r="E62" s="25">
        <v>0.54861111111111116</v>
      </c>
      <c r="F62" s="25">
        <v>0.59166666666666667</v>
      </c>
      <c r="G62" s="20">
        <f>F62-D62</f>
        <v>8.8194444444444464E-2</v>
      </c>
      <c r="H62" s="56">
        <v>126</v>
      </c>
      <c r="I62" s="48">
        <v>1</v>
      </c>
      <c r="J62" s="23">
        <v>0.59375</v>
      </c>
      <c r="K62" s="25">
        <v>0.63541666666666663</v>
      </c>
      <c r="L62" s="25">
        <v>0.68263888888888891</v>
      </c>
      <c r="M62" s="20">
        <f>L62-J62</f>
        <v>8.8888888888888906E-2</v>
      </c>
      <c r="N62" s="56">
        <v>126</v>
      </c>
      <c r="O62" s="48">
        <v>2</v>
      </c>
      <c r="P62" s="23">
        <v>0.62361111111111112</v>
      </c>
      <c r="Q62" s="25">
        <v>0.66805555555555551</v>
      </c>
      <c r="R62" s="25">
        <v>0.71666666666666667</v>
      </c>
      <c r="S62" s="20">
        <f>R62-P62</f>
        <v>9.3055555555555558E-2</v>
      </c>
      <c r="T62" s="56">
        <v>126</v>
      </c>
      <c r="U62" s="48">
        <v>3</v>
      </c>
      <c r="V62" s="23">
        <v>0.66527777777777775</v>
      </c>
      <c r="W62" s="25">
        <v>0.70833333333333337</v>
      </c>
      <c r="X62" s="25">
        <v>0.75624999999999998</v>
      </c>
      <c r="Y62" s="20">
        <f>X62-V62</f>
        <v>9.0972222222222232E-2</v>
      </c>
      <c r="Z62" s="56">
        <v>126</v>
      </c>
      <c r="AA62" s="48">
        <v>4</v>
      </c>
      <c r="AB62" s="23">
        <v>0.70694444444444449</v>
      </c>
      <c r="AC62" s="25">
        <v>0.75694444444444442</v>
      </c>
      <c r="AD62" s="25">
        <v>0.80694444444444446</v>
      </c>
      <c r="AE62" s="20">
        <f>AD62-AB62</f>
        <v>9.9999999999999978E-2</v>
      </c>
      <c r="AF62" s="56">
        <v>126</v>
      </c>
      <c r="AG62" s="48">
        <v>5</v>
      </c>
      <c r="AH62" s="23">
        <v>0.80069444444444449</v>
      </c>
      <c r="AI62" s="25">
        <v>0.85277777777777775</v>
      </c>
      <c r="AJ62" s="25">
        <v>0.89652777777777781</v>
      </c>
      <c r="AK62" s="20">
        <f>AJ62-AH62</f>
        <v>9.5833333333333326E-2</v>
      </c>
      <c r="AL62" s="56">
        <v>126</v>
      </c>
      <c r="AM62" s="57">
        <v>6</v>
      </c>
      <c r="AN62" s="27">
        <v>0.41666666666666669</v>
      </c>
      <c r="AO62" s="28">
        <f t="shared" si="4"/>
        <v>2.777777777777779E-2</v>
      </c>
      <c r="AP62" s="29">
        <v>0.83194444444444449</v>
      </c>
      <c r="AQ62" s="30">
        <f t="shared" si="5"/>
        <v>3.125E-2</v>
      </c>
    </row>
    <row r="63" spans="2:43" ht="24" customHeight="1" thickBot="1" x14ac:dyDescent="0.3">
      <c r="B63" s="316"/>
      <c r="C63" s="303"/>
      <c r="D63" s="31">
        <f>IF(F62="",E62,F62)</f>
        <v>0.59166666666666667</v>
      </c>
      <c r="E63" s="32"/>
      <c r="F63" s="31">
        <f>IF(D64="",E64,D64)</f>
        <v>0.64444444444444449</v>
      </c>
      <c r="G63" s="32"/>
      <c r="H63" s="32">
        <f>F63-D63</f>
        <v>5.2777777777777812E-2</v>
      </c>
      <c r="I63" s="32"/>
      <c r="J63" s="27">
        <v>0.68958333333333333</v>
      </c>
      <c r="K63" s="29">
        <v>0.73888888888888893</v>
      </c>
      <c r="L63" s="29">
        <v>0.78611111111111109</v>
      </c>
      <c r="M63" s="20">
        <f>L63-J63</f>
        <v>9.6527777777777768E-2</v>
      </c>
      <c r="N63" s="58">
        <v>126</v>
      </c>
      <c r="O63" s="50">
        <v>2</v>
      </c>
      <c r="P63" s="27">
        <v>0.72777777777777775</v>
      </c>
      <c r="Q63" s="29">
        <v>0.77847222222222223</v>
      </c>
      <c r="R63" s="29">
        <v>0.82916666666666672</v>
      </c>
      <c r="S63" s="20">
        <f>R63-P63</f>
        <v>0.10138888888888897</v>
      </c>
      <c r="T63" s="58">
        <v>126</v>
      </c>
      <c r="U63" s="50">
        <v>3</v>
      </c>
      <c r="V63" s="27">
        <v>0.76944444444444449</v>
      </c>
      <c r="W63" s="29">
        <v>0.82708333333333328</v>
      </c>
      <c r="X63" s="29">
        <v>0.87430555555555556</v>
      </c>
      <c r="Y63" s="20">
        <f>X63-V63</f>
        <v>0.10486111111111107</v>
      </c>
      <c r="Z63" s="58">
        <v>126</v>
      </c>
      <c r="AA63" s="50">
        <v>4</v>
      </c>
      <c r="AB63" s="27">
        <v>0.83194444444444449</v>
      </c>
      <c r="AC63" s="29">
        <v>0.87916666666666665</v>
      </c>
      <c r="AD63" s="29">
        <v>0.92569444444444449</v>
      </c>
      <c r="AE63" s="20">
        <f>AD63-AB63</f>
        <v>9.375E-2</v>
      </c>
      <c r="AF63" s="58">
        <v>126</v>
      </c>
      <c r="AG63" s="50">
        <v>5</v>
      </c>
      <c r="AH63" s="31">
        <f>IF(AJ62="",AI62,AJ62)</f>
        <v>0.89652777777777781</v>
      </c>
      <c r="AI63" s="32"/>
      <c r="AJ63" s="31">
        <f>IF(AH64="",AI64,AH64)</f>
        <v>0.9604166666666667</v>
      </c>
      <c r="AK63" s="32"/>
      <c r="AL63" s="32">
        <f>AJ63-AH63</f>
        <v>6.3888888888888884E-2</v>
      </c>
      <c r="AM63" s="32"/>
      <c r="AN63" s="27">
        <v>0.44444444444444442</v>
      </c>
      <c r="AO63" s="28">
        <f t="shared" si="4"/>
        <v>2.7777777777777735E-2</v>
      </c>
      <c r="AP63" s="29">
        <v>0.86319444444444449</v>
      </c>
      <c r="AQ63" s="30">
        <f t="shared" si="5"/>
        <v>3.125E-2</v>
      </c>
    </row>
    <row r="64" spans="2:43" ht="24" customHeight="1" thickBot="1" x14ac:dyDescent="0.3">
      <c r="B64" s="316"/>
      <c r="C64" s="303"/>
      <c r="D64" s="27">
        <v>0.64444444444444449</v>
      </c>
      <c r="E64" s="29">
        <v>0.69097222222222221</v>
      </c>
      <c r="F64" s="29">
        <v>0.74097222222222225</v>
      </c>
      <c r="G64" s="20">
        <f>F64-D64</f>
        <v>9.6527777777777768E-2</v>
      </c>
      <c r="H64" s="58">
        <v>126</v>
      </c>
      <c r="I64" s="50">
        <v>1</v>
      </c>
      <c r="J64" s="31">
        <f>IF(L63="",K63,L63)</f>
        <v>0.78611111111111109</v>
      </c>
      <c r="K64" s="32"/>
      <c r="L64" s="31">
        <f>IF(J65="",K65,J65)</f>
        <v>0.86319444444444449</v>
      </c>
      <c r="M64" s="32"/>
      <c r="N64" s="32">
        <f>L64-J64</f>
        <v>7.7083333333333393E-2</v>
      </c>
      <c r="O64" s="32"/>
      <c r="P64" s="31">
        <f>IF(R63="",Q63,R63)</f>
        <v>0.82916666666666672</v>
      </c>
      <c r="Q64" s="32"/>
      <c r="R64" s="31">
        <f>IF(P65="",Q65,P65)</f>
        <v>0.8979166666666667</v>
      </c>
      <c r="S64" s="32"/>
      <c r="T64" s="32">
        <f>R64-P64</f>
        <v>6.8749999999999978E-2</v>
      </c>
      <c r="U64" s="32"/>
      <c r="V64" s="31">
        <f>IF(X63="",W63,X63)</f>
        <v>0.87430555555555556</v>
      </c>
      <c r="W64" s="32"/>
      <c r="X64" s="31">
        <f>IF(V65="",W65,V65)</f>
        <v>0.93263888888888891</v>
      </c>
      <c r="Y64" s="32"/>
      <c r="Z64" s="32">
        <f>X64-V64</f>
        <v>5.8333333333333348E-2</v>
      </c>
      <c r="AA64" s="32"/>
      <c r="AB64" s="31">
        <f>IF(AD63="",AC63,AD63)</f>
        <v>0.92569444444444449</v>
      </c>
      <c r="AC64" s="32"/>
      <c r="AD64" s="31">
        <f>IF(AB65="",AC65,AB65)</f>
        <v>1.0006944444444446</v>
      </c>
      <c r="AE64" s="32"/>
      <c r="AF64" s="32">
        <f>AD64-AB64</f>
        <v>7.5000000000000067E-2</v>
      </c>
      <c r="AG64" s="32"/>
      <c r="AH64" s="27">
        <v>0.9604166666666667</v>
      </c>
      <c r="AI64" s="29">
        <v>1.0013888888888889</v>
      </c>
      <c r="AJ64" s="29">
        <v>1.0361111111111112</v>
      </c>
      <c r="AK64" s="20">
        <f>AJ64-AH64</f>
        <v>7.5694444444444509E-2</v>
      </c>
      <c r="AL64" s="58">
        <v>126</v>
      </c>
      <c r="AM64" s="64">
        <v>6</v>
      </c>
      <c r="AN64" s="27">
        <v>0.47222222222222221</v>
      </c>
      <c r="AO64" s="28">
        <f t="shared" si="4"/>
        <v>2.777777777777779E-2</v>
      </c>
      <c r="AP64" s="29">
        <v>0.8979166666666667</v>
      </c>
      <c r="AQ64" s="30">
        <f t="shared" si="5"/>
        <v>3.472222222222221E-2</v>
      </c>
    </row>
    <row r="65" spans="2:43" ht="24" customHeight="1" thickBot="1" x14ac:dyDescent="0.3">
      <c r="B65" s="316"/>
      <c r="C65" s="303"/>
      <c r="D65" s="27">
        <v>0.74861111111111112</v>
      </c>
      <c r="E65" s="29">
        <v>0.80694444444444446</v>
      </c>
      <c r="F65" s="29">
        <v>0.85763888888888884</v>
      </c>
      <c r="G65" s="20">
        <f>F65-D65</f>
        <v>0.10902777777777772</v>
      </c>
      <c r="H65" s="58">
        <v>126</v>
      </c>
      <c r="I65" s="50">
        <v>1</v>
      </c>
      <c r="J65" s="27">
        <v>0.86319444444444449</v>
      </c>
      <c r="K65" s="29">
        <v>0.90902777777777777</v>
      </c>
      <c r="L65" s="29">
        <v>0.94930555555555551</v>
      </c>
      <c r="M65" s="20">
        <f>L65-J65</f>
        <v>8.6111111111111027E-2</v>
      </c>
      <c r="N65" s="58">
        <v>126</v>
      </c>
      <c r="O65" s="50">
        <v>2</v>
      </c>
      <c r="P65" s="27">
        <v>0.8979166666666667</v>
      </c>
      <c r="Q65" s="29">
        <v>0.94374999999999998</v>
      </c>
      <c r="R65" s="29">
        <v>0.98611111111111116</v>
      </c>
      <c r="S65" s="20">
        <f>R65-P65</f>
        <v>8.8194444444444464E-2</v>
      </c>
      <c r="T65" s="58">
        <v>126</v>
      </c>
      <c r="U65" s="50">
        <v>3</v>
      </c>
      <c r="V65" s="27">
        <v>0.93263888888888891</v>
      </c>
      <c r="W65" s="29">
        <v>0.97152777777777777</v>
      </c>
      <c r="X65" s="29">
        <v>1.0062500000000001</v>
      </c>
      <c r="Y65" s="20">
        <f>X65-V65</f>
        <v>7.3611111111111183E-2</v>
      </c>
      <c r="Z65" s="58">
        <v>126</v>
      </c>
      <c r="AA65" s="50">
        <v>4</v>
      </c>
      <c r="AB65" s="27">
        <v>1.0006944444444446</v>
      </c>
      <c r="AC65" s="29">
        <v>1.0416666666666667</v>
      </c>
      <c r="AD65" s="29">
        <v>1.0687500000000001</v>
      </c>
      <c r="AE65" s="20">
        <f>AD65-AB65</f>
        <v>6.8055555555555536E-2</v>
      </c>
      <c r="AF65" s="58">
        <v>126</v>
      </c>
      <c r="AG65" s="50">
        <v>5</v>
      </c>
      <c r="AH65" s="27">
        <v>1.0416666666666667</v>
      </c>
      <c r="AI65" s="29">
        <v>1.0826388888888889</v>
      </c>
      <c r="AJ65" s="29">
        <v>1.1215277777777777</v>
      </c>
      <c r="AK65" s="20">
        <f>AJ65-AH65</f>
        <v>7.9861111111110938E-2</v>
      </c>
      <c r="AL65" s="58">
        <v>126</v>
      </c>
      <c r="AM65" s="64">
        <v>6</v>
      </c>
      <c r="AN65" s="27">
        <v>0.50347222222222221</v>
      </c>
      <c r="AO65" s="28">
        <f t="shared" si="4"/>
        <v>3.125E-2</v>
      </c>
      <c r="AP65" s="29">
        <v>0.93263888888888891</v>
      </c>
      <c r="AQ65" s="30">
        <f t="shared" si="5"/>
        <v>3.472222222222221E-2</v>
      </c>
    </row>
    <row r="66" spans="2:43" ht="24" customHeight="1" thickBot="1" x14ac:dyDescent="0.3">
      <c r="B66" s="316"/>
      <c r="C66" s="304"/>
      <c r="D66" s="320" t="s">
        <v>59</v>
      </c>
      <c r="E66" s="321"/>
      <c r="F66" s="321"/>
      <c r="G66" s="321"/>
      <c r="H66" s="321"/>
      <c r="I66" s="322"/>
      <c r="J66" s="320" t="s">
        <v>59</v>
      </c>
      <c r="K66" s="321"/>
      <c r="L66" s="321"/>
      <c r="M66" s="321"/>
      <c r="N66" s="321"/>
      <c r="O66" s="322"/>
      <c r="P66" s="320" t="s">
        <v>59</v>
      </c>
      <c r="Q66" s="321"/>
      <c r="R66" s="321"/>
      <c r="S66" s="321"/>
      <c r="T66" s="321"/>
      <c r="U66" s="322"/>
      <c r="V66" s="320" t="s">
        <v>59</v>
      </c>
      <c r="W66" s="321"/>
      <c r="X66" s="321"/>
      <c r="Y66" s="321"/>
      <c r="Z66" s="321"/>
      <c r="AA66" s="322"/>
      <c r="AB66" s="320" t="s">
        <v>59</v>
      </c>
      <c r="AC66" s="321"/>
      <c r="AD66" s="321"/>
      <c r="AE66" s="321"/>
      <c r="AF66" s="321"/>
      <c r="AG66" s="322"/>
      <c r="AH66" s="320" t="s">
        <v>59</v>
      </c>
      <c r="AI66" s="321"/>
      <c r="AJ66" s="321"/>
      <c r="AK66" s="321"/>
      <c r="AL66" s="321"/>
      <c r="AM66" s="322"/>
      <c r="AN66" s="27">
        <v>0.53819444444444442</v>
      </c>
      <c r="AO66" s="28">
        <f t="shared" si="4"/>
        <v>3.472222222222221E-2</v>
      </c>
      <c r="AP66" s="29">
        <v>0.9604166666666667</v>
      </c>
      <c r="AQ66" s="30">
        <f t="shared" si="5"/>
        <v>2.777777777777779E-2</v>
      </c>
    </row>
    <row r="67" spans="2:43" ht="24" customHeight="1" thickBot="1" x14ac:dyDescent="0.3">
      <c r="B67" s="317"/>
      <c r="C67" s="36" t="s">
        <v>17</v>
      </c>
      <c r="D67" s="37">
        <f>MAX(E62:F65)-IF(D62="",E62,D62)-MIN(H62:H65)+$C59</f>
        <v>0.30833333333333324</v>
      </c>
      <c r="E67" s="51"/>
      <c r="F67" s="51"/>
      <c r="G67" s="52"/>
      <c r="H67" s="53">
        <f ca="1">OFFSET(H61,MATCH(MIN(H62:H65),H62:H65,0),-4)-IF(D62="",E62,D62)</f>
        <v>8.8194444444444464E-2</v>
      </c>
      <c r="I67" s="54"/>
      <c r="J67" s="37">
        <f>MAX(K62:L65)-IF(J62="",K62,J62)-MIN(N62:N65)+$C59</f>
        <v>0.28541666666666654</v>
      </c>
      <c r="K67" s="38"/>
      <c r="L67" s="38"/>
      <c r="M67" s="39"/>
      <c r="N67" s="53">
        <f ca="1">OFFSET(N61,MATCH(MIN(N62:N65),N62:N65,0),-4)-IF(J62="",K62,J62)</f>
        <v>0.19236111111111109</v>
      </c>
      <c r="O67" s="41"/>
      <c r="P67" s="37">
        <f>MAX(Q62:R65)-IF(P62="",Q62,P62)-MIN(T62:T65)+$C59</f>
        <v>0.30069444444444449</v>
      </c>
      <c r="Q67" s="38"/>
      <c r="R67" s="38"/>
      <c r="S67" s="39"/>
      <c r="T67" s="53">
        <f ca="1">OFFSET(T61,MATCH(MIN(T62:T65),T62:T65,0),-4)-IF(P62="",Q62,P62)</f>
        <v>0.2055555555555556</v>
      </c>
      <c r="U67" s="41"/>
      <c r="V67" s="37">
        <f>MAX(W62:X65)-IF(V62="",W62,V62)-MIN(Z62:Z65)+$C59</f>
        <v>0.28958333333333341</v>
      </c>
      <c r="W67" s="38"/>
      <c r="X67" s="38"/>
      <c r="Y67" s="39"/>
      <c r="Z67" s="53">
        <f ca="1">OFFSET(Z61,MATCH(MIN(Z62:Z65),Z62:Z65,0),-4)-IF(V62="",W62,V62)</f>
        <v>0.20902777777777781</v>
      </c>
      <c r="AA67" s="41"/>
      <c r="AB67" s="37">
        <f>MAX(AC62:AD65)-IF(AB62="",AC62,AB62)-MIN(AF62:AF65)+$C59</f>
        <v>0.29374999999999996</v>
      </c>
      <c r="AC67" s="38"/>
      <c r="AD67" s="38"/>
      <c r="AE67" s="39"/>
      <c r="AF67" s="53">
        <f ca="1">OFFSET(AF61,MATCH(MIN(AF62:AF65),AF62:AF65,0),-4)-IF(AB62="",AC62,AB62)</f>
        <v>0.21875</v>
      </c>
      <c r="AG67" s="41"/>
      <c r="AH67" s="37">
        <f>MAX(AI62:AJ65)-IF(AH62="",AI62,AH62)-MIN(AL62:AL65)+$C59</f>
        <v>0.26388888888888873</v>
      </c>
      <c r="AI67" s="38"/>
      <c r="AJ67" s="38"/>
      <c r="AK67" s="39"/>
      <c r="AL67" s="53">
        <f ca="1">OFFSET(AL61,MATCH(MIN(AL62:AL65),AL62:AL65,0),-4)-IF(AH62="",AI62,AH62)</f>
        <v>9.5833333333333326E-2</v>
      </c>
      <c r="AM67" s="42"/>
      <c r="AN67" s="27">
        <v>0.57291666666666663</v>
      </c>
      <c r="AO67" s="28">
        <f t="shared" si="4"/>
        <v>3.472222222222221E-2</v>
      </c>
      <c r="AP67" s="29">
        <v>1.0006944444444446</v>
      </c>
      <c r="AQ67" s="30">
        <f t="shared" si="5"/>
        <v>4.0277777777777857E-2</v>
      </c>
    </row>
    <row r="68" spans="2:43" ht="24" customHeight="1" thickBot="1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43">
        <v>0.59375</v>
      </c>
      <c r="AO68" s="44">
        <f t="shared" si="4"/>
        <v>2.083333333333337E-2</v>
      </c>
      <c r="AP68" s="45">
        <v>1.0416666666666667</v>
      </c>
      <c r="AQ68" s="46">
        <f t="shared" si="5"/>
        <v>4.0972222222222188E-2</v>
      </c>
    </row>
  </sheetData>
  <mergeCells count="53">
    <mergeCell ref="V66:AA66"/>
    <mergeCell ref="AB66:AG66"/>
    <mergeCell ref="C59:C60"/>
    <mergeCell ref="C61:C66"/>
    <mergeCell ref="D66:I66"/>
    <mergeCell ref="J66:O66"/>
    <mergeCell ref="P66:U66"/>
    <mergeCell ref="P42:U42"/>
    <mergeCell ref="AB42:AG42"/>
    <mergeCell ref="AH42:AM42"/>
    <mergeCell ref="B49:B67"/>
    <mergeCell ref="AN49:AQ49"/>
    <mergeCell ref="C50:C51"/>
    <mergeCell ref="AN50:AQ50"/>
    <mergeCell ref="C52:C57"/>
    <mergeCell ref="D57:I57"/>
    <mergeCell ref="J57:O57"/>
    <mergeCell ref="P57:U57"/>
    <mergeCell ref="V42:AA42"/>
    <mergeCell ref="AH66:AM66"/>
    <mergeCell ref="V57:AA57"/>
    <mergeCell ref="AB57:AG57"/>
    <mergeCell ref="AH57:AM57"/>
    <mergeCell ref="P33:U33"/>
    <mergeCell ref="V33:AA33"/>
    <mergeCell ref="AB33:AG33"/>
    <mergeCell ref="AH33:AM33"/>
    <mergeCell ref="B2:B20"/>
    <mergeCell ref="C3:C4"/>
    <mergeCell ref="B25:B43"/>
    <mergeCell ref="C26:C27"/>
    <mergeCell ref="C28:C33"/>
    <mergeCell ref="D33:I33"/>
    <mergeCell ref="J33:O33"/>
    <mergeCell ref="C35:C36"/>
    <mergeCell ref="C37:C42"/>
    <mergeCell ref="D42:I42"/>
    <mergeCell ref="J42:O42"/>
    <mergeCell ref="V10:AA10"/>
    <mergeCell ref="AB10:AG10"/>
    <mergeCell ref="AH10:AM10"/>
    <mergeCell ref="C12:C13"/>
    <mergeCell ref="C14:C19"/>
    <mergeCell ref="D19:I19"/>
    <mergeCell ref="J19:O19"/>
    <mergeCell ref="P19:U19"/>
    <mergeCell ref="V19:AA19"/>
    <mergeCell ref="AB19:AG19"/>
    <mergeCell ref="C5:C10"/>
    <mergeCell ref="D10:I10"/>
    <mergeCell ref="J10:O10"/>
    <mergeCell ref="P10:U10"/>
    <mergeCell ref="AH19:AM19"/>
  </mergeCells>
  <conditionalFormatting sqref="D4">
    <cfRule type="colorScale" priority="66">
      <colorScale>
        <cfvo type="min"/>
        <cfvo type="max"/>
        <color rgb="FFFF7128"/>
        <color rgb="FFFFEF9C"/>
      </colorScale>
    </cfRule>
  </conditionalFormatting>
  <conditionalFormatting sqref="D10 J10 P10 V10 AB10 AH10">
    <cfRule type="containsText" dxfId="185" priority="52" operator="containsText" text="VEGA">
      <formula>NOT(ISERROR(SEARCH(("VEGA"),(D10))))</formula>
    </cfRule>
    <cfRule type="containsText" dxfId="184" priority="53" operator="containsText" text="LÍDER">
      <formula>NOT(ISERROR(SEARCH(("LÍDER"),(D10))))</formula>
    </cfRule>
    <cfRule type="containsText" dxfId="183" priority="54" operator="containsText" text="GLOBAL">
      <formula>NOT(ISERROR(SEARCH(("GLOBAL"),(D10))))</formula>
    </cfRule>
    <cfRule type="containsText" dxfId="182" priority="55" operator="containsText" text="COROADO">
      <formula>NOT(ISERROR(SEARCH(("COROADO"),(D10))))</formula>
    </cfRule>
    <cfRule type="containsText" dxfId="181" priority="56" operator="containsText" text="VIA VERDE">
      <formula>NOT(ISERROR(SEARCH(("VIA VERDE"),(D10))))</formula>
    </cfRule>
    <cfRule type="containsText" dxfId="180" priority="57" operator="containsText" text="INTEGRAÇÃO">
      <formula>NOT(ISERROR(SEARCH(("INTEGRAÇÃO"),(D10))))</formula>
    </cfRule>
    <cfRule type="containsText" dxfId="179" priority="58" operator="containsText" text="SÃO PEDRO">
      <formula>NOT(ISERROR(SEARCH(("SÃO PEDRO"),(D10))))</formula>
    </cfRule>
  </conditionalFormatting>
  <conditionalFormatting sqref="D19 J19 P19 V19 AB19 AH19">
    <cfRule type="containsText" dxfId="178" priority="45" operator="containsText" text="VEGA">
      <formula>NOT(ISERROR(SEARCH(("VEGA"),(D19))))</formula>
    </cfRule>
    <cfRule type="containsText" dxfId="177" priority="46" operator="containsText" text="LÍDER">
      <formula>NOT(ISERROR(SEARCH(("LÍDER"),(D19))))</formula>
    </cfRule>
    <cfRule type="containsText" dxfId="176" priority="47" operator="containsText" text="GLOBAL">
      <formula>NOT(ISERROR(SEARCH(("GLOBAL"),(D19))))</formula>
    </cfRule>
    <cfRule type="containsText" dxfId="175" priority="48" operator="containsText" text="COROADO">
      <formula>NOT(ISERROR(SEARCH(("COROADO"),(D19))))</formula>
    </cfRule>
    <cfRule type="containsText" dxfId="174" priority="49" operator="containsText" text="VIA VERDE">
      <formula>NOT(ISERROR(SEARCH(("VIA VERDE"),(D19))))</formula>
    </cfRule>
    <cfRule type="containsText" dxfId="173" priority="50" operator="containsText" text="INTEGRAÇÃO">
      <formula>NOT(ISERROR(SEARCH(("INTEGRAÇÃO"),(D19))))</formula>
    </cfRule>
    <cfRule type="containsText" dxfId="172" priority="51" operator="containsText" text="SÃO PEDRO">
      <formula>NOT(ISERROR(SEARCH(("SÃO PEDRO"),(D19))))</formula>
    </cfRule>
  </conditionalFormatting>
  <conditionalFormatting sqref="D27">
    <cfRule type="colorScale" priority="44">
      <colorScale>
        <cfvo type="min"/>
        <cfvo type="max"/>
        <color rgb="FFFF7128"/>
        <color rgb="FFFFEF9C"/>
      </colorScale>
    </cfRule>
  </conditionalFormatting>
  <conditionalFormatting sqref="D33 J33 P33 V33 AB33 AH33">
    <cfRule type="containsText" dxfId="171" priority="30" operator="containsText" text="VEGA">
      <formula>NOT(ISERROR(SEARCH(("VEGA"),(D33))))</formula>
    </cfRule>
    <cfRule type="containsText" dxfId="170" priority="31" operator="containsText" text="LÍDER">
      <formula>NOT(ISERROR(SEARCH(("LÍDER"),(D33))))</formula>
    </cfRule>
    <cfRule type="containsText" dxfId="169" priority="32" operator="containsText" text="GLOBAL">
      <formula>NOT(ISERROR(SEARCH(("GLOBAL"),(D33))))</formula>
    </cfRule>
    <cfRule type="containsText" dxfId="168" priority="33" operator="containsText" text="COROADO">
      <formula>NOT(ISERROR(SEARCH(("COROADO"),(D33))))</formula>
    </cfRule>
    <cfRule type="containsText" dxfId="167" priority="34" operator="containsText" text="VIA VERDE">
      <formula>NOT(ISERROR(SEARCH(("VIA VERDE"),(D33))))</formula>
    </cfRule>
    <cfRule type="containsText" dxfId="166" priority="35" operator="containsText" text="INTEGRAÇÃO">
      <formula>NOT(ISERROR(SEARCH(("INTEGRAÇÃO"),(D33))))</formula>
    </cfRule>
    <cfRule type="containsText" dxfId="165" priority="36" operator="containsText" text="SÃO PEDRO">
      <formula>NOT(ISERROR(SEARCH(("SÃO PEDRO"),(D33))))</formula>
    </cfRule>
  </conditionalFormatting>
  <conditionalFormatting sqref="D42 J42 P42 V42 AB42 AH42">
    <cfRule type="containsText" dxfId="164" priority="23" operator="containsText" text="VEGA">
      <formula>NOT(ISERROR(SEARCH(("VEGA"),(D42))))</formula>
    </cfRule>
    <cfRule type="containsText" dxfId="163" priority="24" operator="containsText" text="LÍDER">
      <formula>NOT(ISERROR(SEARCH(("LÍDER"),(D42))))</formula>
    </cfRule>
    <cfRule type="containsText" dxfId="162" priority="25" operator="containsText" text="GLOBAL">
      <formula>NOT(ISERROR(SEARCH(("GLOBAL"),(D42))))</formula>
    </cfRule>
    <cfRule type="containsText" dxfId="161" priority="26" operator="containsText" text="COROADO">
      <formula>NOT(ISERROR(SEARCH(("COROADO"),(D42))))</formula>
    </cfRule>
    <cfRule type="containsText" dxfId="160" priority="27" operator="containsText" text="VIA VERDE">
      <formula>NOT(ISERROR(SEARCH(("VIA VERDE"),(D42))))</formula>
    </cfRule>
    <cfRule type="containsText" dxfId="159" priority="28" operator="containsText" text="INTEGRAÇÃO">
      <formula>NOT(ISERROR(SEARCH(("INTEGRAÇÃO"),(D42))))</formula>
    </cfRule>
    <cfRule type="containsText" dxfId="158" priority="29" operator="containsText" text="SÃO PEDRO">
      <formula>NOT(ISERROR(SEARCH(("SÃO PEDRO"),(D42))))</formula>
    </cfRule>
  </conditionalFormatting>
  <conditionalFormatting sqref="D51">
    <cfRule type="colorScale" priority="22">
      <colorScale>
        <cfvo type="min"/>
        <cfvo type="max"/>
        <color rgb="FFFF7128"/>
        <color rgb="FFFFEF9C"/>
      </colorScale>
    </cfRule>
  </conditionalFormatting>
  <conditionalFormatting sqref="D57 J57 P57 V57 AB57 AH57">
    <cfRule type="containsText" dxfId="157" priority="8" operator="containsText" text="VEGA">
      <formula>NOT(ISERROR(SEARCH(("VEGA"),(D57))))</formula>
    </cfRule>
    <cfRule type="containsText" dxfId="156" priority="9" operator="containsText" text="LÍDER">
      <formula>NOT(ISERROR(SEARCH(("LÍDER"),(D57))))</formula>
    </cfRule>
    <cfRule type="containsText" dxfId="155" priority="10" operator="containsText" text="GLOBAL">
      <formula>NOT(ISERROR(SEARCH(("GLOBAL"),(D57))))</formula>
    </cfRule>
    <cfRule type="containsText" dxfId="154" priority="11" operator="containsText" text="COROADO">
      <formula>NOT(ISERROR(SEARCH(("COROADO"),(D57))))</formula>
    </cfRule>
    <cfRule type="containsText" dxfId="153" priority="12" operator="containsText" text="VIA VERDE">
      <formula>NOT(ISERROR(SEARCH(("VIA VERDE"),(D57))))</formula>
    </cfRule>
    <cfRule type="containsText" dxfId="152" priority="13" operator="containsText" text="INTEGRAÇÃO">
      <formula>NOT(ISERROR(SEARCH(("INTEGRAÇÃO"),(D57))))</formula>
    </cfRule>
    <cfRule type="containsText" dxfId="151" priority="14" operator="containsText" text="SÃO PEDRO">
      <formula>NOT(ISERROR(SEARCH(("SÃO PEDRO"),(D57))))</formula>
    </cfRule>
  </conditionalFormatting>
  <conditionalFormatting sqref="D66 J66 P66 V66 AB66 AH66">
    <cfRule type="containsText" dxfId="150" priority="1" operator="containsText" text="VEGA">
      <formula>NOT(ISERROR(SEARCH(("VEGA"),(D66))))</formula>
    </cfRule>
    <cfRule type="containsText" dxfId="149" priority="2" operator="containsText" text="LÍDER">
      <formula>NOT(ISERROR(SEARCH(("LÍDER"),(D66))))</formula>
    </cfRule>
    <cfRule type="containsText" dxfId="148" priority="3" operator="containsText" text="GLOBAL">
      <formula>NOT(ISERROR(SEARCH(("GLOBAL"),(D66))))</formula>
    </cfRule>
    <cfRule type="containsText" dxfId="147" priority="4" operator="containsText" text="COROADO">
      <formula>NOT(ISERROR(SEARCH(("COROADO"),(D66))))</formula>
    </cfRule>
    <cfRule type="containsText" dxfId="146" priority="5" operator="containsText" text="VIA VERDE">
      <formula>NOT(ISERROR(SEARCH(("VIA VERDE"),(D66))))</formula>
    </cfRule>
    <cfRule type="containsText" dxfId="145" priority="6" operator="containsText" text="INTEGRAÇÃO">
      <formula>NOT(ISERROR(SEARCH(("INTEGRAÇÃO"),(D66))))</formula>
    </cfRule>
    <cfRule type="containsText" dxfId="144" priority="7" operator="containsText" text="SÃO PEDRO">
      <formula>NOT(ISERROR(SEARCH(("SÃO PEDRO"),(D66))))</formula>
    </cfRule>
  </conditionalFormatting>
  <conditionalFormatting sqref="D4:I4">
    <cfRule type="expression" dxfId="143" priority="64" stopIfTrue="1">
      <formula>LEN($D4)=14</formula>
    </cfRule>
  </conditionalFormatting>
  <conditionalFormatting sqref="D27:I27">
    <cfRule type="expression" dxfId="142" priority="42" stopIfTrue="1">
      <formula>LEN($D27)=14</formula>
    </cfRule>
  </conditionalFormatting>
  <conditionalFormatting sqref="D51:I51">
    <cfRule type="expression" dxfId="141" priority="20" stopIfTrue="1">
      <formula>LEN($D51)=14</formula>
    </cfRule>
  </conditionalFormatting>
  <conditionalFormatting sqref="E4:I4">
    <cfRule type="notContainsBlanks" dxfId="140" priority="65">
      <formula>LEN(TRIM(E4))&gt;0</formula>
    </cfRule>
  </conditionalFormatting>
  <conditionalFormatting sqref="E27:I27">
    <cfRule type="notContainsBlanks" dxfId="139" priority="43">
      <formula>LEN(TRIM(E27))&gt;0</formula>
    </cfRule>
  </conditionalFormatting>
  <conditionalFormatting sqref="E51:I51">
    <cfRule type="notContainsBlanks" dxfId="138" priority="21">
      <formula>LEN(TRIM(E51))&gt;0</formula>
    </cfRule>
  </conditionalFormatting>
  <conditionalFormatting sqref="J4:O4">
    <cfRule type="expression" dxfId="137" priority="63">
      <formula>LEN($J4)=14</formula>
    </cfRule>
  </conditionalFormatting>
  <conditionalFormatting sqref="J27:O27">
    <cfRule type="expression" dxfId="136" priority="41">
      <formula>LEN($J27)=14</formula>
    </cfRule>
  </conditionalFormatting>
  <conditionalFormatting sqref="J51:O51">
    <cfRule type="expression" dxfId="135" priority="19">
      <formula>LEN($J51)=14</formula>
    </cfRule>
  </conditionalFormatting>
  <conditionalFormatting sqref="P4:U4">
    <cfRule type="expression" dxfId="134" priority="62">
      <formula>LEN($P4)=14</formula>
    </cfRule>
  </conditionalFormatting>
  <conditionalFormatting sqref="P27:U27">
    <cfRule type="expression" dxfId="133" priority="40">
      <formula>LEN($P27)=14</formula>
    </cfRule>
  </conditionalFormatting>
  <conditionalFormatting sqref="P51:U51">
    <cfRule type="expression" dxfId="132" priority="18">
      <formula>LEN($P51)=14</formula>
    </cfRule>
  </conditionalFormatting>
  <conditionalFormatting sqref="V4:AA4">
    <cfRule type="expression" dxfId="131" priority="61">
      <formula>LEN($V4)=14</formula>
    </cfRule>
  </conditionalFormatting>
  <conditionalFormatting sqref="V27:AA27">
    <cfRule type="expression" dxfId="130" priority="39">
      <formula>LEN($V27)=14</formula>
    </cfRule>
  </conditionalFormatting>
  <conditionalFormatting sqref="V51:AA51">
    <cfRule type="expression" dxfId="129" priority="17">
      <formula>LEN($V51)=14</formula>
    </cfRule>
  </conditionalFormatting>
  <conditionalFormatting sqref="AB4:AG4">
    <cfRule type="expression" dxfId="128" priority="60">
      <formula>LEN($AB4)=14</formula>
    </cfRule>
  </conditionalFormatting>
  <conditionalFormatting sqref="AB27:AG27">
    <cfRule type="expression" dxfId="127" priority="38">
      <formula>LEN($AB27)=14</formula>
    </cfRule>
  </conditionalFormatting>
  <conditionalFormatting sqref="AB51:AG51">
    <cfRule type="expression" dxfId="126" priority="16">
      <formula>LEN($AB51)=14</formula>
    </cfRule>
  </conditionalFormatting>
  <conditionalFormatting sqref="AH4:AM4">
    <cfRule type="expression" dxfId="125" priority="59">
      <formula>LEN($AH4)=14</formula>
    </cfRule>
  </conditionalFormatting>
  <conditionalFormatting sqref="AH27:AM27">
    <cfRule type="expression" dxfId="124" priority="37">
      <formula>LEN($AH27)=14</formula>
    </cfRule>
  </conditionalFormatting>
  <conditionalFormatting sqref="AH51:AM51">
    <cfRule type="expression" dxfId="123" priority="15">
      <formula>LEN($AH51)=14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44B0-CF33-43B7-8B30-BF37A3B38A90}">
  <dimension ref="A1:BH944"/>
  <sheetViews>
    <sheetView zoomScale="70" zoomScaleNormal="70" workbookViewId="0">
      <selection activeCell="B2" sqref="B2:Y25"/>
    </sheetView>
  </sheetViews>
  <sheetFormatPr defaultColWidth="8.7109375" defaultRowHeight="24" customHeight="1" x14ac:dyDescent="0.25"/>
  <cols>
    <col min="1" max="16384" width="8.7109375" style="202"/>
  </cols>
  <sheetData>
    <row r="1" spans="1:60" ht="24" customHeight="1" thickBot="1" x14ac:dyDescent="0.3">
      <c r="A1" s="234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01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4"/>
      <c r="AZ1" s="234"/>
      <c r="BA1" s="234"/>
      <c r="BB1" s="234"/>
      <c r="BC1" s="234"/>
      <c r="BD1" s="234"/>
      <c r="BE1" s="234"/>
      <c r="BF1" s="234"/>
      <c r="BG1" s="234"/>
      <c r="BH1" s="234"/>
    </row>
    <row r="2" spans="1:60" ht="24" customHeight="1" thickBot="1" x14ac:dyDescent="0.4">
      <c r="A2" s="234"/>
      <c r="B2" s="295">
        <v>45753</v>
      </c>
      <c r="C2" s="330" t="s">
        <v>110</v>
      </c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9"/>
      <c r="V2" s="297" t="s">
        <v>111</v>
      </c>
      <c r="W2" s="287"/>
      <c r="X2" s="287"/>
      <c r="Y2" s="28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01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</row>
    <row r="3" spans="1:60" ht="24" customHeight="1" thickBot="1" x14ac:dyDescent="0.3">
      <c r="A3" s="234"/>
      <c r="B3" s="293"/>
      <c r="C3" s="289">
        <v>1.3888888888888888E-2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4"/>
      <c r="V3" s="298" t="s">
        <v>103</v>
      </c>
      <c r="W3" s="287"/>
      <c r="X3" s="287"/>
      <c r="Y3" s="28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01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4"/>
      <c r="BF3" s="234"/>
      <c r="BG3" s="234"/>
      <c r="BH3" s="234"/>
    </row>
    <row r="4" spans="1:60" ht="24" customHeight="1" thickBot="1" x14ac:dyDescent="0.3">
      <c r="A4" s="234"/>
      <c r="B4" s="293"/>
      <c r="C4" s="365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1" t="s">
        <v>6</v>
      </c>
      <c r="Q4" s="287"/>
      <c r="R4" s="287"/>
      <c r="S4" s="287"/>
      <c r="T4" s="287"/>
      <c r="U4" s="284"/>
      <c r="V4" s="297" t="str">
        <f>CONCATENATE(COUNT(V6:V17,X6:X17)," VIAGENS")</f>
        <v>23 VIAGENS</v>
      </c>
      <c r="W4" s="287"/>
      <c r="X4" s="287"/>
      <c r="Y4" s="28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01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</row>
    <row r="5" spans="1:60" ht="24" customHeight="1" thickBot="1" x14ac:dyDescent="0.3">
      <c r="A5" s="234"/>
      <c r="B5" s="293"/>
      <c r="C5" s="292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36" t="s">
        <v>8</v>
      </c>
      <c r="Q5" s="237" t="s">
        <v>9</v>
      </c>
      <c r="R5" s="238" t="s">
        <v>10</v>
      </c>
      <c r="S5" s="237" t="s">
        <v>11</v>
      </c>
      <c r="T5" s="238" t="s">
        <v>12</v>
      </c>
      <c r="U5" s="237" t="s">
        <v>13</v>
      </c>
      <c r="V5" s="203" t="s">
        <v>14</v>
      </c>
      <c r="W5" s="204" t="s">
        <v>15</v>
      </c>
      <c r="X5" s="203" t="s">
        <v>14</v>
      </c>
      <c r="Y5" s="204" t="s">
        <v>15</v>
      </c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01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</row>
    <row r="6" spans="1:60" ht="24" customHeight="1" x14ac:dyDescent="0.25">
      <c r="A6" s="234"/>
      <c r="B6" s="293"/>
      <c r="C6" s="293"/>
      <c r="D6" s="239">
        <v>0.20833333333333329</v>
      </c>
      <c r="E6" s="240">
        <v>0.22569444444444439</v>
      </c>
      <c r="F6" s="240">
        <v>0.25347222222222221</v>
      </c>
      <c r="G6" s="241">
        <v>4.5138888888888888E-2</v>
      </c>
      <c r="H6" s="242">
        <v>127</v>
      </c>
      <c r="I6" s="243">
        <v>1</v>
      </c>
      <c r="J6" s="239">
        <v>0.22569444444444439</v>
      </c>
      <c r="K6" s="240">
        <v>0.24305555555555561</v>
      </c>
      <c r="L6" s="240">
        <v>0.27013888888888887</v>
      </c>
      <c r="M6" s="241">
        <v>4.4444444444444453E-2</v>
      </c>
      <c r="N6" s="242">
        <v>127</v>
      </c>
      <c r="O6" s="243">
        <v>2</v>
      </c>
      <c r="P6" s="239">
        <v>0.24305555555555561</v>
      </c>
      <c r="Q6" s="240">
        <v>0.26111111111111113</v>
      </c>
      <c r="R6" s="240">
        <v>0.28680555555555548</v>
      </c>
      <c r="S6" s="241">
        <v>4.3749999999999997E-2</v>
      </c>
      <c r="T6" s="242">
        <v>127</v>
      </c>
      <c r="U6" s="243">
        <v>3</v>
      </c>
      <c r="V6" s="244">
        <v>0.20833333333333329</v>
      </c>
      <c r="W6" s="211"/>
      <c r="X6" s="245">
        <v>0.50347222222222221</v>
      </c>
      <c r="Y6" s="212">
        <f>X6-V17</f>
        <v>2.4305555555555525E-2</v>
      </c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01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</row>
    <row r="7" spans="1:60" ht="24" customHeight="1" x14ac:dyDescent="0.25">
      <c r="A7" s="234"/>
      <c r="B7" s="293"/>
      <c r="C7" s="293"/>
      <c r="D7" s="239">
        <v>0.26041666666666669</v>
      </c>
      <c r="E7" s="240">
        <v>0.27916666666666667</v>
      </c>
      <c r="F7" s="240">
        <v>0.30833333333333329</v>
      </c>
      <c r="G7" s="241">
        <v>4.791666666666667E-2</v>
      </c>
      <c r="H7" s="242">
        <v>127</v>
      </c>
      <c r="I7" s="243">
        <v>1</v>
      </c>
      <c r="J7" s="239">
        <v>0.27777777777777779</v>
      </c>
      <c r="K7" s="240">
        <v>0.29930555555555549</v>
      </c>
      <c r="L7" s="240">
        <v>0.32847222222222222</v>
      </c>
      <c r="M7" s="241">
        <v>5.0694444444444438E-2</v>
      </c>
      <c r="N7" s="242">
        <v>127</v>
      </c>
      <c r="O7" s="243">
        <v>2</v>
      </c>
      <c r="P7" s="239">
        <v>0.2986111111111111</v>
      </c>
      <c r="Q7" s="240">
        <v>0.31458333333333333</v>
      </c>
      <c r="R7" s="240">
        <v>0.34375</v>
      </c>
      <c r="S7" s="241">
        <v>4.5138888888888888E-2</v>
      </c>
      <c r="T7" s="242">
        <v>127</v>
      </c>
      <c r="U7" s="243">
        <v>3</v>
      </c>
      <c r="V7" s="239">
        <v>0.22569444444444439</v>
      </c>
      <c r="W7" s="218">
        <f t="shared" ref="W7:W17" si="0">V7-V6</f>
        <v>1.7361111111111105E-2</v>
      </c>
      <c r="X7" s="240">
        <v>0.52777777777777779</v>
      </c>
      <c r="Y7" s="219">
        <f t="shared" ref="Y7:Y16" si="1">X7-X6</f>
        <v>2.430555555555558E-2</v>
      </c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01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</row>
    <row r="8" spans="1:60" ht="24" customHeight="1" thickBot="1" x14ac:dyDescent="0.3">
      <c r="A8" s="234"/>
      <c r="B8" s="293"/>
      <c r="C8" s="293"/>
      <c r="D8" s="239">
        <v>0.32291666666666669</v>
      </c>
      <c r="E8" s="240">
        <v>0.34236111111111112</v>
      </c>
      <c r="F8" s="240">
        <v>0.37361111111111112</v>
      </c>
      <c r="G8" s="241">
        <v>5.0694444444444438E-2</v>
      </c>
      <c r="H8" s="242">
        <v>127</v>
      </c>
      <c r="I8" s="243">
        <v>1</v>
      </c>
      <c r="J8" s="239">
        <v>0.34722222222222221</v>
      </c>
      <c r="K8" s="240">
        <v>0.36736111111111108</v>
      </c>
      <c r="L8" s="240">
        <v>0.39652777777777781</v>
      </c>
      <c r="M8" s="241">
        <v>4.9305555555555547E-2</v>
      </c>
      <c r="N8" s="242">
        <v>127</v>
      </c>
      <c r="O8" s="243">
        <v>2</v>
      </c>
      <c r="P8" s="239">
        <v>0.37152777777777779</v>
      </c>
      <c r="Q8" s="240">
        <v>0.39027777777777778</v>
      </c>
      <c r="R8" s="240">
        <v>0.4201388888888889</v>
      </c>
      <c r="S8" s="241">
        <v>4.8611111111111112E-2</v>
      </c>
      <c r="T8" s="242">
        <v>127</v>
      </c>
      <c r="U8" s="243">
        <v>3</v>
      </c>
      <c r="V8" s="239">
        <v>0.24305555555555561</v>
      </c>
      <c r="W8" s="218">
        <f t="shared" si="0"/>
        <v>1.7361111111111216E-2</v>
      </c>
      <c r="X8" s="240">
        <v>0.55208333333333337</v>
      </c>
      <c r="Y8" s="219">
        <f t="shared" si="1"/>
        <v>2.430555555555558E-2</v>
      </c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01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  <c r="BE8" s="234"/>
      <c r="BF8" s="234"/>
      <c r="BG8" s="234"/>
      <c r="BH8" s="234"/>
    </row>
    <row r="9" spans="1:60" ht="24" customHeight="1" thickBot="1" x14ac:dyDescent="0.3">
      <c r="A9" s="234"/>
      <c r="B9" s="293"/>
      <c r="C9" s="293"/>
      <c r="D9" s="283">
        <f>IF(F8="",E8,F8)</f>
        <v>0.37361111111111112</v>
      </c>
      <c r="E9" s="284"/>
      <c r="F9" s="283">
        <f>IF(D10="",E10,D10)</f>
        <v>0.42708333333333331</v>
      </c>
      <c r="G9" s="284"/>
      <c r="H9" s="283">
        <f>F9-D9</f>
        <v>5.3472222222222199E-2</v>
      </c>
      <c r="I9" s="284"/>
      <c r="J9" s="283">
        <f>IF(L8="",K8,L8)</f>
        <v>0.39652777777777781</v>
      </c>
      <c r="K9" s="284"/>
      <c r="L9" s="283">
        <f>IF(J10="",K10,J10)</f>
        <v>0.4548611111111111</v>
      </c>
      <c r="M9" s="284"/>
      <c r="N9" s="283">
        <f>L9-J9</f>
        <v>5.8333333333333293E-2</v>
      </c>
      <c r="O9" s="284"/>
      <c r="P9" s="283">
        <f>IF(R8="",Q8,R8)</f>
        <v>0.4201388888888889</v>
      </c>
      <c r="Q9" s="284"/>
      <c r="R9" s="283">
        <f>IF(P10="",Q10,P10)</f>
        <v>0.47916666666666669</v>
      </c>
      <c r="S9" s="284"/>
      <c r="T9" s="283">
        <f>R9-P9</f>
        <v>5.902777777777779E-2</v>
      </c>
      <c r="U9" s="284"/>
      <c r="V9" s="239">
        <v>0.26041666666666669</v>
      </c>
      <c r="W9" s="218">
        <f t="shared" si="0"/>
        <v>1.7361111111111077E-2</v>
      </c>
      <c r="X9" s="240">
        <v>0.59027777777777779</v>
      </c>
      <c r="Y9" s="219">
        <f t="shared" si="1"/>
        <v>3.819444444444442E-2</v>
      </c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01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</row>
    <row r="10" spans="1:60" ht="24" customHeight="1" x14ac:dyDescent="0.25">
      <c r="A10" s="234"/>
      <c r="B10" s="293"/>
      <c r="C10" s="293"/>
      <c r="D10" s="239">
        <v>0.42708333333333331</v>
      </c>
      <c r="E10" s="240">
        <v>0.44930555555555562</v>
      </c>
      <c r="F10" s="240">
        <v>0.48055555555555562</v>
      </c>
      <c r="G10" s="241">
        <v>5.347222222222222E-2</v>
      </c>
      <c r="H10" s="242">
        <v>127</v>
      </c>
      <c r="I10" s="243">
        <v>1</v>
      </c>
      <c r="J10" s="239">
        <v>0.4548611111111111</v>
      </c>
      <c r="K10" s="240">
        <v>0.47499999999999998</v>
      </c>
      <c r="L10" s="240">
        <v>0.50902777777777775</v>
      </c>
      <c r="M10" s="241">
        <v>5.4166666666666669E-2</v>
      </c>
      <c r="N10" s="242">
        <v>127</v>
      </c>
      <c r="O10" s="243">
        <v>2</v>
      </c>
      <c r="P10" s="239">
        <v>0.47916666666666669</v>
      </c>
      <c r="Q10" s="240">
        <v>0.49722222222222218</v>
      </c>
      <c r="R10" s="240">
        <v>0.52430555555555558</v>
      </c>
      <c r="S10" s="241">
        <v>4.5138888888888888E-2</v>
      </c>
      <c r="T10" s="242">
        <v>127</v>
      </c>
      <c r="U10" s="243">
        <v>3</v>
      </c>
      <c r="V10" s="239">
        <v>0.27777777777777779</v>
      </c>
      <c r="W10" s="218">
        <f t="shared" si="0"/>
        <v>1.7361111111111105E-2</v>
      </c>
      <c r="X10" s="240">
        <v>0.64236111111111116</v>
      </c>
      <c r="Y10" s="219">
        <f t="shared" si="1"/>
        <v>5.208333333333337E-2</v>
      </c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01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</row>
    <row r="11" spans="1:60" ht="24" customHeight="1" x14ac:dyDescent="0.25">
      <c r="A11" s="234"/>
      <c r="B11" s="293"/>
      <c r="C11" s="293"/>
      <c r="D11" s="239">
        <v>0.50347222222222221</v>
      </c>
      <c r="E11" s="240">
        <v>0.52222222222222225</v>
      </c>
      <c r="F11" s="240">
        <v>0.55069444444444449</v>
      </c>
      <c r="G11" s="241">
        <v>4.7222222222222221E-2</v>
      </c>
      <c r="H11" s="242">
        <v>127</v>
      </c>
      <c r="I11" s="243">
        <v>1</v>
      </c>
      <c r="J11" s="239">
        <v>0.52777777777777779</v>
      </c>
      <c r="K11" s="240">
        <v>0.54583333333333328</v>
      </c>
      <c r="L11" s="240">
        <v>0.57361111111111107</v>
      </c>
      <c r="M11" s="241">
        <v>4.583333333333333E-2</v>
      </c>
      <c r="N11" s="242">
        <v>127</v>
      </c>
      <c r="O11" s="243">
        <v>2</v>
      </c>
      <c r="P11" s="239">
        <v>0.55208333333333337</v>
      </c>
      <c r="Q11" s="240">
        <v>0.5708333333333333</v>
      </c>
      <c r="R11" s="240">
        <v>0.59444444444444444</v>
      </c>
      <c r="S11" s="241">
        <v>4.2361111111111113E-2</v>
      </c>
      <c r="T11" s="242">
        <v>127</v>
      </c>
      <c r="U11" s="243">
        <v>3</v>
      </c>
      <c r="V11" s="239">
        <v>0.2986111111111111</v>
      </c>
      <c r="W11" s="218">
        <f t="shared" si="0"/>
        <v>2.0833333333333315E-2</v>
      </c>
      <c r="X11" s="240">
        <v>0.67361111111111116</v>
      </c>
      <c r="Y11" s="219">
        <f t="shared" si="1"/>
        <v>3.125E-2</v>
      </c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01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</row>
    <row r="12" spans="1:60" ht="24" customHeight="1" thickBot="1" x14ac:dyDescent="0.3">
      <c r="A12" s="234"/>
      <c r="B12" s="293"/>
      <c r="C12" s="293"/>
      <c r="D12" s="239"/>
      <c r="E12" s="240"/>
      <c r="F12" s="240"/>
      <c r="G12" s="241"/>
      <c r="H12" s="242"/>
      <c r="I12" s="243"/>
      <c r="J12" s="239"/>
      <c r="K12" s="240"/>
      <c r="L12" s="240"/>
      <c r="M12" s="241"/>
      <c r="N12" s="242"/>
      <c r="O12" s="243"/>
      <c r="P12" s="239"/>
      <c r="Q12" s="240"/>
      <c r="R12" s="240"/>
      <c r="S12" s="241"/>
      <c r="T12" s="242"/>
      <c r="U12" s="243"/>
      <c r="V12" s="239">
        <v>0.32291666666666669</v>
      </c>
      <c r="W12" s="218">
        <f t="shared" si="0"/>
        <v>2.430555555555558E-2</v>
      </c>
      <c r="X12" s="240">
        <v>0.70486111111111116</v>
      </c>
      <c r="Y12" s="219">
        <f t="shared" si="1"/>
        <v>3.125E-2</v>
      </c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01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  <c r="BE12" s="234"/>
      <c r="BF12" s="234"/>
      <c r="BG12" s="234"/>
      <c r="BH12" s="234"/>
    </row>
    <row r="13" spans="1:60" ht="24" customHeight="1" thickBot="1" x14ac:dyDescent="0.3">
      <c r="A13" s="234"/>
      <c r="B13" s="293"/>
      <c r="C13" s="290"/>
      <c r="D13" s="334" t="s">
        <v>100</v>
      </c>
      <c r="E13" s="287"/>
      <c r="F13" s="287"/>
      <c r="G13" s="287"/>
      <c r="H13" s="287"/>
      <c r="I13" s="284"/>
      <c r="J13" s="334" t="s">
        <v>100</v>
      </c>
      <c r="K13" s="287"/>
      <c r="L13" s="287"/>
      <c r="M13" s="287"/>
      <c r="N13" s="287"/>
      <c r="O13" s="284"/>
      <c r="P13" s="334" t="s">
        <v>100</v>
      </c>
      <c r="Q13" s="287"/>
      <c r="R13" s="287"/>
      <c r="S13" s="287"/>
      <c r="T13" s="287"/>
      <c r="U13" s="284"/>
      <c r="V13" s="239">
        <v>0.34722222222222221</v>
      </c>
      <c r="W13" s="218">
        <f t="shared" si="0"/>
        <v>2.4305555555555525E-2</v>
      </c>
      <c r="X13" s="240">
        <v>0.73611111111111116</v>
      </c>
      <c r="Y13" s="219">
        <f t="shared" si="1"/>
        <v>3.125E-2</v>
      </c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01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4"/>
      <c r="BC13" s="234"/>
      <c r="BD13" s="234"/>
      <c r="BE13" s="234"/>
      <c r="BF13" s="234"/>
      <c r="BG13" s="234"/>
      <c r="BH13" s="234"/>
    </row>
    <row r="14" spans="1:60" ht="24" customHeight="1" thickBot="1" x14ac:dyDescent="0.3">
      <c r="A14" s="234"/>
      <c r="B14" s="293"/>
      <c r="C14" s="247" t="s">
        <v>17</v>
      </c>
      <c r="D14" s="288">
        <f>MAX(E6:F12)-IF(D6="",E6,D6)-MIN(H6:H12)+$C3</f>
        <v>0.30277777777777792</v>
      </c>
      <c r="E14" s="287"/>
      <c r="F14" s="287"/>
      <c r="G14" s="284"/>
      <c r="H14" s="294">
        <f ca="1">OFFSET(H5,MATCH(MIN(H6:H12),H6:H12,0),-4)-IF(D6="",E6,D6)+$C3</f>
        <v>0.17916666666666672</v>
      </c>
      <c r="I14" s="284"/>
      <c r="J14" s="288">
        <f>MAX(K6:L12)-IF(J6="",K6,J6)-MIN(N6:N12)+$C3</f>
        <v>0.30347222222222225</v>
      </c>
      <c r="K14" s="287"/>
      <c r="L14" s="287"/>
      <c r="M14" s="284"/>
      <c r="N14" s="294">
        <f ca="1">OFFSET(N5,MATCH(MIN(N6:N12),N6:N12,0),-4)-IF(J6="",K6,J6)+$C3</f>
        <v>0.18472222222222232</v>
      </c>
      <c r="O14" s="284"/>
      <c r="P14" s="288">
        <f>MAX(Q6:R12)-IF(P6="",Q6,P6)-MIN(T6:T12)+$C3*2</f>
        <v>0.32013888888888886</v>
      </c>
      <c r="Q14" s="287"/>
      <c r="R14" s="287"/>
      <c r="S14" s="284"/>
      <c r="T14" s="294">
        <f ca="1">OFFSET(T5,MATCH(MIN(T6:T12),T6:T12,0),-4)-IF(P6="",Q6,P6)+$C3</f>
        <v>0.19097222222222218</v>
      </c>
      <c r="U14" s="284"/>
      <c r="V14" s="239">
        <v>0.37152777777777779</v>
      </c>
      <c r="W14" s="218">
        <f t="shared" si="0"/>
        <v>2.430555555555558E-2</v>
      </c>
      <c r="X14" s="240">
        <v>0.80138888888888893</v>
      </c>
      <c r="Y14" s="219">
        <f t="shared" si="1"/>
        <v>6.5277777777777768E-2</v>
      </c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01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</row>
    <row r="15" spans="1:60" ht="24" customHeight="1" thickBot="1" x14ac:dyDescent="0.3">
      <c r="A15" s="234"/>
      <c r="B15" s="293"/>
      <c r="C15" s="289">
        <v>1.3888888888888888E-2</v>
      </c>
      <c r="D15" s="291" t="s">
        <v>18</v>
      </c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4"/>
      <c r="V15" s="239">
        <v>0.42708333333333331</v>
      </c>
      <c r="W15" s="218">
        <f t="shared" si="0"/>
        <v>5.5555555555555525E-2</v>
      </c>
      <c r="X15" s="240">
        <v>0.85902777777777772</v>
      </c>
      <c r="Y15" s="219">
        <f t="shared" si="1"/>
        <v>5.7638888888888795E-2</v>
      </c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01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</row>
    <row r="16" spans="1:60" ht="24" customHeight="1" thickBot="1" x14ac:dyDescent="0.3">
      <c r="A16" s="234"/>
      <c r="B16" s="293"/>
      <c r="C16" s="365"/>
      <c r="D16" s="291" t="s">
        <v>19</v>
      </c>
      <c r="E16" s="287"/>
      <c r="F16" s="287"/>
      <c r="G16" s="287"/>
      <c r="H16" s="287"/>
      <c r="I16" s="284"/>
      <c r="J16" s="291" t="s">
        <v>20</v>
      </c>
      <c r="K16" s="287"/>
      <c r="L16" s="287"/>
      <c r="M16" s="287"/>
      <c r="N16" s="287"/>
      <c r="O16" s="284"/>
      <c r="P16" s="366"/>
      <c r="Q16" s="367"/>
      <c r="R16" s="367"/>
      <c r="S16" s="367"/>
      <c r="T16" s="367"/>
      <c r="U16" s="327"/>
      <c r="V16" s="239">
        <v>0.4548611111111111</v>
      </c>
      <c r="W16" s="218">
        <f t="shared" si="0"/>
        <v>2.777777777777779E-2</v>
      </c>
      <c r="X16" s="240">
        <v>0.91666666666666663</v>
      </c>
      <c r="Y16" s="219">
        <f t="shared" si="1"/>
        <v>5.7638888888888906E-2</v>
      </c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  <c r="AM16" s="234"/>
      <c r="AN16" s="201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</row>
    <row r="17" spans="1:60" ht="24" customHeight="1" thickBot="1" x14ac:dyDescent="0.3">
      <c r="A17" s="234"/>
      <c r="B17" s="293"/>
      <c r="C17" s="292" t="s">
        <v>7</v>
      </c>
      <c r="D17" s="236" t="s">
        <v>8</v>
      </c>
      <c r="E17" s="237" t="s">
        <v>9</v>
      </c>
      <c r="F17" s="238" t="s">
        <v>10</v>
      </c>
      <c r="G17" s="237" t="s">
        <v>11</v>
      </c>
      <c r="H17" s="238" t="s">
        <v>12</v>
      </c>
      <c r="I17" s="237" t="s">
        <v>13</v>
      </c>
      <c r="J17" s="238" t="s">
        <v>8</v>
      </c>
      <c r="K17" s="237" t="s">
        <v>9</v>
      </c>
      <c r="L17" s="238" t="s">
        <v>10</v>
      </c>
      <c r="M17" s="237" t="s">
        <v>11</v>
      </c>
      <c r="N17" s="238" t="s">
        <v>12</v>
      </c>
      <c r="O17" s="237" t="s">
        <v>13</v>
      </c>
      <c r="P17" s="300"/>
      <c r="Q17" s="356"/>
      <c r="R17" s="356"/>
      <c r="S17" s="356"/>
      <c r="T17" s="356"/>
      <c r="U17" s="332"/>
      <c r="V17" s="248">
        <v>0.47916666666666669</v>
      </c>
      <c r="W17" s="231">
        <f t="shared" si="0"/>
        <v>2.430555555555558E-2</v>
      </c>
      <c r="X17" s="266"/>
      <c r="Y17" s="267"/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01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</row>
    <row r="18" spans="1:60" ht="24" customHeight="1" x14ac:dyDescent="0.25">
      <c r="A18" s="234"/>
      <c r="B18" s="293"/>
      <c r="C18" s="293"/>
      <c r="D18" s="244">
        <v>0.59027777777777779</v>
      </c>
      <c r="E18" s="245">
        <v>0.60902777777777772</v>
      </c>
      <c r="F18" s="245">
        <v>0.63541666666666663</v>
      </c>
      <c r="G18" s="265">
        <v>4.5138888888888888E-2</v>
      </c>
      <c r="H18" s="250">
        <v>127</v>
      </c>
      <c r="I18" s="251">
        <v>1</v>
      </c>
      <c r="J18" s="244">
        <v>0.67361111111111116</v>
      </c>
      <c r="K18" s="245">
        <v>0.69166666666666665</v>
      </c>
      <c r="L18" s="245">
        <v>0.72013888888888888</v>
      </c>
      <c r="M18" s="265">
        <v>4.6527777777777779E-2</v>
      </c>
      <c r="N18" s="250">
        <v>127</v>
      </c>
      <c r="O18" s="251">
        <v>2</v>
      </c>
      <c r="P18" s="300"/>
      <c r="Q18" s="356"/>
      <c r="R18" s="356"/>
      <c r="S18" s="356"/>
      <c r="T18" s="356"/>
      <c r="U18" s="332"/>
      <c r="V18" s="200"/>
      <c r="W18" s="200"/>
      <c r="X18" s="200"/>
      <c r="Y18" s="200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01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  <c r="BE18" s="234"/>
      <c r="BF18" s="234"/>
      <c r="BG18" s="234"/>
      <c r="BH18" s="234"/>
    </row>
    <row r="19" spans="1:60" ht="24" customHeight="1" thickBot="1" x14ac:dyDescent="0.3">
      <c r="A19" s="234"/>
      <c r="B19" s="293"/>
      <c r="C19" s="293"/>
      <c r="D19" s="239">
        <v>0.64236111111111116</v>
      </c>
      <c r="E19" s="240">
        <v>0.65902777777777777</v>
      </c>
      <c r="F19" s="240">
        <v>0.68819444444444444</v>
      </c>
      <c r="G19" s="241">
        <v>4.583333333333333E-2</v>
      </c>
      <c r="H19" s="242">
        <v>127</v>
      </c>
      <c r="I19" s="252">
        <v>1</v>
      </c>
      <c r="J19" s="239">
        <v>0.73611111111111116</v>
      </c>
      <c r="K19" s="240">
        <v>0.75624999999999998</v>
      </c>
      <c r="L19" s="240">
        <v>0.78749999999999998</v>
      </c>
      <c r="M19" s="241">
        <v>5.1388888888888887E-2</v>
      </c>
      <c r="N19" s="242">
        <v>127</v>
      </c>
      <c r="O19" s="252">
        <v>2</v>
      </c>
      <c r="P19" s="300"/>
      <c r="Q19" s="356"/>
      <c r="R19" s="356"/>
      <c r="S19" s="356"/>
      <c r="T19" s="356"/>
      <c r="U19" s="332"/>
      <c r="V19" s="200"/>
      <c r="W19" s="200"/>
      <c r="X19" s="200"/>
      <c r="Y19" s="200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01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</row>
    <row r="20" spans="1:60" ht="24" customHeight="1" thickBot="1" x14ac:dyDescent="0.3">
      <c r="A20" s="234"/>
      <c r="B20" s="293"/>
      <c r="C20" s="293"/>
      <c r="D20" s="239">
        <v>0.70486111111111116</v>
      </c>
      <c r="E20" s="240">
        <v>0.72361111111111109</v>
      </c>
      <c r="F20" s="240">
        <v>0.75277777777777777</v>
      </c>
      <c r="G20" s="241">
        <v>4.791666666666667E-2</v>
      </c>
      <c r="H20" s="242">
        <v>127</v>
      </c>
      <c r="I20" s="252">
        <v>1</v>
      </c>
      <c r="J20" s="283">
        <f>IF(L19="",K19,L19)</f>
        <v>0.78749999999999998</v>
      </c>
      <c r="K20" s="284"/>
      <c r="L20" s="283">
        <f>IF(J21="",K21,J21)</f>
        <v>0.85902777777777772</v>
      </c>
      <c r="M20" s="284"/>
      <c r="N20" s="283">
        <f>L20-J20</f>
        <v>7.1527777777777746E-2</v>
      </c>
      <c r="O20" s="284"/>
      <c r="P20" s="300"/>
      <c r="Q20" s="356"/>
      <c r="R20" s="356"/>
      <c r="S20" s="356"/>
      <c r="T20" s="356"/>
      <c r="U20" s="332"/>
      <c r="V20" s="200"/>
      <c r="W20" s="200"/>
      <c r="X20" s="200"/>
      <c r="Y20" s="200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01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</row>
    <row r="21" spans="1:60" ht="24" customHeight="1" thickBot="1" x14ac:dyDescent="0.3">
      <c r="A21" s="234"/>
      <c r="B21" s="293"/>
      <c r="C21" s="293"/>
      <c r="D21" s="283">
        <f>IF(F20="",E20,F20)</f>
        <v>0.75277777777777777</v>
      </c>
      <c r="E21" s="284"/>
      <c r="F21" s="283">
        <f>IF(D22="",E22,D22)</f>
        <v>0.80138888888888893</v>
      </c>
      <c r="G21" s="284"/>
      <c r="H21" s="283">
        <f>F21-D21</f>
        <v>4.861111111111116E-2</v>
      </c>
      <c r="I21" s="284"/>
      <c r="J21" s="239">
        <v>0.85902777777777772</v>
      </c>
      <c r="K21" s="240">
        <v>0.87708333333333333</v>
      </c>
      <c r="L21" s="240">
        <v>0.90416666666666667</v>
      </c>
      <c r="M21" s="241">
        <v>4.5138888888888888E-2</v>
      </c>
      <c r="N21" s="242">
        <v>127</v>
      </c>
      <c r="O21" s="252">
        <v>2</v>
      </c>
      <c r="P21" s="300"/>
      <c r="Q21" s="356"/>
      <c r="R21" s="356"/>
      <c r="S21" s="356"/>
      <c r="T21" s="356"/>
      <c r="U21" s="332"/>
      <c r="V21" s="200"/>
      <c r="W21" s="200"/>
      <c r="X21" s="200"/>
      <c r="Y21" s="200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01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</row>
    <row r="22" spans="1:60" ht="24" customHeight="1" x14ac:dyDescent="0.25">
      <c r="A22" s="234"/>
      <c r="B22" s="293"/>
      <c r="C22" s="293"/>
      <c r="D22" s="239">
        <v>0.80138888888888893</v>
      </c>
      <c r="E22" s="240">
        <v>0.8208333333333333</v>
      </c>
      <c r="F22" s="240">
        <v>0.84861111111111109</v>
      </c>
      <c r="G22" s="241">
        <v>4.7222222222222221E-2</v>
      </c>
      <c r="H22" s="242">
        <v>127</v>
      </c>
      <c r="I22" s="252">
        <v>1</v>
      </c>
      <c r="J22" s="239">
        <v>0.91666666666666663</v>
      </c>
      <c r="K22" s="240">
        <v>0.92986111111111114</v>
      </c>
      <c r="L22" s="240">
        <v>0.95138888888888884</v>
      </c>
      <c r="M22" s="241">
        <v>3.4722222222222217E-2</v>
      </c>
      <c r="N22" s="242">
        <v>127</v>
      </c>
      <c r="O22" s="252">
        <v>2</v>
      </c>
      <c r="P22" s="300"/>
      <c r="Q22" s="356"/>
      <c r="R22" s="356"/>
      <c r="S22" s="356"/>
      <c r="T22" s="356"/>
      <c r="U22" s="332"/>
      <c r="V22" s="200"/>
      <c r="W22" s="200"/>
      <c r="X22" s="200"/>
      <c r="Y22" s="200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01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</row>
    <row r="23" spans="1:60" ht="24" customHeight="1" thickBot="1" x14ac:dyDescent="0.3">
      <c r="A23" s="234"/>
      <c r="B23" s="293"/>
      <c r="C23" s="293"/>
      <c r="D23" s="239"/>
      <c r="E23" s="240"/>
      <c r="F23" s="240"/>
      <c r="G23" s="241"/>
      <c r="H23" s="242"/>
      <c r="I23" s="252"/>
      <c r="J23" s="239"/>
      <c r="K23" s="240"/>
      <c r="L23" s="240"/>
      <c r="M23" s="241"/>
      <c r="N23" s="242"/>
      <c r="O23" s="252"/>
      <c r="P23" s="300"/>
      <c r="Q23" s="356"/>
      <c r="R23" s="356"/>
      <c r="S23" s="356"/>
      <c r="T23" s="356"/>
      <c r="U23" s="332"/>
      <c r="V23" s="200"/>
      <c r="W23" s="200"/>
      <c r="X23" s="200"/>
      <c r="Y23" s="200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01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</row>
    <row r="24" spans="1:60" ht="24" customHeight="1" thickBot="1" x14ac:dyDescent="0.3">
      <c r="A24" s="234"/>
      <c r="B24" s="293"/>
      <c r="C24" s="290"/>
      <c r="D24" s="334" t="s">
        <v>100</v>
      </c>
      <c r="E24" s="287"/>
      <c r="F24" s="287"/>
      <c r="G24" s="287"/>
      <c r="H24" s="287"/>
      <c r="I24" s="284"/>
      <c r="J24" s="334" t="s">
        <v>100</v>
      </c>
      <c r="K24" s="287"/>
      <c r="L24" s="287"/>
      <c r="M24" s="287"/>
      <c r="N24" s="287"/>
      <c r="O24" s="284"/>
      <c r="P24" s="300"/>
      <c r="Q24" s="356"/>
      <c r="R24" s="356"/>
      <c r="S24" s="356"/>
      <c r="T24" s="356"/>
      <c r="U24" s="332"/>
      <c r="V24" s="246"/>
      <c r="W24" s="246"/>
      <c r="X24" s="246"/>
      <c r="Y24" s="246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01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</row>
    <row r="25" spans="1:60" ht="24" customHeight="1" thickBot="1" x14ac:dyDescent="0.3">
      <c r="A25" s="234"/>
      <c r="B25" s="290"/>
      <c r="C25" s="247" t="s">
        <v>17</v>
      </c>
      <c r="D25" s="288">
        <f>MAX(E18:F23)-IF(D18="",E18,D18)-MIN(H18:H23)+$C15</f>
        <v>0.22361111111111104</v>
      </c>
      <c r="E25" s="287"/>
      <c r="F25" s="287"/>
      <c r="G25" s="284"/>
      <c r="H25" s="294">
        <f ca="1">OFFSET(H17,MATCH(MIN(H18:H23),H18:H23,0),-4)-IF(D18="",E18,D18)</f>
        <v>0.16249999999999998</v>
      </c>
      <c r="I25" s="284"/>
      <c r="J25" s="288">
        <f>MAX(K18:L23)-IF(J18="",K18,J18)-MIN(N18:N23)+$C15</f>
        <v>0.22013888888888883</v>
      </c>
      <c r="K25" s="287"/>
      <c r="L25" s="287"/>
      <c r="M25" s="284"/>
      <c r="N25" s="294">
        <f ca="1">OFFSET(N17,MATCH(MIN(N18:N23),N18:N23,0),-4)-IF(J18="",K18,J18)</f>
        <v>0.11388888888888882</v>
      </c>
      <c r="O25" s="284"/>
      <c r="P25" s="301"/>
      <c r="Q25" s="324"/>
      <c r="R25" s="324"/>
      <c r="S25" s="324"/>
      <c r="T25" s="324"/>
      <c r="U25" s="282"/>
      <c r="V25" s="200"/>
      <c r="W25" s="200"/>
      <c r="X25" s="201"/>
      <c r="Y25" s="201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01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</row>
    <row r="26" spans="1:60" ht="24" customHeight="1" x14ac:dyDescent="0.25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01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</row>
    <row r="27" spans="1:60" ht="24" customHeight="1" x14ac:dyDescent="0.2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01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</row>
    <row r="28" spans="1:60" ht="24" customHeight="1" x14ac:dyDescent="0.25">
      <c r="A28" s="234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01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</row>
    <row r="29" spans="1:60" ht="24" customHeight="1" x14ac:dyDescent="0.25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01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</row>
    <row r="30" spans="1:60" ht="24" customHeight="1" x14ac:dyDescent="0.25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01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</row>
    <row r="31" spans="1:60" ht="24" customHeight="1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01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</row>
    <row r="32" spans="1:60" ht="24" customHeight="1" x14ac:dyDescent="0.25">
      <c r="A32" s="234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01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</row>
    <row r="33" spans="1:60" ht="24" customHeight="1" x14ac:dyDescent="0.25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01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</row>
    <row r="34" spans="1:60" ht="24" customHeight="1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01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</row>
    <row r="35" spans="1:60" ht="24" customHeight="1" x14ac:dyDescent="0.25">
      <c r="A35" s="234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01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</row>
    <row r="36" spans="1:60" ht="24" customHeight="1" x14ac:dyDescent="0.25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01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</row>
    <row r="37" spans="1:60" ht="24" customHeight="1" x14ac:dyDescent="0.25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01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</row>
    <row r="38" spans="1:60" ht="24" customHeight="1" x14ac:dyDescent="0.25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01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</row>
    <row r="39" spans="1:60" ht="24" customHeight="1" x14ac:dyDescent="0.25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01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</row>
    <row r="40" spans="1:60" ht="24" customHeight="1" x14ac:dyDescent="0.25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01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</row>
    <row r="41" spans="1:60" ht="24" customHeight="1" x14ac:dyDescent="0.25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01"/>
      <c r="AO41" s="234"/>
      <c r="AP41" s="234"/>
      <c r="AQ41" s="234"/>
      <c r="AR41" s="234"/>
      <c r="AS41" s="234"/>
      <c r="AT41" s="234"/>
      <c r="AU41" s="234"/>
      <c r="AV41" s="234"/>
      <c r="AW41" s="234"/>
      <c r="AX41" s="234"/>
      <c r="AY41" s="234"/>
      <c r="AZ41" s="234"/>
      <c r="BA41" s="234"/>
      <c r="BB41" s="234"/>
      <c r="BC41" s="234"/>
      <c r="BD41" s="234"/>
      <c r="BE41" s="234"/>
      <c r="BF41" s="234"/>
      <c r="BG41" s="234"/>
      <c r="BH41" s="234"/>
    </row>
    <row r="42" spans="1:60" ht="24" customHeight="1" x14ac:dyDescent="0.25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01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  <c r="AZ42" s="234"/>
      <c r="BA42" s="234"/>
      <c r="BB42" s="234"/>
      <c r="BC42" s="234"/>
      <c r="BD42" s="234"/>
      <c r="BE42" s="234"/>
      <c r="BF42" s="234"/>
      <c r="BG42" s="234"/>
      <c r="BH42" s="234"/>
    </row>
    <row r="43" spans="1:60" ht="24" customHeight="1" x14ac:dyDescent="0.25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01"/>
      <c r="AO43" s="234"/>
      <c r="AP43" s="234"/>
      <c r="AQ43" s="234"/>
      <c r="AR43" s="234"/>
      <c r="AS43" s="234"/>
      <c r="AT43" s="234"/>
      <c r="AU43" s="234"/>
      <c r="AV43" s="234"/>
      <c r="AW43" s="234"/>
      <c r="AX43" s="234"/>
      <c r="AY43" s="234"/>
      <c r="AZ43" s="234"/>
      <c r="BA43" s="234"/>
      <c r="BB43" s="234"/>
      <c r="BC43" s="234"/>
      <c r="BD43" s="234"/>
      <c r="BE43" s="234"/>
      <c r="BF43" s="234"/>
      <c r="BG43" s="234"/>
      <c r="BH43" s="234"/>
    </row>
    <row r="44" spans="1:60" ht="24" customHeight="1" x14ac:dyDescent="0.25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01"/>
      <c r="AO44" s="234"/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  <c r="BE44" s="234"/>
      <c r="BF44" s="234"/>
      <c r="BG44" s="234"/>
      <c r="BH44" s="234"/>
    </row>
    <row r="45" spans="1:60" ht="24" customHeight="1" x14ac:dyDescent="0.25">
      <c r="A45" s="234"/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01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</row>
    <row r="46" spans="1:60" ht="24" customHeight="1" x14ac:dyDescent="0.25">
      <c r="A46" s="234"/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01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</row>
    <row r="47" spans="1:60" ht="24" customHeight="1" x14ac:dyDescent="0.25">
      <c r="A47" s="234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01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</row>
    <row r="48" spans="1:60" ht="24" customHeight="1" x14ac:dyDescent="0.25">
      <c r="A48" s="234"/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01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</row>
    <row r="49" spans="1:60" ht="24" customHeight="1" x14ac:dyDescent="0.25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01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</row>
    <row r="50" spans="1:60" ht="24" customHeight="1" x14ac:dyDescent="0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01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</row>
    <row r="51" spans="1:60" ht="24" customHeight="1" x14ac:dyDescent="0.25">
      <c r="A51" s="234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01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</row>
    <row r="52" spans="1:60" ht="24" customHeight="1" x14ac:dyDescent="0.25">
      <c r="A52" s="234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01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/>
      <c r="BH52" s="234"/>
    </row>
    <row r="53" spans="1:60" ht="24" customHeight="1" x14ac:dyDescent="0.25">
      <c r="A53" s="234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01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</row>
    <row r="54" spans="1:60" ht="24" customHeight="1" x14ac:dyDescent="0.25">
      <c r="A54" s="234"/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01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</row>
    <row r="55" spans="1:60" ht="24" customHeight="1" x14ac:dyDescent="0.25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01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</row>
    <row r="56" spans="1:60" ht="24" customHeight="1" x14ac:dyDescent="0.25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01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4"/>
      <c r="BH56" s="234"/>
    </row>
    <row r="57" spans="1:60" ht="24" customHeight="1" x14ac:dyDescent="0.25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01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</row>
    <row r="58" spans="1:60" ht="24" customHeight="1" x14ac:dyDescent="0.25">
      <c r="A58" s="234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01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</row>
    <row r="59" spans="1:60" ht="24" customHeight="1" x14ac:dyDescent="0.25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01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  <c r="BE59" s="234"/>
      <c r="BF59" s="234"/>
      <c r="BG59" s="234"/>
      <c r="BH59" s="234"/>
    </row>
    <row r="60" spans="1:60" ht="24" customHeight="1" x14ac:dyDescent="0.25">
      <c r="A60" s="234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01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</row>
    <row r="61" spans="1:60" ht="24" customHeight="1" x14ac:dyDescent="0.25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01"/>
      <c r="AO61" s="234"/>
      <c r="AP61" s="234"/>
      <c r="AQ61" s="234"/>
      <c r="AR61" s="234"/>
      <c r="AS61" s="234"/>
      <c r="AT61" s="234"/>
      <c r="AU61" s="234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</row>
    <row r="62" spans="1:60" ht="24" customHeight="1" x14ac:dyDescent="0.25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01"/>
      <c r="AO62" s="234"/>
      <c r="AP62" s="234"/>
      <c r="AQ62" s="234"/>
      <c r="AR62" s="234"/>
      <c r="AS62" s="234"/>
      <c r="AT62" s="234"/>
      <c r="AU62" s="234"/>
      <c r="AV62" s="234"/>
      <c r="AW62" s="234"/>
      <c r="AX62" s="234"/>
      <c r="AY62" s="234"/>
      <c r="AZ62" s="234"/>
      <c r="BA62" s="234"/>
      <c r="BB62" s="234"/>
      <c r="BC62" s="234"/>
      <c r="BD62" s="234"/>
      <c r="BE62" s="234"/>
      <c r="BF62" s="234"/>
      <c r="BG62" s="234"/>
      <c r="BH62" s="234"/>
    </row>
    <row r="63" spans="1:60" ht="24" customHeight="1" x14ac:dyDescent="0.25">
      <c r="A63" s="234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01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</row>
    <row r="64" spans="1:60" ht="24" customHeight="1" x14ac:dyDescent="0.25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01"/>
      <c r="AO64" s="234"/>
      <c r="AP64" s="234"/>
      <c r="AQ64" s="234"/>
      <c r="AR64" s="234"/>
      <c r="AS64" s="234"/>
      <c r="AT64" s="234"/>
      <c r="AU64" s="234"/>
      <c r="AV64" s="234"/>
      <c r="AW64" s="234"/>
      <c r="AX64" s="234"/>
      <c r="AY64" s="234"/>
      <c r="AZ64" s="234"/>
      <c r="BA64" s="234"/>
      <c r="BB64" s="234"/>
      <c r="BC64" s="234"/>
      <c r="BD64" s="234"/>
      <c r="BE64" s="234"/>
      <c r="BF64" s="234"/>
      <c r="BG64" s="234"/>
      <c r="BH64" s="234"/>
    </row>
    <row r="65" spans="1:60" ht="24" customHeight="1" x14ac:dyDescent="0.2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01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</row>
    <row r="66" spans="1:60" ht="24" customHeight="1" x14ac:dyDescent="0.25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01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4"/>
      <c r="BH66" s="234"/>
    </row>
    <row r="67" spans="1:60" ht="24" customHeight="1" x14ac:dyDescent="0.25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01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</row>
    <row r="68" spans="1:60" ht="24" customHeight="1" x14ac:dyDescent="0.25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01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</row>
    <row r="69" spans="1:60" ht="24" customHeight="1" x14ac:dyDescent="0.25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01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</row>
    <row r="70" spans="1:60" ht="24" customHeight="1" x14ac:dyDescent="0.25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01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</row>
    <row r="71" spans="1:60" ht="24" customHeight="1" x14ac:dyDescent="0.25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01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</row>
    <row r="72" spans="1:60" ht="24" customHeight="1" x14ac:dyDescent="0.25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01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</row>
    <row r="73" spans="1:60" ht="24" customHeight="1" x14ac:dyDescent="0.25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01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</row>
    <row r="74" spans="1:60" ht="24" customHeight="1" x14ac:dyDescent="0.25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01"/>
      <c r="AO74" s="234"/>
      <c r="AP74" s="234"/>
      <c r="AQ74" s="234"/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</row>
    <row r="75" spans="1:60" ht="24" customHeight="1" x14ac:dyDescent="0.25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01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</row>
    <row r="76" spans="1:60" ht="24" customHeight="1" x14ac:dyDescent="0.25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01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</row>
    <row r="77" spans="1:60" ht="24" customHeight="1" x14ac:dyDescent="0.25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01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</row>
    <row r="78" spans="1:60" ht="24" customHeight="1" x14ac:dyDescent="0.25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01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</row>
    <row r="79" spans="1:60" ht="24" customHeight="1" x14ac:dyDescent="0.25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4"/>
      <c r="AL79" s="234"/>
      <c r="AM79" s="234"/>
      <c r="AN79" s="201"/>
      <c r="AO79" s="234"/>
      <c r="AP79" s="234"/>
      <c r="AQ79" s="234"/>
      <c r="AR79" s="234"/>
      <c r="AS79" s="234"/>
      <c r="AT79" s="234"/>
      <c r="AU79" s="234"/>
      <c r="AV79" s="234"/>
      <c r="AW79" s="234"/>
      <c r="AX79" s="234"/>
      <c r="AY79" s="234"/>
      <c r="AZ79" s="234"/>
      <c r="BA79" s="234"/>
      <c r="BB79" s="234"/>
      <c r="BC79" s="234"/>
      <c r="BD79" s="234"/>
      <c r="BE79" s="234"/>
      <c r="BF79" s="234"/>
      <c r="BG79" s="234"/>
      <c r="BH79" s="234"/>
    </row>
    <row r="80" spans="1:60" ht="24" customHeight="1" x14ac:dyDescent="0.25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01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  <c r="BE80" s="234"/>
      <c r="BF80" s="234"/>
      <c r="BG80" s="234"/>
      <c r="BH80" s="234"/>
    </row>
    <row r="81" spans="1:60" ht="24" customHeight="1" x14ac:dyDescent="0.25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01"/>
      <c r="AO81" s="234"/>
      <c r="AP81" s="234"/>
      <c r="AQ81" s="234"/>
      <c r="AR81" s="234"/>
      <c r="AS81" s="234"/>
      <c r="AT81" s="234"/>
      <c r="AU81" s="234"/>
      <c r="AV81" s="234"/>
      <c r="AW81" s="234"/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</row>
    <row r="82" spans="1:60" ht="24" customHeight="1" x14ac:dyDescent="0.25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234"/>
      <c r="AN82" s="201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4"/>
      <c r="BG82" s="234"/>
      <c r="BH82" s="234"/>
    </row>
    <row r="83" spans="1:60" ht="24" customHeight="1" x14ac:dyDescent="0.25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234"/>
      <c r="AN83" s="201"/>
      <c r="AO83" s="234"/>
      <c r="AP83" s="234"/>
      <c r="AQ83" s="234"/>
      <c r="AR83" s="234"/>
      <c r="AS83" s="234"/>
      <c r="AT83" s="234"/>
      <c r="AU83" s="234"/>
      <c r="AV83" s="234"/>
      <c r="AW83" s="234"/>
      <c r="AX83" s="234"/>
      <c r="AY83" s="234"/>
      <c r="AZ83" s="234"/>
      <c r="BA83" s="234"/>
      <c r="BB83" s="234"/>
      <c r="BC83" s="234"/>
      <c r="BD83" s="234"/>
      <c r="BE83" s="234"/>
      <c r="BF83" s="234"/>
      <c r="BG83" s="234"/>
      <c r="BH83" s="234"/>
    </row>
    <row r="84" spans="1:60" ht="24" customHeight="1" x14ac:dyDescent="0.25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234"/>
      <c r="AN84" s="201"/>
      <c r="AO84" s="234"/>
      <c r="AP84" s="234"/>
      <c r="AQ84" s="234"/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  <c r="BE84" s="234"/>
      <c r="BF84" s="234"/>
      <c r="BG84" s="234"/>
      <c r="BH84" s="234"/>
    </row>
    <row r="85" spans="1:60" ht="24" customHeight="1" x14ac:dyDescent="0.25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234"/>
      <c r="AN85" s="201"/>
      <c r="AO85" s="234"/>
      <c r="AP85" s="234"/>
      <c r="AQ85" s="234"/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</row>
    <row r="86" spans="1:60" ht="24" customHeight="1" x14ac:dyDescent="0.2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01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</row>
    <row r="87" spans="1:60" ht="24" customHeight="1" x14ac:dyDescent="0.2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234"/>
      <c r="AN87" s="201"/>
      <c r="AO87" s="234"/>
      <c r="AP87" s="234"/>
      <c r="AQ87" s="234"/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</row>
    <row r="88" spans="1:60" ht="24" customHeight="1" x14ac:dyDescent="0.2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234"/>
      <c r="AN88" s="201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</row>
    <row r="89" spans="1:60" ht="24" customHeight="1" x14ac:dyDescent="0.2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234"/>
      <c r="AN89" s="201"/>
      <c r="AO89" s="234"/>
      <c r="AP89" s="234"/>
      <c r="AQ89" s="234"/>
      <c r="AR89" s="234"/>
      <c r="AS89" s="234"/>
      <c r="AT89" s="234"/>
      <c r="AU89" s="234"/>
      <c r="AV89" s="234"/>
      <c r="AW89" s="234"/>
      <c r="AX89" s="234"/>
      <c r="AY89" s="234"/>
      <c r="AZ89" s="234"/>
      <c r="BA89" s="234"/>
      <c r="BB89" s="234"/>
      <c r="BC89" s="234"/>
      <c r="BD89" s="234"/>
      <c r="BE89" s="234"/>
      <c r="BF89" s="234"/>
      <c r="BG89" s="234"/>
      <c r="BH89" s="234"/>
    </row>
    <row r="90" spans="1:60" ht="24" customHeight="1" x14ac:dyDescent="0.2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234"/>
      <c r="AN90" s="201"/>
      <c r="AO90" s="234"/>
      <c r="AP90" s="234"/>
      <c r="AQ90" s="234"/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  <c r="BE90" s="234"/>
      <c r="BF90" s="234"/>
      <c r="BG90" s="234"/>
      <c r="BH90" s="234"/>
    </row>
    <row r="91" spans="1:60" ht="24" customHeight="1" x14ac:dyDescent="0.2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234"/>
      <c r="AN91" s="201"/>
      <c r="AO91" s="234"/>
      <c r="AP91" s="234"/>
      <c r="AQ91" s="234"/>
      <c r="AR91" s="234"/>
      <c r="AS91" s="234"/>
      <c r="AT91" s="234"/>
      <c r="AU91" s="234"/>
      <c r="AV91" s="234"/>
      <c r="AW91" s="234"/>
      <c r="AX91" s="234"/>
      <c r="AY91" s="234"/>
      <c r="AZ91" s="234"/>
      <c r="BA91" s="234"/>
      <c r="BB91" s="234"/>
      <c r="BC91" s="234"/>
      <c r="BD91" s="234"/>
      <c r="BE91" s="234"/>
      <c r="BF91" s="234"/>
      <c r="BG91" s="234"/>
      <c r="BH91" s="234"/>
    </row>
    <row r="92" spans="1:60" ht="24" customHeight="1" x14ac:dyDescent="0.2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01"/>
      <c r="AO92" s="234"/>
      <c r="AP92" s="234"/>
      <c r="AQ92" s="234"/>
      <c r="AR92" s="234"/>
      <c r="AS92" s="234"/>
      <c r="AT92" s="234"/>
      <c r="AU92" s="234"/>
      <c r="AV92" s="234"/>
      <c r="AW92" s="234"/>
      <c r="AX92" s="234"/>
      <c r="AY92" s="234"/>
      <c r="AZ92" s="234"/>
      <c r="BA92" s="234"/>
      <c r="BB92" s="234"/>
      <c r="BC92" s="234"/>
      <c r="BD92" s="234"/>
      <c r="BE92" s="234"/>
      <c r="BF92" s="234"/>
      <c r="BG92" s="234"/>
      <c r="BH92" s="234"/>
    </row>
    <row r="93" spans="1:60" ht="24" customHeight="1" x14ac:dyDescent="0.2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01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  <c r="AZ93" s="234"/>
      <c r="BA93" s="234"/>
      <c r="BB93" s="234"/>
      <c r="BC93" s="234"/>
      <c r="BD93" s="234"/>
      <c r="BE93" s="234"/>
      <c r="BF93" s="234"/>
      <c r="BG93" s="234"/>
      <c r="BH93" s="234"/>
    </row>
    <row r="94" spans="1:60" ht="24" customHeight="1" x14ac:dyDescent="0.2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4"/>
      <c r="AL94" s="234"/>
      <c r="AM94" s="234"/>
      <c r="AN94" s="201"/>
      <c r="AO94" s="234"/>
      <c r="AP94" s="234"/>
      <c r="AQ94" s="234"/>
      <c r="AR94" s="234"/>
      <c r="AS94" s="234"/>
      <c r="AT94" s="234"/>
      <c r="AU94" s="234"/>
      <c r="AV94" s="234"/>
      <c r="AW94" s="234"/>
      <c r="AX94" s="234"/>
      <c r="AY94" s="234"/>
      <c r="AZ94" s="234"/>
      <c r="BA94" s="234"/>
      <c r="BB94" s="234"/>
      <c r="BC94" s="234"/>
      <c r="BD94" s="234"/>
      <c r="BE94" s="234"/>
      <c r="BF94" s="234"/>
      <c r="BG94" s="234"/>
      <c r="BH94" s="234"/>
    </row>
    <row r="95" spans="1:60" ht="24" customHeight="1" x14ac:dyDescent="0.2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234"/>
      <c r="AN95" s="201"/>
      <c r="AO95" s="234"/>
      <c r="AP95" s="234"/>
      <c r="AQ95" s="234"/>
      <c r="AR95" s="234"/>
      <c r="AS95" s="234"/>
      <c r="AT95" s="234"/>
      <c r="AU95" s="234"/>
      <c r="AV95" s="234"/>
      <c r="AW95" s="234"/>
      <c r="AX95" s="234"/>
      <c r="AY95" s="234"/>
      <c r="AZ95" s="234"/>
      <c r="BA95" s="234"/>
      <c r="BB95" s="234"/>
      <c r="BC95" s="234"/>
      <c r="BD95" s="234"/>
      <c r="BE95" s="234"/>
      <c r="BF95" s="234"/>
      <c r="BG95" s="234"/>
      <c r="BH95" s="234"/>
    </row>
    <row r="96" spans="1:60" ht="24" customHeight="1" x14ac:dyDescent="0.2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234"/>
      <c r="AN96" s="201"/>
      <c r="AO96" s="234"/>
      <c r="AP96" s="234"/>
      <c r="AQ96" s="234"/>
      <c r="AR96" s="234"/>
      <c r="AS96" s="234"/>
      <c r="AT96" s="234"/>
      <c r="AU96" s="234"/>
      <c r="AV96" s="234"/>
      <c r="AW96" s="234"/>
      <c r="AX96" s="234"/>
      <c r="AY96" s="234"/>
      <c r="AZ96" s="234"/>
      <c r="BA96" s="234"/>
      <c r="BB96" s="234"/>
      <c r="BC96" s="234"/>
      <c r="BD96" s="234"/>
      <c r="BE96" s="234"/>
      <c r="BF96" s="234"/>
      <c r="BG96" s="234"/>
      <c r="BH96" s="234"/>
    </row>
    <row r="97" spans="1:60" ht="24" customHeight="1" x14ac:dyDescent="0.2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234"/>
      <c r="AN97" s="201"/>
      <c r="AO97" s="234"/>
      <c r="AP97" s="234"/>
      <c r="AQ97" s="234"/>
      <c r="AR97" s="234"/>
      <c r="AS97" s="234"/>
      <c r="AT97" s="234"/>
      <c r="AU97" s="234"/>
      <c r="AV97" s="234"/>
      <c r="AW97" s="234"/>
      <c r="AX97" s="234"/>
      <c r="AY97" s="234"/>
      <c r="AZ97" s="234"/>
      <c r="BA97" s="234"/>
      <c r="BB97" s="234"/>
      <c r="BC97" s="234"/>
      <c r="BD97" s="234"/>
      <c r="BE97" s="234"/>
      <c r="BF97" s="234"/>
      <c r="BG97" s="234"/>
      <c r="BH97" s="234"/>
    </row>
    <row r="98" spans="1:60" ht="24" customHeight="1" x14ac:dyDescent="0.2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234"/>
      <c r="AN98" s="201"/>
      <c r="AO98" s="234"/>
      <c r="AP98" s="234"/>
      <c r="AQ98" s="234"/>
      <c r="AR98" s="234"/>
      <c r="AS98" s="234"/>
      <c r="AT98" s="234"/>
      <c r="AU98" s="234"/>
      <c r="AV98" s="234"/>
      <c r="AW98" s="234"/>
      <c r="AX98" s="234"/>
      <c r="AY98" s="234"/>
      <c r="AZ98" s="234"/>
      <c r="BA98" s="234"/>
      <c r="BB98" s="234"/>
      <c r="BC98" s="234"/>
      <c r="BD98" s="234"/>
      <c r="BE98" s="234"/>
      <c r="BF98" s="234"/>
      <c r="BG98" s="234"/>
      <c r="BH98" s="234"/>
    </row>
    <row r="99" spans="1:60" ht="24" customHeight="1" x14ac:dyDescent="0.2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234"/>
      <c r="AN99" s="201"/>
      <c r="AO99" s="234"/>
      <c r="AP99" s="234"/>
      <c r="AQ99" s="234"/>
      <c r="AR99" s="234"/>
      <c r="AS99" s="234"/>
      <c r="AT99" s="234"/>
      <c r="AU99" s="234"/>
      <c r="AV99" s="234"/>
      <c r="AW99" s="234"/>
      <c r="AX99" s="234"/>
      <c r="AY99" s="234"/>
      <c r="AZ99" s="234"/>
      <c r="BA99" s="234"/>
      <c r="BB99" s="234"/>
      <c r="BC99" s="234"/>
      <c r="BD99" s="234"/>
      <c r="BE99" s="234"/>
      <c r="BF99" s="234"/>
      <c r="BG99" s="234"/>
      <c r="BH99" s="234"/>
    </row>
    <row r="100" spans="1:60" ht="24" customHeight="1" x14ac:dyDescent="0.2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01"/>
      <c r="AO100" s="234"/>
      <c r="AP100" s="234"/>
      <c r="AQ100" s="234"/>
      <c r="AR100" s="234"/>
      <c r="AS100" s="234"/>
      <c r="AT100" s="234"/>
      <c r="AU100" s="234"/>
      <c r="AV100" s="234"/>
      <c r="AW100" s="234"/>
      <c r="AX100" s="234"/>
      <c r="AY100" s="234"/>
      <c r="AZ100" s="234"/>
      <c r="BA100" s="234"/>
      <c r="BB100" s="234"/>
      <c r="BC100" s="234"/>
      <c r="BD100" s="234"/>
      <c r="BE100" s="234"/>
      <c r="BF100" s="234"/>
      <c r="BG100" s="234"/>
      <c r="BH100" s="234"/>
    </row>
    <row r="101" spans="1:60" ht="24" customHeight="1" x14ac:dyDescent="0.2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01"/>
      <c r="AO101" s="234"/>
      <c r="AP101" s="234"/>
      <c r="AQ101" s="234"/>
      <c r="AR101" s="234"/>
      <c r="AS101" s="234"/>
      <c r="AT101" s="234"/>
      <c r="AU101" s="234"/>
      <c r="AV101" s="234"/>
      <c r="AW101" s="234"/>
      <c r="AX101" s="234"/>
      <c r="AY101" s="234"/>
      <c r="AZ101" s="234"/>
      <c r="BA101" s="234"/>
      <c r="BB101" s="234"/>
      <c r="BC101" s="234"/>
      <c r="BD101" s="234"/>
      <c r="BE101" s="234"/>
      <c r="BF101" s="234"/>
      <c r="BG101" s="234"/>
      <c r="BH101" s="234"/>
    </row>
    <row r="102" spans="1:60" ht="24" customHeight="1" x14ac:dyDescent="0.2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01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  <c r="AZ102" s="234"/>
      <c r="BA102" s="234"/>
      <c r="BB102" s="234"/>
      <c r="BC102" s="234"/>
      <c r="BD102" s="234"/>
      <c r="BE102" s="234"/>
      <c r="BF102" s="234"/>
      <c r="BG102" s="234"/>
      <c r="BH102" s="234"/>
    </row>
    <row r="103" spans="1:60" ht="24" customHeight="1" x14ac:dyDescent="0.2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234"/>
      <c r="AN103" s="201"/>
      <c r="AO103" s="234"/>
      <c r="AP103" s="234"/>
      <c r="AQ103" s="234"/>
      <c r="AR103" s="234"/>
      <c r="AS103" s="234"/>
      <c r="AT103" s="234"/>
      <c r="AU103" s="234"/>
      <c r="AV103" s="234"/>
      <c r="AW103" s="234"/>
      <c r="AX103" s="234"/>
      <c r="AY103" s="234"/>
      <c r="AZ103" s="234"/>
      <c r="BA103" s="234"/>
      <c r="BB103" s="234"/>
      <c r="BC103" s="234"/>
      <c r="BD103" s="234"/>
      <c r="BE103" s="234"/>
      <c r="BF103" s="234"/>
      <c r="BG103" s="234"/>
      <c r="BH103" s="234"/>
    </row>
    <row r="104" spans="1:60" ht="24" customHeight="1" x14ac:dyDescent="0.2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01"/>
      <c r="AO104" s="234"/>
      <c r="AP104" s="234"/>
      <c r="AQ104" s="234"/>
      <c r="AR104" s="234"/>
      <c r="AS104" s="234"/>
      <c r="AT104" s="234"/>
      <c r="AU104" s="234"/>
      <c r="AV104" s="234"/>
      <c r="AW104" s="234"/>
      <c r="AX104" s="234"/>
      <c r="AY104" s="234"/>
      <c r="AZ104" s="234"/>
      <c r="BA104" s="234"/>
      <c r="BB104" s="234"/>
      <c r="BC104" s="234"/>
      <c r="BD104" s="234"/>
      <c r="BE104" s="234"/>
      <c r="BF104" s="234"/>
      <c r="BG104" s="234"/>
      <c r="BH104" s="234"/>
    </row>
    <row r="105" spans="1:60" ht="24" customHeight="1" x14ac:dyDescent="0.2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234"/>
      <c r="AN105" s="201"/>
      <c r="AO105" s="234"/>
      <c r="AP105" s="234"/>
      <c r="AQ105" s="234"/>
      <c r="AR105" s="234"/>
      <c r="AS105" s="234"/>
      <c r="AT105" s="234"/>
      <c r="AU105" s="234"/>
      <c r="AV105" s="234"/>
      <c r="AW105" s="234"/>
      <c r="AX105" s="234"/>
      <c r="AY105" s="234"/>
      <c r="AZ105" s="234"/>
      <c r="BA105" s="234"/>
      <c r="BB105" s="234"/>
      <c r="BC105" s="234"/>
      <c r="BD105" s="234"/>
      <c r="BE105" s="234"/>
      <c r="BF105" s="234"/>
      <c r="BG105" s="234"/>
      <c r="BH105" s="234"/>
    </row>
    <row r="106" spans="1:60" ht="24" customHeight="1" x14ac:dyDescent="0.2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01"/>
      <c r="AO106" s="234"/>
      <c r="AP106" s="234"/>
      <c r="AQ106" s="234"/>
      <c r="AR106" s="234"/>
      <c r="AS106" s="234"/>
      <c r="AT106" s="234"/>
      <c r="AU106" s="234"/>
      <c r="AV106" s="234"/>
      <c r="AW106" s="234"/>
      <c r="AX106" s="234"/>
      <c r="AY106" s="234"/>
      <c r="AZ106" s="234"/>
      <c r="BA106" s="234"/>
      <c r="BB106" s="234"/>
      <c r="BC106" s="234"/>
      <c r="BD106" s="234"/>
      <c r="BE106" s="234"/>
      <c r="BF106" s="234"/>
      <c r="BG106" s="234"/>
      <c r="BH106" s="234"/>
    </row>
    <row r="107" spans="1:60" ht="24" customHeight="1" x14ac:dyDescent="0.2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01"/>
      <c r="AO107" s="234"/>
      <c r="AP107" s="234"/>
      <c r="AQ107" s="234"/>
      <c r="AR107" s="234"/>
      <c r="AS107" s="234"/>
      <c r="AT107" s="234"/>
      <c r="AU107" s="234"/>
      <c r="AV107" s="234"/>
      <c r="AW107" s="234"/>
      <c r="AX107" s="234"/>
      <c r="AY107" s="234"/>
      <c r="AZ107" s="234"/>
      <c r="BA107" s="234"/>
      <c r="BB107" s="234"/>
      <c r="BC107" s="234"/>
      <c r="BD107" s="234"/>
      <c r="BE107" s="234"/>
      <c r="BF107" s="234"/>
      <c r="BG107" s="234"/>
      <c r="BH107" s="234"/>
    </row>
    <row r="108" spans="1:60" ht="24" customHeight="1" x14ac:dyDescent="0.2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4"/>
      <c r="AL108" s="234"/>
      <c r="AM108" s="234"/>
      <c r="AN108" s="201"/>
      <c r="AO108" s="234"/>
      <c r="AP108" s="234"/>
      <c r="AQ108" s="234"/>
      <c r="AR108" s="234"/>
      <c r="AS108" s="234"/>
      <c r="AT108" s="234"/>
      <c r="AU108" s="234"/>
      <c r="AV108" s="234"/>
      <c r="AW108" s="234"/>
      <c r="AX108" s="234"/>
      <c r="AY108" s="234"/>
      <c r="AZ108" s="234"/>
      <c r="BA108" s="234"/>
      <c r="BB108" s="234"/>
      <c r="BC108" s="234"/>
      <c r="BD108" s="234"/>
      <c r="BE108" s="234"/>
      <c r="BF108" s="234"/>
      <c r="BG108" s="234"/>
      <c r="BH108" s="234"/>
    </row>
    <row r="109" spans="1:60" ht="24" customHeight="1" x14ac:dyDescent="0.2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01"/>
      <c r="AO109" s="234"/>
      <c r="AP109" s="234"/>
      <c r="AQ109" s="234"/>
      <c r="AR109" s="234"/>
      <c r="AS109" s="234"/>
      <c r="AT109" s="234"/>
      <c r="AU109" s="234"/>
      <c r="AV109" s="234"/>
      <c r="AW109" s="234"/>
      <c r="AX109" s="234"/>
      <c r="AY109" s="234"/>
      <c r="AZ109" s="234"/>
      <c r="BA109" s="234"/>
      <c r="BB109" s="234"/>
      <c r="BC109" s="234"/>
      <c r="BD109" s="234"/>
      <c r="BE109" s="234"/>
      <c r="BF109" s="234"/>
      <c r="BG109" s="234"/>
      <c r="BH109" s="234"/>
    </row>
    <row r="110" spans="1:60" ht="24" customHeight="1" x14ac:dyDescent="0.2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234"/>
      <c r="AN110" s="201"/>
      <c r="AO110" s="234"/>
      <c r="AP110" s="234"/>
      <c r="AQ110" s="234"/>
      <c r="AR110" s="234"/>
      <c r="AS110" s="234"/>
      <c r="AT110" s="234"/>
      <c r="AU110" s="234"/>
      <c r="AV110" s="234"/>
      <c r="AW110" s="234"/>
      <c r="AX110" s="234"/>
      <c r="AY110" s="234"/>
      <c r="AZ110" s="234"/>
      <c r="BA110" s="234"/>
      <c r="BB110" s="234"/>
      <c r="BC110" s="234"/>
      <c r="BD110" s="234"/>
      <c r="BE110" s="234"/>
      <c r="BF110" s="234"/>
      <c r="BG110" s="234"/>
      <c r="BH110" s="234"/>
    </row>
    <row r="111" spans="1:60" ht="24" customHeight="1" x14ac:dyDescent="0.2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01"/>
      <c r="AO111" s="234"/>
      <c r="AP111" s="234"/>
      <c r="AQ111" s="234"/>
      <c r="AR111" s="234"/>
      <c r="AS111" s="234"/>
      <c r="AT111" s="234"/>
      <c r="AU111" s="234"/>
      <c r="AV111" s="234"/>
      <c r="AW111" s="234"/>
      <c r="AX111" s="234"/>
      <c r="AY111" s="234"/>
      <c r="AZ111" s="234"/>
      <c r="BA111" s="234"/>
      <c r="BB111" s="234"/>
      <c r="BC111" s="234"/>
      <c r="BD111" s="234"/>
      <c r="BE111" s="234"/>
      <c r="BF111" s="234"/>
      <c r="BG111" s="234"/>
      <c r="BH111" s="234"/>
    </row>
    <row r="112" spans="1:60" ht="24" customHeight="1" x14ac:dyDescent="0.2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234"/>
      <c r="AN112" s="201"/>
      <c r="AO112" s="234"/>
      <c r="AP112" s="234"/>
      <c r="AQ112" s="234"/>
      <c r="AR112" s="234"/>
      <c r="AS112" s="234"/>
      <c r="AT112" s="234"/>
      <c r="AU112" s="234"/>
      <c r="AV112" s="234"/>
      <c r="AW112" s="234"/>
      <c r="AX112" s="234"/>
      <c r="AY112" s="234"/>
      <c r="AZ112" s="234"/>
      <c r="BA112" s="234"/>
      <c r="BB112" s="234"/>
      <c r="BC112" s="234"/>
      <c r="BD112" s="234"/>
      <c r="BE112" s="234"/>
      <c r="BF112" s="234"/>
      <c r="BG112" s="234"/>
      <c r="BH112" s="234"/>
    </row>
    <row r="113" spans="1:60" ht="24" customHeight="1" x14ac:dyDescent="0.2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01"/>
      <c r="AO113" s="234"/>
      <c r="AP113" s="234"/>
      <c r="AQ113" s="234"/>
      <c r="AR113" s="234"/>
      <c r="AS113" s="234"/>
      <c r="AT113" s="234"/>
      <c r="AU113" s="234"/>
      <c r="AV113" s="234"/>
      <c r="AW113" s="234"/>
      <c r="AX113" s="234"/>
      <c r="AY113" s="234"/>
      <c r="AZ113" s="234"/>
      <c r="BA113" s="234"/>
      <c r="BB113" s="234"/>
      <c r="BC113" s="234"/>
      <c r="BD113" s="234"/>
      <c r="BE113" s="234"/>
      <c r="BF113" s="234"/>
      <c r="BG113" s="234"/>
      <c r="BH113" s="234"/>
    </row>
    <row r="114" spans="1:60" ht="24" customHeight="1" x14ac:dyDescent="0.2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01"/>
      <c r="AO114" s="234"/>
      <c r="AP114" s="234"/>
      <c r="AQ114" s="234"/>
      <c r="AR114" s="234"/>
      <c r="AS114" s="234"/>
      <c r="AT114" s="234"/>
      <c r="AU114" s="234"/>
      <c r="AV114" s="234"/>
      <c r="AW114" s="234"/>
      <c r="AX114" s="234"/>
      <c r="AY114" s="234"/>
      <c r="AZ114" s="234"/>
      <c r="BA114" s="234"/>
      <c r="BB114" s="234"/>
      <c r="BC114" s="234"/>
      <c r="BD114" s="234"/>
      <c r="BE114" s="234"/>
      <c r="BF114" s="234"/>
      <c r="BG114" s="234"/>
      <c r="BH114" s="234"/>
    </row>
    <row r="115" spans="1:60" ht="24" customHeight="1" x14ac:dyDescent="0.2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234"/>
      <c r="AN115" s="201"/>
      <c r="AO115" s="234"/>
      <c r="AP115" s="234"/>
      <c r="AQ115" s="234"/>
      <c r="AR115" s="234"/>
      <c r="AS115" s="234"/>
      <c r="AT115" s="234"/>
      <c r="AU115" s="234"/>
      <c r="AV115" s="234"/>
      <c r="AW115" s="234"/>
      <c r="AX115" s="234"/>
      <c r="AY115" s="234"/>
      <c r="AZ115" s="234"/>
      <c r="BA115" s="234"/>
      <c r="BB115" s="234"/>
      <c r="BC115" s="234"/>
      <c r="BD115" s="234"/>
      <c r="BE115" s="234"/>
      <c r="BF115" s="234"/>
      <c r="BG115" s="234"/>
      <c r="BH115" s="234"/>
    </row>
    <row r="116" spans="1:60" ht="24" customHeight="1" x14ac:dyDescent="0.2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234"/>
      <c r="AN116" s="201"/>
      <c r="AO116" s="234"/>
      <c r="AP116" s="234"/>
      <c r="AQ116" s="234"/>
      <c r="AR116" s="234"/>
      <c r="AS116" s="234"/>
      <c r="AT116" s="234"/>
      <c r="AU116" s="234"/>
      <c r="AV116" s="234"/>
      <c r="AW116" s="234"/>
      <c r="AX116" s="234"/>
      <c r="AY116" s="234"/>
      <c r="AZ116" s="234"/>
      <c r="BA116" s="234"/>
      <c r="BB116" s="234"/>
      <c r="BC116" s="234"/>
      <c r="BD116" s="234"/>
      <c r="BE116" s="234"/>
      <c r="BF116" s="234"/>
      <c r="BG116" s="234"/>
      <c r="BH116" s="234"/>
    </row>
    <row r="117" spans="1:60" ht="24" customHeight="1" x14ac:dyDescent="0.2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234"/>
      <c r="AN117" s="201"/>
      <c r="AO117" s="234"/>
      <c r="AP117" s="234"/>
      <c r="AQ117" s="234"/>
      <c r="AR117" s="234"/>
      <c r="AS117" s="234"/>
      <c r="AT117" s="234"/>
      <c r="AU117" s="234"/>
      <c r="AV117" s="234"/>
      <c r="AW117" s="234"/>
      <c r="AX117" s="234"/>
      <c r="AY117" s="234"/>
      <c r="AZ117" s="234"/>
      <c r="BA117" s="234"/>
      <c r="BB117" s="234"/>
      <c r="BC117" s="234"/>
      <c r="BD117" s="234"/>
      <c r="BE117" s="234"/>
      <c r="BF117" s="234"/>
      <c r="BG117" s="234"/>
      <c r="BH117" s="234"/>
    </row>
    <row r="118" spans="1:60" ht="24" customHeight="1" x14ac:dyDescent="0.2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4"/>
      <c r="AL118" s="234"/>
      <c r="AM118" s="234"/>
      <c r="AN118" s="201"/>
      <c r="AO118" s="234"/>
      <c r="AP118" s="234"/>
      <c r="AQ118" s="234"/>
      <c r="AR118" s="234"/>
      <c r="AS118" s="234"/>
      <c r="AT118" s="234"/>
      <c r="AU118" s="234"/>
      <c r="AV118" s="234"/>
      <c r="AW118" s="234"/>
      <c r="AX118" s="234"/>
      <c r="AY118" s="234"/>
      <c r="AZ118" s="234"/>
      <c r="BA118" s="234"/>
      <c r="BB118" s="234"/>
      <c r="BC118" s="234"/>
      <c r="BD118" s="234"/>
      <c r="BE118" s="234"/>
      <c r="BF118" s="234"/>
      <c r="BG118" s="234"/>
      <c r="BH118" s="234"/>
    </row>
    <row r="119" spans="1:60" ht="24" customHeight="1" x14ac:dyDescent="0.2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234"/>
      <c r="AN119" s="201"/>
      <c r="AO119" s="234"/>
      <c r="AP119" s="234"/>
      <c r="AQ119" s="234"/>
      <c r="AR119" s="234"/>
      <c r="AS119" s="234"/>
      <c r="AT119" s="234"/>
      <c r="AU119" s="234"/>
      <c r="AV119" s="234"/>
      <c r="AW119" s="234"/>
      <c r="AX119" s="234"/>
      <c r="AY119" s="234"/>
      <c r="AZ119" s="234"/>
      <c r="BA119" s="234"/>
      <c r="BB119" s="234"/>
      <c r="BC119" s="234"/>
      <c r="BD119" s="234"/>
      <c r="BE119" s="234"/>
      <c r="BF119" s="234"/>
      <c r="BG119" s="234"/>
      <c r="BH119" s="234"/>
    </row>
    <row r="120" spans="1:60" ht="24" customHeight="1" x14ac:dyDescent="0.2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234"/>
      <c r="AN120" s="201"/>
      <c r="AO120" s="234"/>
      <c r="AP120" s="234"/>
      <c r="AQ120" s="234"/>
      <c r="AR120" s="234"/>
      <c r="AS120" s="234"/>
      <c r="AT120" s="234"/>
      <c r="AU120" s="234"/>
      <c r="AV120" s="234"/>
      <c r="AW120" s="234"/>
      <c r="AX120" s="234"/>
      <c r="AY120" s="234"/>
      <c r="AZ120" s="234"/>
      <c r="BA120" s="234"/>
      <c r="BB120" s="234"/>
      <c r="BC120" s="234"/>
      <c r="BD120" s="234"/>
      <c r="BE120" s="234"/>
      <c r="BF120" s="234"/>
      <c r="BG120" s="234"/>
      <c r="BH120" s="234"/>
    </row>
    <row r="121" spans="1:60" ht="24" customHeight="1" x14ac:dyDescent="0.2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234"/>
      <c r="AN121" s="201"/>
      <c r="AO121" s="234"/>
      <c r="AP121" s="234"/>
      <c r="AQ121" s="234"/>
      <c r="AR121" s="234"/>
      <c r="AS121" s="234"/>
      <c r="AT121" s="234"/>
      <c r="AU121" s="234"/>
      <c r="AV121" s="234"/>
      <c r="AW121" s="234"/>
      <c r="AX121" s="234"/>
      <c r="AY121" s="234"/>
      <c r="AZ121" s="234"/>
      <c r="BA121" s="234"/>
      <c r="BB121" s="234"/>
      <c r="BC121" s="234"/>
      <c r="BD121" s="234"/>
      <c r="BE121" s="234"/>
      <c r="BF121" s="234"/>
      <c r="BG121" s="234"/>
      <c r="BH121" s="234"/>
    </row>
    <row r="122" spans="1:60" ht="24" customHeight="1" x14ac:dyDescent="0.2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234"/>
      <c r="AN122" s="201"/>
      <c r="AO122" s="234"/>
      <c r="AP122" s="234"/>
      <c r="AQ122" s="234"/>
      <c r="AR122" s="234"/>
      <c r="AS122" s="234"/>
      <c r="AT122" s="234"/>
      <c r="AU122" s="234"/>
      <c r="AV122" s="234"/>
      <c r="AW122" s="234"/>
      <c r="AX122" s="234"/>
      <c r="AY122" s="234"/>
      <c r="AZ122" s="234"/>
      <c r="BA122" s="234"/>
      <c r="BB122" s="234"/>
      <c r="BC122" s="234"/>
      <c r="BD122" s="234"/>
      <c r="BE122" s="234"/>
      <c r="BF122" s="234"/>
      <c r="BG122" s="234"/>
      <c r="BH122" s="234"/>
    </row>
    <row r="123" spans="1:60" ht="24" customHeight="1" x14ac:dyDescent="0.2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234"/>
      <c r="AN123" s="201"/>
      <c r="AO123" s="234"/>
      <c r="AP123" s="234"/>
      <c r="AQ123" s="234"/>
      <c r="AR123" s="234"/>
      <c r="AS123" s="234"/>
      <c r="AT123" s="234"/>
      <c r="AU123" s="234"/>
      <c r="AV123" s="234"/>
      <c r="AW123" s="234"/>
      <c r="AX123" s="234"/>
      <c r="AY123" s="234"/>
      <c r="AZ123" s="234"/>
      <c r="BA123" s="234"/>
      <c r="BB123" s="234"/>
      <c r="BC123" s="234"/>
      <c r="BD123" s="234"/>
      <c r="BE123" s="234"/>
      <c r="BF123" s="234"/>
      <c r="BG123" s="234"/>
      <c r="BH123" s="234"/>
    </row>
    <row r="124" spans="1:60" ht="24" customHeight="1" x14ac:dyDescent="0.2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234"/>
      <c r="AN124" s="201"/>
      <c r="AO124" s="234"/>
      <c r="AP124" s="234"/>
      <c r="AQ124" s="234"/>
      <c r="AR124" s="234"/>
      <c r="AS124" s="234"/>
      <c r="AT124" s="234"/>
      <c r="AU124" s="234"/>
      <c r="AV124" s="234"/>
      <c r="AW124" s="234"/>
      <c r="AX124" s="234"/>
      <c r="AY124" s="234"/>
      <c r="AZ124" s="234"/>
      <c r="BA124" s="234"/>
      <c r="BB124" s="234"/>
      <c r="BC124" s="234"/>
      <c r="BD124" s="234"/>
      <c r="BE124" s="234"/>
      <c r="BF124" s="234"/>
      <c r="BG124" s="234"/>
      <c r="BH124" s="234"/>
    </row>
    <row r="125" spans="1:60" ht="24" customHeight="1" x14ac:dyDescent="0.25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234"/>
      <c r="AN125" s="201"/>
      <c r="AO125" s="234"/>
      <c r="AP125" s="234"/>
      <c r="AQ125" s="234"/>
      <c r="AR125" s="234"/>
      <c r="AS125" s="234"/>
      <c r="AT125" s="234"/>
      <c r="AU125" s="234"/>
      <c r="AV125" s="234"/>
      <c r="AW125" s="234"/>
      <c r="AX125" s="234"/>
      <c r="AY125" s="234"/>
      <c r="AZ125" s="234"/>
      <c r="BA125" s="234"/>
      <c r="BB125" s="234"/>
      <c r="BC125" s="234"/>
      <c r="BD125" s="234"/>
      <c r="BE125" s="234"/>
      <c r="BF125" s="234"/>
      <c r="BG125" s="234"/>
      <c r="BH125" s="234"/>
    </row>
    <row r="126" spans="1:60" ht="24" customHeight="1" x14ac:dyDescent="0.25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4"/>
      <c r="AL126" s="234"/>
      <c r="AM126" s="234"/>
      <c r="AN126" s="201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34"/>
      <c r="AZ126" s="234"/>
      <c r="BA126" s="234"/>
      <c r="BB126" s="234"/>
      <c r="BC126" s="234"/>
      <c r="BD126" s="234"/>
      <c r="BE126" s="234"/>
      <c r="BF126" s="234"/>
      <c r="BG126" s="234"/>
      <c r="BH126" s="234"/>
    </row>
    <row r="127" spans="1:60" ht="24" customHeight="1" x14ac:dyDescent="0.25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4"/>
      <c r="AL127" s="234"/>
      <c r="AM127" s="234"/>
      <c r="AN127" s="201"/>
      <c r="AO127" s="234"/>
      <c r="AP127" s="234"/>
      <c r="AQ127" s="234"/>
      <c r="AR127" s="234"/>
      <c r="AS127" s="234"/>
      <c r="AT127" s="234"/>
      <c r="AU127" s="234"/>
      <c r="AV127" s="234"/>
      <c r="AW127" s="234"/>
      <c r="AX127" s="234"/>
      <c r="AY127" s="234"/>
      <c r="AZ127" s="234"/>
      <c r="BA127" s="234"/>
      <c r="BB127" s="234"/>
      <c r="BC127" s="234"/>
      <c r="BD127" s="234"/>
      <c r="BE127" s="234"/>
      <c r="BF127" s="234"/>
      <c r="BG127" s="234"/>
      <c r="BH127" s="234"/>
    </row>
    <row r="128" spans="1:60" ht="24" customHeight="1" x14ac:dyDescent="0.25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4"/>
      <c r="AL128" s="234"/>
      <c r="AM128" s="234"/>
      <c r="AN128" s="201"/>
      <c r="AO128" s="234"/>
      <c r="AP128" s="234"/>
      <c r="AQ128" s="234"/>
      <c r="AR128" s="234"/>
      <c r="AS128" s="234"/>
      <c r="AT128" s="234"/>
      <c r="AU128" s="234"/>
      <c r="AV128" s="234"/>
      <c r="AW128" s="234"/>
      <c r="AX128" s="234"/>
      <c r="AY128" s="234"/>
      <c r="AZ128" s="234"/>
      <c r="BA128" s="234"/>
      <c r="BB128" s="234"/>
      <c r="BC128" s="234"/>
      <c r="BD128" s="234"/>
      <c r="BE128" s="234"/>
      <c r="BF128" s="234"/>
      <c r="BG128" s="234"/>
      <c r="BH128" s="234"/>
    </row>
    <row r="129" spans="1:60" ht="24" customHeight="1" x14ac:dyDescent="0.25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4"/>
      <c r="AL129" s="234"/>
      <c r="AM129" s="234"/>
      <c r="AN129" s="201"/>
      <c r="AO129" s="234"/>
      <c r="AP129" s="234"/>
      <c r="AQ129" s="234"/>
      <c r="AR129" s="234"/>
      <c r="AS129" s="234"/>
      <c r="AT129" s="234"/>
      <c r="AU129" s="234"/>
      <c r="AV129" s="234"/>
      <c r="AW129" s="234"/>
      <c r="AX129" s="234"/>
      <c r="AY129" s="234"/>
      <c r="AZ129" s="234"/>
      <c r="BA129" s="234"/>
      <c r="BB129" s="234"/>
      <c r="BC129" s="234"/>
      <c r="BD129" s="234"/>
      <c r="BE129" s="234"/>
      <c r="BF129" s="234"/>
      <c r="BG129" s="234"/>
      <c r="BH129" s="234"/>
    </row>
    <row r="130" spans="1:60" ht="24" customHeight="1" x14ac:dyDescent="0.25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01"/>
      <c r="AO130" s="234"/>
      <c r="AP130" s="234"/>
      <c r="AQ130" s="234"/>
      <c r="AR130" s="234"/>
      <c r="AS130" s="234"/>
      <c r="AT130" s="234"/>
      <c r="AU130" s="234"/>
      <c r="AV130" s="234"/>
      <c r="AW130" s="234"/>
      <c r="AX130" s="234"/>
      <c r="AY130" s="234"/>
      <c r="AZ130" s="234"/>
      <c r="BA130" s="234"/>
      <c r="BB130" s="234"/>
      <c r="BC130" s="234"/>
      <c r="BD130" s="234"/>
      <c r="BE130" s="234"/>
      <c r="BF130" s="234"/>
      <c r="BG130" s="234"/>
      <c r="BH130" s="234"/>
    </row>
    <row r="131" spans="1:60" ht="24" customHeight="1" x14ac:dyDescent="0.25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01"/>
      <c r="AO131" s="234"/>
      <c r="AP131" s="234"/>
      <c r="AQ131" s="234"/>
      <c r="AR131" s="234"/>
      <c r="AS131" s="234"/>
      <c r="AT131" s="234"/>
      <c r="AU131" s="234"/>
      <c r="AV131" s="234"/>
      <c r="AW131" s="234"/>
      <c r="AX131" s="234"/>
      <c r="AY131" s="234"/>
      <c r="AZ131" s="234"/>
      <c r="BA131" s="234"/>
      <c r="BB131" s="234"/>
      <c r="BC131" s="234"/>
      <c r="BD131" s="234"/>
      <c r="BE131" s="234"/>
      <c r="BF131" s="234"/>
      <c r="BG131" s="234"/>
      <c r="BH131" s="234"/>
    </row>
    <row r="132" spans="1:60" ht="24" customHeight="1" x14ac:dyDescent="0.25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01"/>
      <c r="AO132" s="234"/>
      <c r="AP132" s="234"/>
      <c r="AQ132" s="234"/>
      <c r="AR132" s="234"/>
      <c r="AS132" s="234"/>
      <c r="AT132" s="234"/>
      <c r="AU132" s="234"/>
      <c r="AV132" s="234"/>
      <c r="AW132" s="234"/>
      <c r="AX132" s="234"/>
      <c r="AY132" s="234"/>
      <c r="AZ132" s="234"/>
      <c r="BA132" s="234"/>
      <c r="BB132" s="234"/>
      <c r="BC132" s="234"/>
      <c r="BD132" s="234"/>
      <c r="BE132" s="234"/>
      <c r="BF132" s="234"/>
      <c r="BG132" s="234"/>
      <c r="BH132" s="234"/>
    </row>
    <row r="133" spans="1:60" ht="24" customHeight="1" x14ac:dyDescent="0.25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01"/>
      <c r="AO133" s="234"/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  <c r="AZ133" s="234"/>
      <c r="BA133" s="234"/>
      <c r="BB133" s="234"/>
      <c r="BC133" s="234"/>
      <c r="BD133" s="234"/>
      <c r="BE133" s="234"/>
      <c r="BF133" s="234"/>
      <c r="BG133" s="234"/>
      <c r="BH133" s="234"/>
    </row>
    <row r="134" spans="1:60" ht="24" customHeight="1" x14ac:dyDescent="0.25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01"/>
      <c r="AO134" s="234"/>
      <c r="AP134" s="234"/>
      <c r="AQ134" s="234"/>
      <c r="AR134" s="234"/>
      <c r="AS134" s="234"/>
      <c r="AT134" s="234"/>
      <c r="AU134" s="234"/>
      <c r="AV134" s="234"/>
      <c r="AW134" s="234"/>
      <c r="AX134" s="234"/>
      <c r="AY134" s="234"/>
      <c r="AZ134" s="234"/>
      <c r="BA134" s="234"/>
      <c r="BB134" s="234"/>
      <c r="BC134" s="234"/>
      <c r="BD134" s="234"/>
      <c r="BE134" s="234"/>
      <c r="BF134" s="234"/>
      <c r="BG134" s="234"/>
      <c r="BH134" s="234"/>
    </row>
    <row r="135" spans="1:60" ht="24" customHeight="1" x14ac:dyDescent="0.2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01"/>
      <c r="AO135" s="234"/>
      <c r="AP135" s="234"/>
      <c r="AQ135" s="234"/>
      <c r="AR135" s="234"/>
      <c r="AS135" s="234"/>
      <c r="AT135" s="234"/>
      <c r="AU135" s="234"/>
      <c r="AV135" s="234"/>
      <c r="AW135" s="234"/>
      <c r="AX135" s="234"/>
      <c r="AY135" s="234"/>
      <c r="AZ135" s="234"/>
      <c r="BA135" s="234"/>
      <c r="BB135" s="234"/>
      <c r="BC135" s="234"/>
      <c r="BD135" s="234"/>
      <c r="BE135" s="234"/>
      <c r="BF135" s="234"/>
      <c r="BG135" s="234"/>
      <c r="BH135" s="234"/>
    </row>
    <row r="136" spans="1:60" ht="24" customHeight="1" x14ac:dyDescent="0.25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01"/>
      <c r="AO136" s="234"/>
      <c r="AP136" s="234"/>
      <c r="AQ136" s="234"/>
      <c r="AR136" s="234"/>
      <c r="AS136" s="234"/>
      <c r="AT136" s="234"/>
      <c r="AU136" s="234"/>
      <c r="AV136" s="234"/>
      <c r="AW136" s="234"/>
      <c r="AX136" s="234"/>
      <c r="AY136" s="234"/>
      <c r="AZ136" s="234"/>
      <c r="BA136" s="234"/>
      <c r="BB136" s="234"/>
      <c r="BC136" s="234"/>
      <c r="BD136" s="234"/>
      <c r="BE136" s="234"/>
      <c r="BF136" s="234"/>
      <c r="BG136" s="234"/>
      <c r="BH136" s="234"/>
    </row>
    <row r="137" spans="1:60" ht="24" customHeight="1" x14ac:dyDescent="0.25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01"/>
      <c r="AO137" s="234"/>
      <c r="AP137" s="234"/>
      <c r="AQ137" s="234"/>
      <c r="AR137" s="234"/>
      <c r="AS137" s="234"/>
      <c r="AT137" s="234"/>
      <c r="AU137" s="234"/>
      <c r="AV137" s="234"/>
      <c r="AW137" s="234"/>
      <c r="AX137" s="234"/>
      <c r="AY137" s="234"/>
      <c r="AZ137" s="234"/>
      <c r="BA137" s="234"/>
      <c r="BB137" s="234"/>
      <c r="BC137" s="234"/>
      <c r="BD137" s="234"/>
      <c r="BE137" s="234"/>
      <c r="BF137" s="234"/>
      <c r="BG137" s="234"/>
      <c r="BH137" s="234"/>
    </row>
    <row r="138" spans="1:60" ht="24" customHeight="1" x14ac:dyDescent="0.25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01"/>
      <c r="AO138" s="234"/>
      <c r="AP138" s="234"/>
      <c r="AQ138" s="234"/>
      <c r="AR138" s="234"/>
      <c r="AS138" s="234"/>
      <c r="AT138" s="234"/>
      <c r="AU138" s="234"/>
      <c r="AV138" s="234"/>
      <c r="AW138" s="234"/>
      <c r="AX138" s="234"/>
      <c r="AY138" s="234"/>
      <c r="AZ138" s="234"/>
      <c r="BA138" s="234"/>
      <c r="BB138" s="234"/>
      <c r="BC138" s="234"/>
      <c r="BD138" s="234"/>
      <c r="BE138" s="234"/>
      <c r="BF138" s="234"/>
      <c r="BG138" s="234"/>
      <c r="BH138" s="234"/>
    </row>
    <row r="139" spans="1:60" ht="24" customHeight="1" x14ac:dyDescent="0.25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01"/>
      <c r="AO139" s="234"/>
      <c r="AP139" s="234"/>
      <c r="AQ139" s="234"/>
      <c r="AR139" s="234"/>
      <c r="AS139" s="234"/>
      <c r="AT139" s="234"/>
      <c r="AU139" s="234"/>
      <c r="AV139" s="234"/>
      <c r="AW139" s="234"/>
      <c r="AX139" s="234"/>
      <c r="AY139" s="234"/>
      <c r="AZ139" s="234"/>
      <c r="BA139" s="234"/>
      <c r="BB139" s="234"/>
      <c r="BC139" s="234"/>
      <c r="BD139" s="234"/>
      <c r="BE139" s="234"/>
      <c r="BF139" s="234"/>
      <c r="BG139" s="234"/>
      <c r="BH139" s="234"/>
    </row>
    <row r="140" spans="1:60" ht="24" customHeight="1" x14ac:dyDescent="0.25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01"/>
      <c r="AO140" s="234"/>
      <c r="AP140" s="234"/>
      <c r="AQ140" s="234"/>
      <c r="AR140" s="234"/>
      <c r="AS140" s="234"/>
      <c r="AT140" s="234"/>
      <c r="AU140" s="234"/>
      <c r="AV140" s="234"/>
      <c r="AW140" s="234"/>
      <c r="AX140" s="234"/>
      <c r="AY140" s="234"/>
      <c r="AZ140" s="234"/>
      <c r="BA140" s="234"/>
      <c r="BB140" s="234"/>
      <c r="BC140" s="234"/>
      <c r="BD140" s="234"/>
      <c r="BE140" s="234"/>
      <c r="BF140" s="234"/>
      <c r="BG140" s="234"/>
      <c r="BH140" s="234"/>
    </row>
    <row r="141" spans="1:60" ht="24" customHeight="1" x14ac:dyDescent="0.25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01"/>
      <c r="AO141" s="234"/>
      <c r="AP141" s="234"/>
      <c r="AQ141" s="234"/>
      <c r="AR141" s="234"/>
      <c r="AS141" s="234"/>
      <c r="AT141" s="234"/>
      <c r="AU141" s="234"/>
      <c r="AV141" s="234"/>
      <c r="AW141" s="234"/>
      <c r="AX141" s="234"/>
      <c r="AY141" s="234"/>
      <c r="AZ141" s="234"/>
      <c r="BA141" s="234"/>
      <c r="BB141" s="234"/>
      <c r="BC141" s="234"/>
      <c r="BD141" s="234"/>
      <c r="BE141" s="234"/>
      <c r="BF141" s="234"/>
      <c r="BG141" s="234"/>
      <c r="BH141" s="234"/>
    </row>
    <row r="142" spans="1:60" ht="24" customHeight="1" x14ac:dyDescent="0.25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01"/>
      <c r="AO142" s="234"/>
      <c r="AP142" s="234"/>
      <c r="AQ142" s="234"/>
      <c r="AR142" s="234"/>
      <c r="AS142" s="234"/>
      <c r="AT142" s="234"/>
      <c r="AU142" s="234"/>
      <c r="AV142" s="234"/>
      <c r="AW142" s="234"/>
      <c r="AX142" s="234"/>
      <c r="AY142" s="234"/>
      <c r="AZ142" s="234"/>
      <c r="BA142" s="234"/>
      <c r="BB142" s="234"/>
      <c r="BC142" s="234"/>
      <c r="BD142" s="234"/>
      <c r="BE142" s="234"/>
      <c r="BF142" s="234"/>
      <c r="BG142" s="234"/>
      <c r="BH142" s="234"/>
    </row>
    <row r="143" spans="1:60" ht="24" customHeight="1" x14ac:dyDescent="0.25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01"/>
      <c r="AO143" s="234"/>
      <c r="AP143" s="234"/>
      <c r="AQ143" s="234"/>
      <c r="AR143" s="234"/>
      <c r="AS143" s="234"/>
      <c r="AT143" s="234"/>
      <c r="AU143" s="234"/>
      <c r="AV143" s="234"/>
      <c r="AW143" s="234"/>
      <c r="AX143" s="234"/>
      <c r="AY143" s="234"/>
      <c r="AZ143" s="234"/>
      <c r="BA143" s="234"/>
      <c r="BB143" s="234"/>
      <c r="BC143" s="234"/>
      <c r="BD143" s="234"/>
      <c r="BE143" s="234"/>
      <c r="BF143" s="234"/>
      <c r="BG143" s="234"/>
      <c r="BH143" s="234"/>
    </row>
    <row r="144" spans="1:60" ht="24" customHeight="1" x14ac:dyDescent="0.25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01"/>
      <c r="AO144" s="234"/>
      <c r="AP144" s="234"/>
      <c r="AQ144" s="234"/>
      <c r="AR144" s="234"/>
      <c r="AS144" s="234"/>
      <c r="AT144" s="234"/>
      <c r="AU144" s="234"/>
      <c r="AV144" s="234"/>
      <c r="AW144" s="234"/>
      <c r="AX144" s="234"/>
      <c r="AY144" s="234"/>
      <c r="AZ144" s="234"/>
      <c r="BA144" s="234"/>
      <c r="BB144" s="234"/>
      <c r="BC144" s="234"/>
      <c r="BD144" s="234"/>
      <c r="BE144" s="234"/>
      <c r="BF144" s="234"/>
      <c r="BG144" s="234"/>
      <c r="BH144" s="234"/>
    </row>
    <row r="145" spans="1:60" ht="24" customHeight="1" x14ac:dyDescent="0.25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01"/>
      <c r="AO145" s="234"/>
      <c r="AP145" s="234"/>
      <c r="AQ145" s="234"/>
      <c r="AR145" s="234"/>
      <c r="AS145" s="234"/>
      <c r="AT145" s="234"/>
      <c r="AU145" s="234"/>
      <c r="AV145" s="234"/>
      <c r="AW145" s="234"/>
      <c r="AX145" s="234"/>
      <c r="AY145" s="234"/>
      <c r="AZ145" s="234"/>
      <c r="BA145" s="234"/>
      <c r="BB145" s="234"/>
      <c r="BC145" s="234"/>
      <c r="BD145" s="234"/>
      <c r="BE145" s="234"/>
      <c r="BF145" s="234"/>
      <c r="BG145" s="234"/>
      <c r="BH145" s="234"/>
    </row>
    <row r="146" spans="1:60" ht="24" customHeight="1" x14ac:dyDescent="0.25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01"/>
      <c r="AO146" s="234"/>
      <c r="AP146" s="234"/>
      <c r="AQ146" s="234"/>
      <c r="AR146" s="234"/>
      <c r="AS146" s="234"/>
      <c r="AT146" s="234"/>
      <c r="AU146" s="234"/>
      <c r="AV146" s="234"/>
      <c r="AW146" s="234"/>
      <c r="AX146" s="234"/>
      <c r="AY146" s="234"/>
      <c r="AZ146" s="234"/>
      <c r="BA146" s="234"/>
      <c r="BB146" s="234"/>
      <c r="BC146" s="234"/>
      <c r="BD146" s="234"/>
      <c r="BE146" s="234"/>
      <c r="BF146" s="234"/>
      <c r="BG146" s="234"/>
      <c r="BH146" s="234"/>
    </row>
    <row r="147" spans="1:60" ht="24" customHeight="1" x14ac:dyDescent="0.25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01"/>
      <c r="AO147" s="234"/>
      <c r="AP147" s="234"/>
      <c r="AQ147" s="234"/>
      <c r="AR147" s="234"/>
      <c r="AS147" s="234"/>
      <c r="AT147" s="234"/>
      <c r="AU147" s="234"/>
      <c r="AV147" s="234"/>
      <c r="AW147" s="234"/>
      <c r="AX147" s="234"/>
      <c r="AY147" s="234"/>
      <c r="AZ147" s="234"/>
      <c r="BA147" s="234"/>
      <c r="BB147" s="234"/>
      <c r="BC147" s="234"/>
      <c r="BD147" s="234"/>
      <c r="BE147" s="234"/>
      <c r="BF147" s="234"/>
      <c r="BG147" s="234"/>
      <c r="BH147" s="234"/>
    </row>
    <row r="148" spans="1:60" ht="24" customHeight="1" x14ac:dyDescent="0.25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01"/>
      <c r="AO148" s="234"/>
      <c r="AP148" s="234"/>
      <c r="AQ148" s="234"/>
      <c r="AR148" s="234"/>
      <c r="AS148" s="234"/>
      <c r="AT148" s="234"/>
      <c r="AU148" s="234"/>
      <c r="AV148" s="234"/>
      <c r="AW148" s="234"/>
      <c r="AX148" s="234"/>
      <c r="AY148" s="234"/>
      <c r="AZ148" s="234"/>
      <c r="BA148" s="234"/>
      <c r="BB148" s="234"/>
      <c r="BC148" s="234"/>
      <c r="BD148" s="234"/>
      <c r="BE148" s="234"/>
      <c r="BF148" s="234"/>
      <c r="BG148" s="234"/>
      <c r="BH148" s="234"/>
    </row>
    <row r="149" spans="1:60" ht="24" customHeight="1" x14ac:dyDescent="0.25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01"/>
      <c r="AO149" s="234"/>
      <c r="AP149" s="234"/>
      <c r="AQ149" s="234"/>
      <c r="AR149" s="234"/>
      <c r="AS149" s="234"/>
      <c r="AT149" s="234"/>
      <c r="AU149" s="234"/>
      <c r="AV149" s="234"/>
      <c r="AW149" s="234"/>
      <c r="AX149" s="234"/>
      <c r="AY149" s="234"/>
      <c r="AZ149" s="234"/>
      <c r="BA149" s="234"/>
      <c r="BB149" s="234"/>
      <c r="BC149" s="234"/>
      <c r="BD149" s="234"/>
      <c r="BE149" s="234"/>
      <c r="BF149" s="234"/>
      <c r="BG149" s="234"/>
      <c r="BH149" s="234"/>
    </row>
    <row r="150" spans="1:60" ht="24" customHeight="1" x14ac:dyDescent="0.25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01"/>
      <c r="AO150" s="234"/>
      <c r="AP150" s="234"/>
      <c r="AQ150" s="234"/>
      <c r="AR150" s="234"/>
      <c r="AS150" s="234"/>
      <c r="AT150" s="234"/>
      <c r="AU150" s="234"/>
      <c r="AV150" s="234"/>
      <c r="AW150" s="234"/>
      <c r="AX150" s="234"/>
      <c r="AY150" s="234"/>
      <c r="AZ150" s="234"/>
      <c r="BA150" s="234"/>
      <c r="BB150" s="234"/>
      <c r="BC150" s="234"/>
      <c r="BD150" s="234"/>
      <c r="BE150" s="234"/>
      <c r="BF150" s="234"/>
      <c r="BG150" s="234"/>
      <c r="BH150" s="234"/>
    </row>
    <row r="151" spans="1:60" ht="24" customHeight="1" x14ac:dyDescent="0.25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01"/>
      <c r="AO151" s="234"/>
      <c r="AP151" s="234"/>
      <c r="AQ151" s="234"/>
      <c r="AR151" s="234"/>
      <c r="AS151" s="234"/>
      <c r="AT151" s="234"/>
      <c r="AU151" s="234"/>
      <c r="AV151" s="234"/>
      <c r="AW151" s="234"/>
      <c r="AX151" s="234"/>
      <c r="AY151" s="234"/>
      <c r="AZ151" s="234"/>
      <c r="BA151" s="234"/>
      <c r="BB151" s="234"/>
      <c r="BC151" s="234"/>
      <c r="BD151" s="234"/>
      <c r="BE151" s="234"/>
      <c r="BF151" s="234"/>
      <c r="BG151" s="234"/>
      <c r="BH151" s="234"/>
    </row>
    <row r="152" spans="1:60" ht="24" customHeight="1" x14ac:dyDescent="0.25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01"/>
      <c r="AO152" s="234"/>
      <c r="AP152" s="234"/>
      <c r="AQ152" s="234"/>
      <c r="AR152" s="234"/>
      <c r="AS152" s="234"/>
      <c r="AT152" s="234"/>
      <c r="AU152" s="234"/>
      <c r="AV152" s="234"/>
      <c r="AW152" s="234"/>
      <c r="AX152" s="234"/>
      <c r="AY152" s="234"/>
      <c r="AZ152" s="234"/>
      <c r="BA152" s="234"/>
      <c r="BB152" s="234"/>
      <c r="BC152" s="234"/>
      <c r="BD152" s="234"/>
      <c r="BE152" s="234"/>
      <c r="BF152" s="234"/>
      <c r="BG152" s="234"/>
      <c r="BH152" s="234"/>
    </row>
    <row r="153" spans="1:60" ht="24" customHeight="1" x14ac:dyDescent="0.25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234"/>
      <c r="AK153" s="234"/>
      <c r="AL153" s="234"/>
      <c r="AM153" s="234"/>
      <c r="AN153" s="201"/>
      <c r="AO153" s="234"/>
      <c r="AP153" s="234"/>
      <c r="AQ153" s="234"/>
      <c r="AR153" s="234"/>
      <c r="AS153" s="234"/>
      <c r="AT153" s="234"/>
      <c r="AU153" s="234"/>
      <c r="AV153" s="234"/>
      <c r="AW153" s="234"/>
      <c r="AX153" s="234"/>
      <c r="AY153" s="234"/>
      <c r="AZ153" s="234"/>
      <c r="BA153" s="234"/>
      <c r="BB153" s="234"/>
      <c r="BC153" s="234"/>
      <c r="BD153" s="234"/>
      <c r="BE153" s="234"/>
      <c r="BF153" s="234"/>
      <c r="BG153" s="234"/>
      <c r="BH153" s="234"/>
    </row>
    <row r="154" spans="1:60" ht="24" customHeight="1" x14ac:dyDescent="0.25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201"/>
      <c r="AO154" s="234"/>
      <c r="AP154" s="234"/>
      <c r="AQ154" s="234"/>
      <c r="AR154" s="234"/>
      <c r="AS154" s="234"/>
      <c r="AT154" s="234"/>
      <c r="AU154" s="234"/>
      <c r="AV154" s="234"/>
      <c r="AW154" s="234"/>
      <c r="AX154" s="234"/>
      <c r="AY154" s="234"/>
      <c r="AZ154" s="234"/>
      <c r="BA154" s="234"/>
      <c r="BB154" s="234"/>
      <c r="BC154" s="234"/>
      <c r="BD154" s="234"/>
      <c r="BE154" s="234"/>
      <c r="BF154" s="234"/>
      <c r="BG154" s="234"/>
      <c r="BH154" s="234"/>
    </row>
    <row r="155" spans="1:60" ht="24" customHeight="1" x14ac:dyDescent="0.25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234"/>
      <c r="AK155" s="234"/>
      <c r="AL155" s="234"/>
      <c r="AM155" s="234"/>
      <c r="AN155" s="201"/>
      <c r="AO155" s="234"/>
      <c r="AP155" s="234"/>
      <c r="AQ155" s="234"/>
      <c r="AR155" s="234"/>
      <c r="AS155" s="234"/>
      <c r="AT155" s="234"/>
      <c r="AU155" s="234"/>
      <c r="AV155" s="234"/>
      <c r="AW155" s="234"/>
      <c r="AX155" s="234"/>
      <c r="AY155" s="234"/>
      <c r="AZ155" s="234"/>
      <c r="BA155" s="234"/>
      <c r="BB155" s="234"/>
      <c r="BC155" s="234"/>
      <c r="BD155" s="234"/>
      <c r="BE155" s="234"/>
      <c r="BF155" s="234"/>
      <c r="BG155" s="234"/>
      <c r="BH155" s="234"/>
    </row>
    <row r="156" spans="1:60" ht="24" customHeight="1" x14ac:dyDescent="0.25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234"/>
      <c r="AK156" s="234"/>
      <c r="AL156" s="234"/>
      <c r="AM156" s="234"/>
      <c r="AN156" s="201"/>
      <c r="AO156" s="234"/>
      <c r="AP156" s="234"/>
      <c r="AQ156" s="234"/>
      <c r="AR156" s="234"/>
      <c r="AS156" s="234"/>
      <c r="AT156" s="234"/>
      <c r="AU156" s="234"/>
      <c r="AV156" s="234"/>
      <c r="AW156" s="234"/>
      <c r="AX156" s="234"/>
      <c r="AY156" s="234"/>
      <c r="AZ156" s="234"/>
      <c r="BA156" s="234"/>
      <c r="BB156" s="234"/>
      <c r="BC156" s="234"/>
      <c r="BD156" s="234"/>
      <c r="BE156" s="234"/>
      <c r="BF156" s="234"/>
      <c r="BG156" s="234"/>
      <c r="BH156" s="234"/>
    </row>
    <row r="157" spans="1:60" ht="24" customHeight="1" x14ac:dyDescent="0.25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234"/>
      <c r="AK157" s="234"/>
      <c r="AL157" s="234"/>
      <c r="AM157" s="234"/>
      <c r="AN157" s="201"/>
      <c r="AO157" s="234"/>
      <c r="AP157" s="234"/>
      <c r="AQ157" s="234"/>
      <c r="AR157" s="234"/>
      <c r="AS157" s="234"/>
      <c r="AT157" s="234"/>
      <c r="AU157" s="234"/>
      <c r="AV157" s="234"/>
      <c r="AW157" s="234"/>
      <c r="AX157" s="234"/>
      <c r="AY157" s="234"/>
      <c r="AZ157" s="234"/>
      <c r="BA157" s="234"/>
      <c r="BB157" s="234"/>
      <c r="BC157" s="234"/>
      <c r="BD157" s="234"/>
      <c r="BE157" s="234"/>
      <c r="BF157" s="234"/>
      <c r="BG157" s="234"/>
      <c r="BH157" s="234"/>
    </row>
    <row r="158" spans="1:60" ht="24" customHeight="1" x14ac:dyDescent="0.25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234"/>
      <c r="AK158" s="234"/>
      <c r="AL158" s="234"/>
      <c r="AM158" s="234"/>
      <c r="AN158" s="201"/>
      <c r="AO158" s="234"/>
      <c r="AP158" s="234"/>
      <c r="AQ158" s="234"/>
      <c r="AR158" s="234"/>
      <c r="AS158" s="234"/>
      <c r="AT158" s="234"/>
      <c r="AU158" s="234"/>
      <c r="AV158" s="234"/>
      <c r="AW158" s="234"/>
      <c r="AX158" s="234"/>
      <c r="AY158" s="234"/>
      <c r="AZ158" s="234"/>
      <c r="BA158" s="234"/>
      <c r="BB158" s="234"/>
      <c r="BC158" s="234"/>
      <c r="BD158" s="234"/>
      <c r="BE158" s="234"/>
      <c r="BF158" s="234"/>
      <c r="BG158" s="234"/>
      <c r="BH158" s="234"/>
    </row>
    <row r="159" spans="1:60" ht="24" customHeight="1" x14ac:dyDescent="0.25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234"/>
      <c r="AK159" s="234"/>
      <c r="AL159" s="234"/>
      <c r="AM159" s="234"/>
      <c r="AN159" s="201"/>
      <c r="AO159" s="234"/>
      <c r="AP159" s="234"/>
      <c r="AQ159" s="234"/>
      <c r="AR159" s="234"/>
      <c r="AS159" s="234"/>
      <c r="AT159" s="234"/>
      <c r="AU159" s="234"/>
      <c r="AV159" s="234"/>
      <c r="AW159" s="234"/>
      <c r="AX159" s="234"/>
      <c r="AY159" s="234"/>
      <c r="AZ159" s="234"/>
      <c r="BA159" s="234"/>
      <c r="BB159" s="234"/>
      <c r="BC159" s="234"/>
      <c r="BD159" s="234"/>
      <c r="BE159" s="234"/>
      <c r="BF159" s="234"/>
      <c r="BG159" s="234"/>
      <c r="BH159" s="234"/>
    </row>
    <row r="160" spans="1:60" ht="24" customHeight="1" x14ac:dyDescent="0.25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234"/>
      <c r="AK160" s="234"/>
      <c r="AL160" s="234"/>
      <c r="AM160" s="234"/>
      <c r="AN160" s="201"/>
      <c r="AO160" s="234"/>
      <c r="AP160" s="234"/>
      <c r="AQ160" s="234"/>
      <c r="AR160" s="234"/>
      <c r="AS160" s="234"/>
      <c r="AT160" s="234"/>
      <c r="AU160" s="234"/>
      <c r="AV160" s="234"/>
      <c r="AW160" s="234"/>
      <c r="AX160" s="234"/>
      <c r="AY160" s="234"/>
      <c r="AZ160" s="234"/>
      <c r="BA160" s="234"/>
      <c r="BB160" s="234"/>
      <c r="BC160" s="234"/>
      <c r="BD160" s="234"/>
      <c r="BE160" s="234"/>
      <c r="BF160" s="234"/>
      <c r="BG160" s="234"/>
      <c r="BH160" s="234"/>
    </row>
    <row r="161" spans="1:60" ht="24" customHeight="1" x14ac:dyDescent="0.25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4"/>
      <c r="AK161" s="234"/>
      <c r="AL161" s="234"/>
      <c r="AM161" s="234"/>
      <c r="AN161" s="201"/>
      <c r="AO161" s="234"/>
      <c r="AP161" s="234"/>
      <c r="AQ161" s="234"/>
      <c r="AR161" s="234"/>
      <c r="AS161" s="234"/>
      <c r="AT161" s="234"/>
      <c r="AU161" s="234"/>
      <c r="AV161" s="234"/>
      <c r="AW161" s="234"/>
      <c r="AX161" s="234"/>
      <c r="AY161" s="234"/>
      <c r="AZ161" s="234"/>
      <c r="BA161" s="234"/>
      <c r="BB161" s="234"/>
      <c r="BC161" s="234"/>
      <c r="BD161" s="234"/>
      <c r="BE161" s="234"/>
      <c r="BF161" s="234"/>
      <c r="BG161" s="234"/>
      <c r="BH161" s="234"/>
    </row>
    <row r="162" spans="1:60" ht="24" customHeight="1" x14ac:dyDescent="0.25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4"/>
      <c r="AL162" s="234"/>
      <c r="AM162" s="234"/>
      <c r="AN162" s="201"/>
      <c r="AO162" s="234"/>
      <c r="AP162" s="234"/>
      <c r="AQ162" s="234"/>
      <c r="AR162" s="234"/>
      <c r="AS162" s="234"/>
      <c r="AT162" s="234"/>
      <c r="AU162" s="234"/>
      <c r="AV162" s="234"/>
      <c r="AW162" s="234"/>
      <c r="AX162" s="234"/>
      <c r="AY162" s="234"/>
      <c r="AZ162" s="234"/>
      <c r="BA162" s="234"/>
      <c r="BB162" s="234"/>
      <c r="BC162" s="234"/>
      <c r="BD162" s="234"/>
      <c r="BE162" s="234"/>
      <c r="BF162" s="234"/>
      <c r="BG162" s="234"/>
      <c r="BH162" s="234"/>
    </row>
    <row r="163" spans="1:60" ht="24" customHeight="1" x14ac:dyDescent="0.25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4"/>
      <c r="AL163" s="234"/>
      <c r="AM163" s="234"/>
      <c r="AN163" s="201"/>
      <c r="AO163" s="234"/>
      <c r="AP163" s="234"/>
      <c r="AQ163" s="234"/>
      <c r="AR163" s="234"/>
      <c r="AS163" s="234"/>
      <c r="AT163" s="234"/>
      <c r="AU163" s="234"/>
      <c r="AV163" s="234"/>
      <c r="AW163" s="234"/>
      <c r="AX163" s="234"/>
      <c r="AY163" s="234"/>
      <c r="AZ163" s="234"/>
      <c r="BA163" s="234"/>
      <c r="BB163" s="234"/>
      <c r="BC163" s="234"/>
      <c r="BD163" s="234"/>
      <c r="BE163" s="234"/>
      <c r="BF163" s="234"/>
      <c r="BG163" s="234"/>
      <c r="BH163" s="234"/>
    </row>
    <row r="164" spans="1:60" ht="24" customHeight="1" x14ac:dyDescent="0.25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234"/>
      <c r="AK164" s="234"/>
      <c r="AL164" s="234"/>
      <c r="AM164" s="234"/>
      <c r="AN164" s="201"/>
      <c r="AO164" s="234"/>
      <c r="AP164" s="234"/>
      <c r="AQ164" s="234"/>
      <c r="AR164" s="234"/>
      <c r="AS164" s="234"/>
      <c r="AT164" s="234"/>
      <c r="AU164" s="234"/>
      <c r="AV164" s="234"/>
      <c r="AW164" s="234"/>
      <c r="AX164" s="234"/>
      <c r="AY164" s="234"/>
      <c r="AZ164" s="234"/>
      <c r="BA164" s="234"/>
      <c r="BB164" s="234"/>
      <c r="BC164" s="234"/>
      <c r="BD164" s="234"/>
      <c r="BE164" s="234"/>
      <c r="BF164" s="234"/>
      <c r="BG164" s="234"/>
      <c r="BH164" s="234"/>
    </row>
    <row r="165" spans="1:60" ht="24" customHeight="1" x14ac:dyDescent="0.25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4"/>
      <c r="AL165" s="234"/>
      <c r="AM165" s="234"/>
      <c r="AN165" s="201"/>
      <c r="AO165" s="234"/>
      <c r="AP165" s="234"/>
      <c r="AQ165" s="234"/>
      <c r="AR165" s="234"/>
      <c r="AS165" s="234"/>
      <c r="AT165" s="234"/>
      <c r="AU165" s="234"/>
      <c r="AV165" s="234"/>
      <c r="AW165" s="234"/>
      <c r="AX165" s="234"/>
      <c r="AY165" s="234"/>
      <c r="AZ165" s="234"/>
      <c r="BA165" s="234"/>
      <c r="BB165" s="234"/>
      <c r="BC165" s="234"/>
      <c r="BD165" s="234"/>
      <c r="BE165" s="234"/>
      <c r="BF165" s="234"/>
      <c r="BG165" s="234"/>
      <c r="BH165" s="234"/>
    </row>
    <row r="166" spans="1:60" ht="24" customHeight="1" x14ac:dyDescent="0.25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234"/>
      <c r="AK166" s="234"/>
      <c r="AL166" s="234"/>
      <c r="AM166" s="234"/>
      <c r="AN166" s="201"/>
      <c r="AO166" s="234"/>
      <c r="AP166" s="234"/>
      <c r="AQ166" s="234"/>
      <c r="AR166" s="234"/>
      <c r="AS166" s="234"/>
      <c r="AT166" s="234"/>
      <c r="AU166" s="234"/>
      <c r="AV166" s="234"/>
      <c r="AW166" s="234"/>
      <c r="AX166" s="234"/>
      <c r="AY166" s="234"/>
      <c r="AZ166" s="234"/>
      <c r="BA166" s="234"/>
      <c r="BB166" s="234"/>
      <c r="BC166" s="234"/>
      <c r="BD166" s="234"/>
      <c r="BE166" s="234"/>
      <c r="BF166" s="234"/>
      <c r="BG166" s="234"/>
      <c r="BH166" s="234"/>
    </row>
    <row r="167" spans="1:60" ht="24" customHeight="1" x14ac:dyDescent="0.25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234"/>
      <c r="AL167" s="234"/>
      <c r="AM167" s="234"/>
      <c r="AN167" s="201"/>
      <c r="AO167" s="234"/>
      <c r="AP167" s="234"/>
      <c r="AQ167" s="234"/>
      <c r="AR167" s="234"/>
      <c r="AS167" s="234"/>
      <c r="AT167" s="234"/>
      <c r="AU167" s="234"/>
      <c r="AV167" s="234"/>
      <c r="AW167" s="234"/>
      <c r="AX167" s="234"/>
      <c r="AY167" s="234"/>
      <c r="AZ167" s="234"/>
      <c r="BA167" s="234"/>
      <c r="BB167" s="234"/>
      <c r="BC167" s="234"/>
      <c r="BD167" s="234"/>
      <c r="BE167" s="234"/>
      <c r="BF167" s="234"/>
      <c r="BG167" s="234"/>
      <c r="BH167" s="234"/>
    </row>
    <row r="168" spans="1:60" ht="24" customHeight="1" x14ac:dyDescent="0.25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234"/>
      <c r="AL168" s="234"/>
      <c r="AM168" s="234"/>
      <c r="AN168" s="201"/>
      <c r="AO168" s="234"/>
      <c r="AP168" s="234"/>
      <c r="AQ168" s="234"/>
      <c r="AR168" s="234"/>
      <c r="AS168" s="234"/>
      <c r="AT168" s="234"/>
      <c r="AU168" s="234"/>
      <c r="AV168" s="234"/>
      <c r="AW168" s="234"/>
      <c r="AX168" s="234"/>
      <c r="AY168" s="234"/>
      <c r="AZ168" s="234"/>
      <c r="BA168" s="234"/>
      <c r="BB168" s="234"/>
      <c r="BC168" s="234"/>
      <c r="BD168" s="234"/>
      <c r="BE168" s="234"/>
      <c r="BF168" s="234"/>
      <c r="BG168" s="234"/>
      <c r="BH168" s="234"/>
    </row>
    <row r="169" spans="1:60" ht="24" customHeight="1" x14ac:dyDescent="0.25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234"/>
      <c r="AK169" s="234"/>
      <c r="AL169" s="234"/>
      <c r="AM169" s="234"/>
      <c r="AN169" s="201"/>
      <c r="AO169" s="234"/>
      <c r="AP169" s="234"/>
      <c r="AQ169" s="234"/>
      <c r="AR169" s="234"/>
      <c r="AS169" s="234"/>
      <c r="AT169" s="234"/>
      <c r="AU169" s="234"/>
      <c r="AV169" s="234"/>
      <c r="AW169" s="234"/>
      <c r="AX169" s="234"/>
      <c r="AY169" s="234"/>
      <c r="AZ169" s="234"/>
      <c r="BA169" s="234"/>
      <c r="BB169" s="234"/>
      <c r="BC169" s="234"/>
      <c r="BD169" s="234"/>
      <c r="BE169" s="234"/>
      <c r="BF169" s="234"/>
      <c r="BG169" s="234"/>
      <c r="BH169" s="234"/>
    </row>
    <row r="170" spans="1:60" ht="24" customHeight="1" x14ac:dyDescent="0.25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234"/>
      <c r="AK170" s="234"/>
      <c r="AL170" s="234"/>
      <c r="AM170" s="234"/>
      <c r="AN170" s="201"/>
      <c r="AO170" s="234"/>
      <c r="AP170" s="234"/>
      <c r="AQ170" s="234"/>
      <c r="AR170" s="234"/>
      <c r="AS170" s="234"/>
      <c r="AT170" s="234"/>
      <c r="AU170" s="234"/>
      <c r="AV170" s="234"/>
      <c r="AW170" s="234"/>
      <c r="AX170" s="234"/>
      <c r="AY170" s="234"/>
      <c r="AZ170" s="234"/>
      <c r="BA170" s="234"/>
      <c r="BB170" s="234"/>
      <c r="BC170" s="234"/>
      <c r="BD170" s="234"/>
      <c r="BE170" s="234"/>
      <c r="BF170" s="234"/>
      <c r="BG170" s="234"/>
      <c r="BH170" s="234"/>
    </row>
    <row r="171" spans="1:60" ht="24" customHeight="1" x14ac:dyDescent="0.25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234"/>
      <c r="AK171" s="234"/>
      <c r="AL171" s="234"/>
      <c r="AM171" s="234"/>
      <c r="AN171" s="201"/>
      <c r="AO171" s="234"/>
      <c r="AP171" s="234"/>
      <c r="AQ171" s="234"/>
      <c r="AR171" s="234"/>
      <c r="AS171" s="234"/>
      <c r="AT171" s="234"/>
      <c r="AU171" s="234"/>
      <c r="AV171" s="234"/>
      <c r="AW171" s="234"/>
      <c r="AX171" s="234"/>
      <c r="AY171" s="234"/>
      <c r="AZ171" s="234"/>
      <c r="BA171" s="234"/>
      <c r="BB171" s="234"/>
      <c r="BC171" s="234"/>
      <c r="BD171" s="234"/>
      <c r="BE171" s="234"/>
      <c r="BF171" s="234"/>
      <c r="BG171" s="234"/>
      <c r="BH171" s="234"/>
    </row>
    <row r="172" spans="1:60" ht="24" customHeight="1" x14ac:dyDescent="0.25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234"/>
      <c r="AK172" s="234"/>
      <c r="AL172" s="234"/>
      <c r="AM172" s="234"/>
      <c r="AN172" s="201"/>
      <c r="AO172" s="234"/>
      <c r="AP172" s="234"/>
      <c r="AQ172" s="234"/>
      <c r="AR172" s="234"/>
      <c r="AS172" s="234"/>
      <c r="AT172" s="234"/>
      <c r="AU172" s="234"/>
      <c r="AV172" s="234"/>
      <c r="AW172" s="234"/>
      <c r="AX172" s="234"/>
      <c r="AY172" s="234"/>
      <c r="AZ172" s="234"/>
      <c r="BA172" s="234"/>
      <c r="BB172" s="234"/>
      <c r="BC172" s="234"/>
      <c r="BD172" s="234"/>
      <c r="BE172" s="234"/>
      <c r="BF172" s="234"/>
      <c r="BG172" s="234"/>
      <c r="BH172" s="234"/>
    </row>
    <row r="173" spans="1:60" ht="24" customHeight="1" x14ac:dyDescent="0.25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4"/>
      <c r="AL173" s="234"/>
      <c r="AM173" s="234"/>
      <c r="AN173" s="201"/>
      <c r="AO173" s="234"/>
      <c r="AP173" s="234"/>
      <c r="AQ173" s="234"/>
      <c r="AR173" s="234"/>
      <c r="AS173" s="234"/>
      <c r="AT173" s="234"/>
      <c r="AU173" s="234"/>
      <c r="AV173" s="234"/>
      <c r="AW173" s="234"/>
      <c r="AX173" s="234"/>
      <c r="AY173" s="234"/>
      <c r="AZ173" s="234"/>
      <c r="BA173" s="234"/>
      <c r="BB173" s="234"/>
      <c r="BC173" s="234"/>
      <c r="BD173" s="234"/>
      <c r="BE173" s="234"/>
      <c r="BF173" s="234"/>
      <c r="BG173" s="234"/>
      <c r="BH173" s="234"/>
    </row>
    <row r="174" spans="1:60" ht="24" customHeight="1" x14ac:dyDescent="0.25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234"/>
      <c r="AK174" s="234"/>
      <c r="AL174" s="234"/>
      <c r="AM174" s="234"/>
      <c r="AN174" s="201"/>
      <c r="AO174" s="234"/>
      <c r="AP174" s="234"/>
      <c r="AQ174" s="234"/>
      <c r="AR174" s="234"/>
      <c r="AS174" s="234"/>
      <c r="AT174" s="234"/>
      <c r="AU174" s="234"/>
      <c r="AV174" s="234"/>
      <c r="AW174" s="234"/>
      <c r="AX174" s="234"/>
      <c r="AY174" s="234"/>
      <c r="AZ174" s="234"/>
      <c r="BA174" s="234"/>
      <c r="BB174" s="234"/>
      <c r="BC174" s="234"/>
      <c r="BD174" s="234"/>
      <c r="BE174" s="234"/>
      <c r="BF174" s="234"/>
      <c r="BG174" s="234"/>
      <c r="BH174" s="234"/>
    </row>
    <row r="175" spans="1:60" ht="24" customHeight="1" x14ac:dyDescent="0.25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234"/>
      <c r="AL175" s="234"/>
      <c r="AM175" s="234"/>
      <c r="AN175" s="201"/>
      <c r="AO175" s="234"/>
      <c r="AP175" s="234"/>
      <c r="AQ175" s="234"/>
      <c r="AR175" s="234"/>
      <c r="AS175" s="234"/>
      <c r="AT175" s="234"/>
      <c r="AU175" s="234"/>
      <c r="AV175" s="234"/>
      <c r="AW175" s="234"/>
      <c r="AX175" s="234"/>
      <c r="AY175" s="234"/>
      <c r="AZ175" s="234"/>
      <c r="BA175" s="234"/>
      <c r="BB175" s="234"/>
      <c r="BC175" s="234"/>
      <c r="BD175" s="234"/>
      <c r="BE175" s="234"/>
      <c r="BF175" s="234"/>
      <c r="BG175" s="234"/>
      <c r="BH175" s="234"/>
    </row>
    <row r="176" spans="1:60" ht="24" customHeight="1" x14ac:dyDescent="0.25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234"/>
      <c r="AK176" s="234"/>
      <c r="AL176" s="234"/>
      <c r="AM176" s="234"/>
      <c r="AN176" s="201"/>
      <c r="AO176" s="234"/>
      <c r="AP176" s="234"/>
      <c r="AQ176" s="234"/>
      <c r="AR176" s="234"/>
      <c r="AS176" s="234"/>
      <c r="AT176" s="234"/>
      <c r="AU176" s="234"/>
      <c r="AV176" s="234"/>
      <c r="AW176" s="234"/>
      <c r="AX176" s="234"/>
      <c r="AY176" s="234"/>
      <c r="AZ176" s="234"/>
      <c r="BA176" s="234"/>
      <c r="BB176" s="234"/>
      <c r="BC176" s="234"/>
      <c r="BD176" s="234"/>
      <c r="BE176" s="234"/>
      <c r="BF176" s="234"/>
      <c r="BG176" s="234"/>
      <c r="BH176" s="234"/>
    </row>
    <row r="177" spans="1:60" ht="24" customHeight="1" x14ac:dyDescent="0.25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234"/>
      <c r="AL177" s="234"/>
      <c r="AM177" s="234"/>
      <c r="AN177" s="201"/>
      <c r="AO177" s="234"/>
      <c r="AP177" s="234"/>
      <c r="AQ177" s="234"/>
      <c r="AR177" s="234"/>
      <c r="AS177" s="234"/>
      <c r="AT177" s="234"/>
      <c r="AU177" s="234"/>
      <c r="AV177" s="234"/>
      <c r="AW177" s="234"/>
      <c r="AX177" s="234"/>
      <c r="AY177" s="234"/>
      <c r="AZ177" s="234"/>
      <c r="BA177" s="234"/>
      <c r="BB177" s="234"/>
      <c r="BC177" s="234"/>
      <c r="BD177" s="234"/>
      <c r="BE177" s="234"/>
      <c r="BF177" s="234"/>
      <c r="BG177" s="234"/>
      <c r="BH177" s="234"/>
    </row>
    <row r="178" spans="1:60" ht="24" customHeight="1" x14ac:dyDescent="0.25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234"/>
      <c r="AL178" s="234"/>
      <c r="AM178" s="234"/>
      <c r="AN178" s="201"/>
      <c r="AO178" s="234"/>
      <c r="AP178" s="234"/>
      <c r="AQ178" s="234"/>
      <c r="AR178" s="234"/>
      <c r="AS178" s="234"/>
      <c r="AT178" s="234"/>
      <c r="AU178" s="234"/>
      <c r="AV178" s="234"/>
      <c r="AW178" s="234"/>
      <c r="AX178" s="234"/>
      <c r="AY178" s="234"/>
      <c r="AZ178" s="234"/>
      <c r="BA178" s="234"/>
      <c r="BB178" s="234"/>
      <c r="BC178" s="234"/>
      <c r="BD178" s="234"/>
      <c r="BE178" s="234"/>
      <c r="BF178" s="234"/>
      <c r="BG178" s="234"/>
      <c r="BH178" s="234"/>
    </row>
    <row r="179" spans="1:60" ht="24" customHeight="1" x14ac:dyDescent="0.25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4"/>
      <c r="AL179" s="234"/>
      <c r="AM179" s="234"/>
      <c r="AN179" s="201"/>
      <c r="AO179" s="234"/>
      <c r="AP179" s="234"/>
      <c r="AQ179" s="234"/>
      <c r="AR179" s="234"/>
      <c r="AS179" s="234"/>
      <c r="AT179" s="234"/>
      <c r="AU179" s="234"/>
      <c r="AV179" s="234"/>
      <c r="AW179" s="234"/>
      <c r="AX179" s="234"/>
      <c r="AY179" s="234"/>
      <c r="AZ179" s="234"/>
      <c r="BA179" s="234"/>
      <c r="BB179" s="234"/>
      <c r="BC179" s="234"/>
      <c r="BD179" s="234"/>
      <c r="BE179" s="234"/>
      <c r="BF179" s="234"/>
      <c r="BG179" s="234"/>
      <c r="BH179" s="234"/>
    </row>
    <row r="180" spans="1:60" ht="24" customHeight="1" x14ac:dyDescent="0.25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J180" s="234"/>
      <c r="AK180" s="234"/>
      <c r="AL180" s="234"/>
      <c r="AM180" s="234"/>
      <c r="AN180" s="201"/>
      <c r="AO180" s="234"/>
      <c r="AP180" s="234"/>
      <c r="AQ180" s="234"/>
      <c r="AR180" s="234"/>
      <c r="AS180" s="234"/>
      <c r="AT180" s="234"/>
      <c r="AU180" s="234"/>
      <c r="AV180" s="234"/>
      <c r="AW180" s="234"/>
      <c r="AX180" s="234"/>
      <c r="AY180" s="234"/>
      <c r="AZ180" s="234"/>
      <c r="BA180" s="234"/>
      <c r="BB180" s="234"/>
      <c r="BC180" s="234"/>
      <c r="BD180" s="234"/>
      <c r="BE180" s="234"/>
      <c r="BF180" s="234"/>
      <c r="BG180" s="234"/>
      <c r="BH180" s="234"/>
    </row>
    <row r="181" spans="1:60" ht="24" customHeight="1" x14ac:dyDescent="0.25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4"/>
      <c r="AL181" s="234"/>
      <c r="AM181" s="234"/>
      <c r="AN181" s="201"/>
      <c r="AO181" s="234"/>
      <c r="AP181" s="234"/>
      <c r="AQ181" s="234"/>
      <c r="AR181" s="234"/>
      <c r="AS181" s="234"/>
      <c r="AT181" s="234"/>
      <c r="AU181" s="234"/>
      <c r="AV181" s="234"/>
      <c r="AW181" s="234"/>
      <c r="AX181" s="234"/>
      <c r="AY181" s="234"/>
      <c r="AZ181" s="234"/>
      <c r="BA181" s="234"/>
      <c r="BB181" s="234"/>
      <c r="BC181" s="234"/>
      <c r="BD181" s="234"/>
      <c r="BE181" s="234"/>
      <c r="BF181" s="234"/>
      <c r="BG181" s="234"/>
      <c r="BH181" s="234"/>
    </row>
    <row r="182" spans="1:60" ht="24" customHeight="1" x14ac:dyDescent="0.25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234"/>
      <c r="AK182" s="234"/>
      <c r="AL182" s="234"/>
      <c r="AM182" s="234"/>
      <c r="AN182" s="201"/>
      <c r="AO182" s="234"/>
      <c r="AP182" s="234"/>
      <c r="AQ182" s="234"/>
      <c r="AR182" s="234"/>
      <c r="AS182" s="234"/>
      <c r="AT182" s="234"/>
      <c r="AU182" s="234"/>
      <c r="AV182" s="234"/>
      <c r="AW182" s="234"/>
      <c r="AX182" s="234"/>
      <c r="AY182" s="234"/>
      <c r="AZ182" s="234"/>
      <c r="BA182" s="234"/>
      <c r="BB182" s="234"/>
      <c r="BC182" s="234"/>
      <c r="BD182" s="234"/>
      <c r="BE182" s="234"/>
      <c r="BF182" s="234"/>
      <c r="BG182" s="234"/>
      <c r="BH182" s="234"/>
    </row>
    <row r="183" spans="1:60" ht="24" customHeight="1" x14ac:dyDescent="0.25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234"/>
      <c r="AL183" s="234"/>
      <c r="AM183" s="234"/>
      <c r="AN183" s="201"/>
      <c r="AO183" s="234"/>
      <c r="AP183" s="234"/>
      <c r="AQ183" s="234"/>
      <c r="AR183" s="234"/>
      <c r="AS183" s="234"/>
      <c r="AT183" s="234"/>
      <c r="AU183" s="234"/>
      <c r="AV183" s="234"/>
      <c r="AW183" s="234"/>
      <c r="AX183" s="234"/>
      <c r="AY183" s="234"/>
      <c r="AZ183" s="234"/>
      <c r="BA183" s="234"/>
      <c r="BB183" s="234"/>
      <c r="BC183" s="234"/>
      <c r="BD183" s="234"/>
      <c r="BE183" s="234"/>
      <c r="BF183" s="234"/>
      <c r="BG183" s="234"/>
      <c r="BH183" s="234"/>
    </row>
    <row r="184" spans="1:60" ht="24" customHeight="1" x14ac:dyDescent="0.25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234"/>
      <c r="AK184" s="234"/>
      <c r="AL184" s="234"/>
      <c r="AM184" s="234"/>
      <c r="AN184" s="201"/>
      <c r="AO184" s="234"/>
      <c r="AP184" s="234"/>
      <c r="AQ184" s="234"/>
      <c r="AR184" s="234"/>
      <c r="AS184" s="234"/>
      <c r="AT184" s="234"/>
      <c r="AU184" s="234"/>
      <c r="AV184" s="234"/>
      <c r="AW184" s="234"/>
      <c r="AX184" s="234"/>
      <c r="AY184" s="234"/>
      <c r="AZ184" s="234"/>
      <c r="BA184" s="234"/>
      <c r="BB184" s="234"/>
      <c r="BC184" s="234"/>
      <c r="BD184" s="234"/>
      <c r="BE184" s="234"/>
      <c r="BF184" s="234"/>
      <c r="BG184" s="234"/>
      <c r="BH184" s="234"/>
    </row>
    <row r="185" spans="1:60" ht="24" customHeight="1" x14ac:dyDescent="0.25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4"/>
      <c r="AL185" s="234"/>
      <c r="AM185" s="234"/>
      <c r="AN185" s="201"/>
      <c r="AO185" s="234"/>
      <c r="AP185" s="234"/>
      <c r="AQ185" s="234"/>
      <c r="AR185" s="234"/>
      <c r="AS185" s="234"/>
      <c r="AT185" s="234"/>
      <c r="AU185" s="234"/>
      <c r="AV185" s="234"/>
      <c r="AW185" s="234"/>
      <c r="AX185" s="234"/>
      <c r="AY185" s="234"/>
      <c r="AZ185" s="234"/>
      <c r="BA185" s="234"/>
      <c r="BB185" s="234"/>
      <c r="BC185" s="234"/>
      <c r="BD185" s="234"/>
      <c r="BE185" s="234"/>
      <c r="BF185" s="234"/>
      <c r="BG185" s="234"/>
      <c r="BH185" s="234"/>
    </row>
    <row r="186" spans="1:60" ht="24" customHeight="1" x14ac:dyDescent="0.25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234"/>
      <c r="AK186" s="234"/>
      <c r="AL186" s="234"/>
      <c r="AM186" s="234"/>
      <c r="AN186" s="201"/>
      <c r="AO186" s="234"/>
      <c r="AP186" s="234"/>
      <c r="AQ186" s="234"/>
      <c r="AR186" s="234"/>
      <c r="AS186" s="234"/>
      <c r="AT186" s="234"/>
      <c r="AU186" s="234"/>
      <c r="AV186" s="234"/>
      <c r="AW186" s="234"/>
      <c r="AX186" s="234"/>
      <c r="AY186" s="234"/>
      <c r="AZ186" s="234"/>
      <c r="BA186" s="234"/>
      <c r="BB186" s="234"/>
      <c r="BC186" s="234"/>
      <c r="BD186" s="234"/>
      <c r="BE186" s="234"/>
      <c r="BF186" s="234"/>
      <c r="BG186" s="234"/>
      <c r="BH186" s="234"/>
    </row>
    <row r="187" spans="1:60" ht="24" customHeight="1" x14ac:dyDescent="0.25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234"/>
      <c r="AL187" s="234"/>
      <c r="AM187" s="234"/>
      <c r="AN187" s="201"/>
      <c r="AO187" s="234"/>
      <c r="AP187" s="234"/>
      <c r="AQ187" s="234"/>
      <c r="AR187" s="234"/>
      <c r="AS187" s="234"/>
      <c r="AT187" s="234"/>
      <c r="AU187" s="234"/>
      <c r="AV187" s="234"/>
      <c r="AW187" s="234"/>
      <c r="AX187" s="234"/>
      <c r="AY187" s="234"/>
      <c r="AZ187" s="234"/>
      <c r="BA187" s="234"/>
      <c r="BB187" s="234"/>
      <c r="BC187" s="234"/>
      <c r="BD187" s="234"/>
      <c r="BE187" s="234"/>
      <c r="BF187" s="234"/>
      <c r="BG187" s="234"/>
      <c r="BH187" s="234"/>
    </row>
    <row r="188" spans="1:60" ht="24" customHeight="1" x14ac:dyDescent="0.25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4"/>
      <c r="AL188" s="234"/>
      <c r="AM188" s="234"/>
      <c r="AN188" s="201"/>
      <c r="AO188" s="234"/>
      <c r="AP188" s="234"/>
      <c r="AQ188" s="234"/>
      <c r="AR188" s="234"/>
      <c r="AS188" s="234"/>
      <c r="AT188" s="234"/>
      <c r="AU188" s="234"/>
      <c r="AV188" s="234"/>
      <c r="AW188" s="234"/>
      <c r="AX188" s="234"/>
      <c r="AY188" s="234"/>
      <c r="AZ188" s="234"/>
      <c r="BA188" s="234"/>
      <c r="BB188" s="234"/>
      <c r="BC188" s="234"/>
      <c r="BD188" s="234"/>
      <c r="BE188" s="234"/>
      <c r="BF188" s="234"/>
      <c r="BG188" s="234"/>
      <c r="BH188" s="234"/>
    </row>
    <row r="189" spans="1:60" ht="24" customHeight="1" x14ac:dyDescent="0.25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/>
      <c r="AL189" s="234"/>
      <c r="AM189" s="234"/>
      <c r="AN189" s="201"/>
      <c r="AO189" s="234"/>
      <c r="AP189" s="234"/>
      <c r="AQ189" s="234"/>
      <c r="AR189" s="234"/>
      <c r="AS189" s="234"/>
      <c r="AT189" s="234"/>
      <c r="AU189" s="234"/>
      <c r="AV189" s="234"/>
      <c r="AW189" s="234"/>
      <c r="AX189" s="234"/>
      <c r="AY189" s="234"/>
      <c r="AZ189" s="234"/>
      <c r="BA189" s="234"/>
      <c r="BB189" s="234"/>
      <c r="BC189" s="234"/>
      <c r="BD189" s="234"/>
      <c r="BE189" s="234"/>
      <c r="BF189" s="234"/>
      <c r="BG189" s="234"/>
      <c r="BH189" s="234"/>
    </row>
    <row r="190" spans="1:60" ht="24" customHeight="1" x14ac:dyDescent="0.25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4"/>
      <c r="AL190" s="234"/>
      <c r="AM190" s="234"/>
      <c r="AN190" s="201"/>
      <c r="AO190" s="234"/>
      <c r="AP190" s="234"/>
      <c r="AQ190" s="234"/>
      <c r="AR190" s="234"/>
      <c r="AS190" s="234"/>
      <c r="AT190" s="234"/>
      <c r="AU190" s="234"/>
      <c r="AV190" s="234"/>
      <c r="AW190" s="234"/>
      <c r="AX190" s="234"/>
      <c r="AY190" s="234"/>
      <c r="AZ190" s="234"/>
      <c r="BA190" s="234"/>
      <c r="BB190" s="234"/>
      <c r="BC190" s="234"/>
      <c r="BD190" s="234"/>
      <c r="BE190" s="234"/>
      <c r="BF190" s="234"/>
      <c r="BG190" s="234"/>
      <c r="BH190" s="234"/>
    </row>
    <row r="191" spans="1:60" ht="24" customHeight="1" x14ac:dyDescent="0.25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4"/>
      <c r="AL191" s="234"/>
      <c r="AM191" s="234"/>
      <c r="AN191" s="201"/>
      <c r="AO191" s="234"/>
      <c r="AP191" s="234"/>
      <c r="AQ191" s="234"/>
      <c r="AR191" s="234"/>
      <c r="AS191" s="234"/>
      <c r="AT191" s="234"/>
      <c r="AU191" s="234"/>
      <c r="AV191" s="234"/>
      <c r="AW191" s="234"/>
      <c r="AX191" s="234"/>
      <c r="AY191" s="234"/>
      <c r="AZ191" s="234"/>
      <c r="BA191" s="234"/>
      <c r="BB191" s="234"/>
      <c r="BC191" s="234"/>
      <c r="BD191" s="234"/>
      <c r="BE191" s="234"/>
      <c r="BF191" s="234"/>
      <c r="BG191" s="234"/>
      <c r="BH191" s="234"/>
    </row>
    <row r="192" spans="1:60" ht="24" customHeight="1" x14ac:dyDescent="0.25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4"/>
      <c r="AL192" s="234"/>
      <c r="AM192" s="234"/>
      <c r="AN192" s="201"/>
      <c r="AO192" s="234"/>
      <c r="AP192" s="234"/>
      <c r="AQ192" s="234"/>
      <c r="AR192" s="234"/>
      <c r="AS192" s="234"/>
      <c r="AT192" s="234"/>
      <c r="AU192" s="234"/>
      <c r="AV192" s="234"/>
      <c r="AW192" s="234"/>
      <c r="AX192" s="234"/>
      <c r="AY192" s="234"/>
      <c r="AZ192" s="234"/>
      <c r="BA192" s="234"/>
      <c r="BB192" s="234"/>
      <c r="BC192" s="234"/>
      <c r="BD192" s="234"/>
      <c r="BE192" s="234"/>
      <c r="BF192" s="234"/>
      <c r="BG192" s="234"/>
      <c r="BH192" s="234"/>
    </row>
    <row r="193" spans="1:60" ht="24" customHeight="1" x14ac:dyDescent="0.25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/>
      <c r="AL193" s="234"/>
      <c r="AM193" s="234"/>
      <c r="AN193" s="201"/>
      <c r="AO193" s="234"/>
      <c r="AP193" s="234"/>
      <c r="AQ193" s="234"/>
      <c r="AR193" s="234"/>
      <c r="AS193" s="234"/>
      <c r="AT193" s="234"/>
      <c r="AU193" s="234"/>
      <c r="AV193" s="234"/>
      <c r="AW193" s="234"/>
      <c r="AX193" s="234"/>
      <c r="AY193" s="234"/>
      <c r="AZ193" s="234"/>
      <c r="BA193" s="234"/>
      <c r="BB193" s="234"/>
      <c r="BC193" s="234"/>
      <c r="BD193" s="234"/>
      <c r="BE193" s="234"/>
      <c r="BF193" s="234"/>
      <c r="BG193" s="234"/>
      <c r="BH193" s="234"/>
    </row>
    <row r="194" spans="1:60" ht="24" customHeight="1" x14ac:dyDescent="0.25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01"/>
      <c r="AO194" s="234"/>
      <c r="AP194" s="234"/>
      <c r="AQ194" s="234"/>
      <c r="AR194" s="234"/>
      <c r="AS194" s="234"/>
      <c r="AT194" s="234"/>
      <c r="AU194" s="234"/>
      <c r="AV194" s="234"/>
      <c r="AW194" s="234"/>
      <c r="AX194" s="234"/>
      <c r="AY194" s="234"/>
      <c r="AZ194" s="234"/>
      <c r="BA194" s="234"/>
      <c r="BB194" s="234"/>
      <c r="BC194" s="234"/>
      <c r="BD194" s="234"/>
      <c r="BE194" s="234"/>
      <c r="BF194" s="234"/>
      <c r="BG194" s="234"/>
      <c r="BH194" s="234"/>
    </row>
    <row r="195" spans="1:60" ht="24" customHeight="1" x14ac:dyDescent="0.25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4"/>
      <c r="AL195" s="234"/>
      <c r="AM195" s="234"/>
      <c r="AN195" s="201"/>
      <c r="AO195" s="234"/>
      <c r="AP195" s="234"/>
      <c r="AQ195" s="234"/>
      <c r="AR195" s="234"/>
      <c r="AS195" s="234"/>
      <c r="AT195" s="234"/>
      <c r="AU195" s="234"/>
      <c r="AV195" s="234"/>
      <c r="AW195" s="234"/>
      <c r="AX195" s="234"/>
      <c r="AY195" s="234"/>
      <c r="AZ195" s="234"/>
      <c r="BA195" s="234"/>
      <c r="BB195" s="234"/>
      <c r="BC195" s="234"/>
      <c r="BD195" s="234"/>
      <c r="BE195" s="234"/>
      <c r="BF195" s="234"/>
      <c r="BG195" s="234"/>
      <c r="BH195" s="234"/>
    </row>
    <row r="196" spans="1:60" ht="24" customHeight="1" x14ac:dyDescent="0.25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4"/>
      <c r="AL196" s="234"/>
      <c r="AM196" s="234"/>
      <c r="AN196" s="201"/>
      <c r="AO196" s="234"/>
      <c r="AP196" s="234"/>
      <c r="AQ196" s="234"/>
      <c r="AR196" s="234"/>
      <c r="AS196" s="234"/>
      <c r="AT196" s="234"/>
      <c r="AU196" s="234"/>
      <c r="AV196" s="234"/>
      <c r="AW196" s="234"/>
      <c r="AX196" s="234"/>
      <c r="AY196" s="234"/>
      <c r="AZ196" s="234"/>
      <c r="BA196" s="234"/>
      <c r="BB196" s="234"/>
      <c r="BC196" s="234"/>
      <c r="BD196" s="234"/>
      <c r="BE196" s="234"/>
      <c r="BF196" s="234"/>
      <c r="BG196" s="234"/>
      <c r="BH196" s="234"/>
    </row>
    <row r="197" spans="1:60" ht="24" customHeight="1" x14ac:dyDescent="0.25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/>
      <c r="AL197" s="234"/>
      <c r="AM197" s="234"/>
      <c r="AN197" s="201"/>
      <c r="AO197" s="234"/>
      <c r="AP197" s="234"/>
      <c r="AQ197" s="234"/>
      <c r="AR197" s="234"/>
      <c r="AS197" s="234"/>
      <c r="AT197" s="234"/>
      <c r="AU197" s="234"/>
      <c r="AV197" s="234"/>
      <c r="AW197" s="234"/>
      <c r="AX197" s="234"/>
      <c r="AY197" s="234"/>
      <c r="AZ197" s="234"/>
      <c r="BA197" s="234"/>
      <c r="BB197" s="234"/>
      <c r="BC197" s="234"/>
      <c r="BD197" s="234"/>
      <c r="BE197" s="234"/>
      <c r="BF197" s="234"/>
      <c r="BG197" s="234"/>
      <c r="BH197" s="234"/>
    </row>
    <row r="198" spans="1:60" ht="24" customHeight="1" x14ac:dyDescent="0.25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4"/>
      <c r="AL198" s="234"/>
      <c r="AM198" s="234"/>
      <c r="AN198" s="201"/>
      <c r="AO198" s="234"/>
      <c r="AP198" s="234"/>
      <c r="AQ198" s="234"/>
      <c r="AR198" s="234"/>
      <c r="AS198" s="234"/>
      <c r="AT198" s="234"/>
      <c r="AU198" s="234"/>
      <c r="AV198" s="234"/>
      <c r="AW198" s="234"/>
      <c r="AX198" s="234"/>
      <c r="AY198" s="234"/>
      <c r="AZ198" s="234"/>
      <c r="BA198" s="234"/>
      <c r="BB198" s="234"/>
      <c r="BC198" s="234"/>
      <c r="BD198" s="234"/>
      <c r="BE198" s="234"/>
      <c r="BF198" s="234"/>
      <c r="BG198" s="234"/>
      <c r="BH198" s="234"/>
    </row>
    <row r="199" spans="1:60" ht="24" customHeight="1" x14ac:dyDescent="0.25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4"/>
      <c r="AL199" s="234"/>
      <c r="AM199" s="234"/>
      <c r="AN199" s="201"/>
      <c r="AO199" s="234"/>
      <c r="AP199" s="234"/>
      <c r="AQ199" s="234"/>
      <c r="AR199" s="234"/>
      <c r="AS199" s="234"/>
      <c r="AT199" s="234"/>
      <c r="AU199" s="234"/>
      <c r="AV199" s="234"/>
      <c r="AW199" s="234"/>
      <c r="AX199" s="234"/>
      <c r="AY199" s="234"/>
      <c r="AZ199" s="234"/>
      <c r="BA199" s="234"/>
      <c r="BB199" s="234"/>
      <c r="BC199" s="234"/>
      <c r="BD199" s="234"/>
      <c r="BE199" s="234"/>
      <c r="BF199" s="234"/>
      <c r="BG199" s="234"/>
      <c r="BH199" s="234"/>
    </row>
    <row r="200" spans="1:60" ht="24" customHeight="1" x14ac:dyDescent="0.25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4"/>
      <c r="AL200" s="234"/>
      <c r="AM200" s="234"/>
      <c r="AN200" s="201"/>
      <c r="AO200" s="234"/>
      <c r="AP200" s="234"/>
      <c r="AQ200" s="234"/>
      <c r="AR200" s="234"/>
      <c r="AS200" s="234"/>
      <c r="AT200" s="234"/>
      <c r="AU200" s="234"/>
      <c r="AV200" s="234"/>
      <c r="AW200" s="234"/>
      <c r="AX200" s="234"/>
      <c r="AY200" s="234"/>
      <c r="AZ200" s="234"/>
      <c r="BA200" s="234"/>
      <c r="BB200" s="234"/>
      <c r="BC200" s="234"/>
      <c r="BD200" s="234"/>
      <c r="BE200" s="234"/>
      <c r="BF200" s="234"/>
      <c r="BG200" s="234"/>
      <c r="BH200" s="234"/>
    </row>
    <row r="201" spans="1:60" ht="24" customHeight="1" x14ac:dyDescent="0.25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4"/>
      <c r="AL201" s="234"/>
      <c r="AM201" s="234"/>
      <c r="AN201" s="201"/>
      <c r="AO201" s="234"/>
      <c r="AP201" s="234"/>
      <c r="AQ201" s="234"/>
      <c r="AR201" s="234"/>
      <c r="AS201" s="234"/>
      <c r="AT201" s="234"/>
      <c r="AU201" s="234"/>
      <c r="AV201" s="234"/>
      <c r="AW201" s="234"/>
      <c r="AX201" s="234"/>
      <c r="AY201" s="234"/>
      <c r="AZ201" s="234"/>
      <c r="BA201" s="234"/>
      <c r="BB201" s="234"/>
      <c r="BC201" s="234"/>
      <c r="BD201" s="234"/>
      <c r="BE201" s="234"/>
      <c r="BF201" s="234"/>
      <c r="BG201" s="234"/>
      <c r="BH201" s="234"/>
    </row>
    <row r="202" spans="1:60" ht="24" customHeight="1" x14ac:dyDescent="0.25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4"/>
      <c r="AL202" s="234"/>
      <c r="AM202" s="234"/>
      <c r="AN202" s="201"/>
      <c r="AO202" s="234"/>
      <c r="AP202" s="234"/>
      <c r="AQ202" s="234"/>
      <c r="AR202" s="234"/>
      <c r="AS202" s="234"/>
      <c r="AT202" s="234"/>
      <c r="AU202" s="234"/>
      <c r="AV202" s="234"/>
      <c r="AW202" s="234"/>
      <c r="AX202" s="234"/>
      <c r="AY202" s="234"/>
      <c r="AZ202" s="234"/>
      <c r="BA202" s="234"/>
      <c r="BB202" s="234"/>
      <c r="BC202" s="234"/>
      <c r="BD202" s="234"/>
      <c r="BE202" s="234"/>
      <c r="BF202" s="234"/>
      <c r="BG202" s="234"/>
      <c r="BH202" s="234"/>
    </row>
    <row r="203" spans="1:60" ht="24" customHeight="1" x14ac:dyDescent="0.25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4"/>
      <c r="AL203" s="234"/>
      <c r="AM203" s="234"/>
      <c r="AN203" s="201"/>
      <c r="AO203" s="234"/>
      <c r="AP203" s="234"/>
      <c r="AQ203" s="234"/>
      <c r="AR203" s="234"/>
      <c r="AS203" s="234"/>
      <c r="AT203" s="234"/>
      <c r="AU203" s="234"/>
      <c r="AV203" s="234"/>
      <c r="AW203" s="234"/>
      <c r="AX203" s="234"/>
      <c r="AY203" s="234"/>
      <c r="AZ203" s="234"/>
      <c r="BA203" s="234"/>
      <c r="BB203" s="234"/>
      <c r="BC203" s="234"/>
      <c r="BD203" s="234"/>
      <c r="BE203" s="234"/>
      <c r="BF203" s="234"/>
      <c r="BG203" s="234"/>
      <c r="BH203" s="234"/>
    </row>
    <row r="204" spans="1:60" ht="24" customHeight="1" x14ac:dyDescent="0.25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4"/>
      <c r="AL204" s="234"/>
      <c r="AM204" s="234"/>
      <c r="AN204" s="201"/>
      <c r="AO204" s="234"/>
      <c r="AP204" s="234"/>
      <c r="AQ204" s="234"/>
      <c r="AR204" s="234"/>
      <c r="AS204" s="234"/>
      <c r="AT204" s="234"/>
      <c r="AU204" s="234"/>
      <c r="AV204" s="234"/>
      <c r="AW204" s="234"/>
      <c r="AX204" s="234"/>
      <c r="AY204" s="234"/>
      <c r="AZ204" s="234"/>
      <c r="BA204" s="234"/>
      <c r="BB204" s="234"/>
      <c r="BC204" s="234"/>
      <c r="BD204" s="234"/>
      <c r="BE204" s="234"/>
      <c r="BF204" s="234"/>
      <c r="BG204" s="234"/>
      <c r="BH204" s="234"/>
    </row>
    <row r="205" spans="1:60" ht="24" customHeight="1" x14ac:dyDescent="0.25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4"/>
      <c r="AL205" s="234"/>
      <c r="AM205" s="234"/>
      <c r="AN205" s="201"/>
      <c r="AO205" s="234"/>
      <c r="AP205" s="234"/>
      <c r="AQ205" s="234"/>
      <c r="AR205" s="234"/>
      <c r="AS205" s="234"/>
      <c r="AT205" s="234"/>
      <c r="AU205" s="234"/>
      <c r="AV205" s="234"/>
      <c r="AW205" s="234"/>
      <c r="AX205" s="234"/>
      <c r="AY205" s="234"/>
      <c r="AZ205" s="234"/>
      <c r="BA205" s="234"/>
      <c r="BB205" s="234"/>
      <c r="BC205" s="234"/>
      <c r="BD205" s="234"/>
      <c r="BE205" s="234"/>
      <c r="BF205" s="234"/>
      <c r="BG205" s="234"/>
      <c r="BH205" s="234"/>
    </row>
    <row r="206" spans="1:60" ht="24" customHeight="1" x14ac:dyDescent="0.25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4"/>
      <c r="AL206" s="234"/>
      <c r="AM206" s="234"/>
      <c r="AN206" s="201"/>
      <c r="AO206" s="234"/>
      <c r="AP206" s="234"/>
      <c r="AQ206" s="234"/>
      <c r="AR206" s="234"/>
      <c r="AS206" s="234"/>
      <c r="AT206" s="234"/>
      <c r="AU206" s="234"/>
      <c r="AV206" s="234"/>
      <c r="AW206" s="234"/>
      <c r="AX206" s="234"/>
      <c r="AY206" s="234"/>
      <c r="AZ206" s="234"/>
      <c r="BA206" s="234"/>
      <c r="BB206" s="234"/>
      <c r="BC206" s="234"/>
      <c r="BD206" s="234"/>
      <c r="BE206" s="234"/>
      <c r="BF206" s="234"/>
      <c r="BG206" s="234"/>
      <c r="BH206" s="234"/>
    </row>
    <row r="207" spans="1:60" ht="24" customHeight="1" x14ac:dyDescent="0.25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4"/>
      <c r="AL207" s="234"/>
      <c r="AM207" s="234"/>
      <c r="AN207" s="201"/>
      <c r="AO207" s="234"/>
      <c r="AP207" s="234"/>
      <c r="AQ207" s="234"/>
      <c r="AR207" s="234"/>
      <c r="AS207" s="234"/>
      <c r="AT207" s="234"/>
      <c r="AU207" s="234"/>
      <c r="AV207" s="234"/>
      <c r="AW207" s="234"/>
      <c r="AX207" s="234"/>
      <c r="AY207" s="234"/>
      <c r="AZ207" s="234"/>
      <c r="BA207" s="234"/>
      <c r="BB207" s="234"/>
      <c r="BC207" s="234"/>
      <c r="BD207" s="234"/>
      <c r="BE207" s="234"/>
      <c r="BF207" s="234"/>
      <c r="BG207" s="234"/>
      <c r="BH207" s="234"/>
    </row>
    <row r="208" spans="1:60" ht="24" customHeight="1" x14ac:dyDescent="0.25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4"/>
      <c r="AL208" s="234"/>
      <c r="AM208" s="234"/>
      <c r="AN208" s="201"/>
      <c r="AO208" s="234"/>
      <c r="AP208" s="234"/>
      <c r="AQ208" s="234"/>
      <c r="AR208" s="234"/>
      <c r="AS208" s="234"/>
      <c r="AT208" s="234"/>
      <c r="AU208" s="234"/>
      <c r="AV208" s="234"/>
      <c r="AW208" s="234"/>
      <c r="AX208" s="234"/>
      <c r="AY208" s="234"/>
      <c r="AZ208" s="234"/>
      <c r="BA208" s="234"/>
      <c r="BB208" s="234"/>
      <c r="BC208" s="234"/>
      <c r="BD208" s="234"/>
      <c r="BE208" s="234"/>
      <c r="BF208" s="234"/>
      <c r="BG208" s="234"/>
      <c r="BH208" s="234"/>
    </row>
    <row r="209" spans="1:60" ht="24" customHeight="1" x14ac:dyDescent="0.25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4"/>
      <c r="AL209" s="234"/>
      <c r="AM209" s="234"/>
      <c r="AN209" s="201"/>
      <c r="AO209" s="234"/>
      <c r="AP209" s="234"/>
      <c r="AQ209" s="234"/>
      <c r="AR209" s="234"/>
      <c r="AS209" s="234"/>
      <c r="AT209" s="234"/>
      <c r="AU209" s="234"/>
      <c r="AV209" s="234"/>
      <c r="AW209" s="234"/>
      <c r="AX209" s="234"/>
      <c r="AY209" s="234"/>
      <c r="AZ209" s="234"/>
      <c r="BA209" s="234"/>
      <c r="BB209" s="234"/>
      <c r="BC209" s="234"/>
      <c r="BD209" s="234"/>
      <c r="BE209" s="234"/>
      <c r="BF209" s="234"/>
      <c r="BG209" s="234"/>
      <c r="BH209" s="234"/>
    </row>
    <row r="210" spans="1:60" ht="24" customHeight="1" x14ac:dyDescent="0.25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4"/>
      <c r="AL210" s="234"/>
      <c r="AM210" s="234"/>
      <c r="AN210" s="201"/>
      <c r="AO210" s="234"/>
      <c r="AP210" s="234"/>
      <c r="AQ210" s="234"/>
      <c r="AR210" s="234"/>
      <c r="AS210" s="234"/>
      <c r="AT210" s="234"/>
      <c r="AU210" s="234"/>
      <c r="AV210" s="234"/>
      <c r="AW210" s="234"/>
      <c r="AX210" s="234"/>
      <c r="AY210" s="234"/>
      <c r="AZ210" s="234"/>
      <c r="BA210" s="234"/>
      <c r="BB210" s="234"/>
      <c r="BC210" s="234"/>
      <c r="BD210" s="234"/>
      <c r="BE210" s="234"/>
      <c r="BF210" s="234"/>
      <c r="BG210" s="234"/>
      <c r="BH210" s="234"/>
    </row>
    <row r="211" spans="1:60" ht="24" customHeight="1" x14ac:dyDescent="0.25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234"/>
      <c r="AK211" s="234"/>
      <c r="AL211" s="234"/>
      <c r="AM211" s="234"/>
      <c r="AN211" s="201"/>
      <c r="AO211" s="234"/>
      <c r="AP211" s="234"/>
      <c r="AQ211" s="234"/>
      <c r="AR211" s="234"/>
      <c r="AS211" s="234"/>
      <c r="AT211" s="234"/>
      <c r="AU211" s="234"/>
      <c r="AV211" s="234"/>
      <c r="AW211" s="234"/>
      <c r="AX211" s="234"/>
      <c r="AY211" s="234"/>
      <c r="AZ211" s="234"/>
      <c r="BA211" s="234"/>
      <c r="BB211" s="234"/>
      <c r="BC211" s="234"/>
      <c r="BD211" s="234"/>
      <c r="BE211" s="234"/>
      <c r="BF211" s="234"/>
      <c r="BG211" s="234"/>
      <c r="BH211" s="234"/>
    </row>
    <row r="212" spans="1:60" ht="24" customHeight="1" x14ac:dyDescent="0.25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4"/>
      <c r="AL212" s="234"/>
      <c r="AM212" s="234"/>
      <c r="AN212" s="201"/>
      <c r="AO212" s="234"/>
      <c r="AP212" s="234"/>
      <c r="AQ212" s="234"/>
      <c r="AR212" s="234"/>
      <c r="AS212" s="234"/>
      <c r="AT212" s="234"/>
      <c r="AU212" s="234"/>
      <c r="AV212" s="234"/>
      <c r="AW212" s="234"/>
      <c r="AX212" s="234"/>
      <c r="AY212" s="234"/>
      <c r="AZ212" s="234"/>
      <c r="BA212" s="234"/>
      <c r="BB212" s="234"/>
      <c r="BC212" s="234"/>
      <c r="BD212" s="234"/>
      <c r="BE212" s="234"/>
      <c r="BF212" s="234"/>
      <c r="BG212" s="234"/>
      <c r="BH212" s="234"/>
    </row>
    <row r="213" spans="1:60" ht="24" customHeight="1" x14ac:dyDescent="0.25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4"/>
      <c r="AL213" s="234"/>
      <c r="AM213" s="234"/>
      <c r="AN213" s="201"/>
      <c r="AO213" s="234"/>
      <c r="AP213" s="234"/>
      <c r="AQ213" s="234"/>
      <c r="AR213" s="234"/>
      <c r="AS213" s="234"/>
      <c r="AT213" s="234"/>
      <c r="AU213" s="234"/>
      <c r="AV213" s="234"/>
      <c r="AW213" s="234"/>
      <c r="AX213" s="234"/>
      <c r="AY213" s="234"/>
      <c r="AZ213" s="234"/>
      <c r="BA213" s="234"/>
      <c r="BB213" s="234"/>
      <c r="BC213" s="234"/>
      <c r="BD213" s="234"/>
      <c r="BE213" s="234"/>
      <c r="BF213" s="234"/>
      <c r="BG213" s="234"/>
      <c r="BH213" s="234"/>
    </row>
    <row r="214" spans="1:60" ht="24" customHeight="1" x14ac:dyDescent="0.25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4"/>
      <c r="AL214" s="234"/>
      <c r="AM214" s="234"/>
      <c r="AN214" s="201"/>
      <c r="AO214" s="234"/>
      <c r="AP214" s="234"/>
      <c r="AQ214" s="234"/>
      <c r="AR214" s="234"/>
      <c r="AS214" s="234"/>
      <c r="AT214" s="234"/>
      <c r="AU214" s="234"/>
      <c r="AV214" s="234"/>
      <c r="AW214" s="234"/>
      <c r="AX214" s="234"/>
      <c r="AY214" s="234"/>
      <c r="AZ214" s="234"/>
      <c r="BA214" s="234"/>
      <c r="BB214" s="234"/>
      <c r="BC214" s="234"/>
      <c r="BD214" s="234"/>
      <c r="BE214" s="234"/>
      <c r="BF214" s="234"/>
      <c r="BG214" s="234"/>
      <c r="BH214" s="234"/>
    </row>
    <row r="215" spans="1:60" ht="24" customHeight="1" x14ac:dyDescent="0.25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4"/>
      <c r="AL215" s="234"/>
      <c r="AM215" s="234"/>
      <c r="AN215" s="201"/>
      <c r="AO215" s="234"/>
      <c r="AP215" s="234"/>
      <c r="AQ215" s="234"/>
      <c r="AR215" s="234"/>
      <c r="AS215" s="234"/>
      <c r="AT215" s="234"/>
      <c r="AU215" s="234"/>
      <c r="AV215" s="234"/>
      <c r="AW215" s="234"/>
      <c r="AX215" s="234"/>
      <c r="AY215" s="234"/>
      <c r="AZ215" s="234"/>
      <c r="BA215" s="234"/>
      <c r="BB215" s="234"/>
      <c r="BC215" s="234"/>
      <c r="BD215" s="234"/>
      <c r="BE215" s="234"/>
      <c r="BF215" s="234"/>
      <c r="BG215" s="234"/>
      <c r="BH215" s="234"/>
    </row>
    <row r="216" spans="1:60" ht="24" customHeight="1" x14ac:dyDescent="0.25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4"/>
      <c r="AL216" s="234"/>
      <c r="AM216" s="234"/>
      <c r="AN216" s="201"/>
      <c r="AO216" s="234"/>
      <c r="AP216" s="234"/>
      <c r="AQ216" s="234"/>
      <c r="AR216" s="234"/>
      <c r="AS216" s="234"/>
      <c r="AT216" s="234"/>
      <c r="AU216" s="234"/>
      <c r="AV216" s="234"/>
      <c r="AW216" s="234"/>
      <c r="AX216" s="234"/>
      <c r="AY216" s="234"/>
      <c r="AZ216" s="234"/>
      <c r="BA216" s="234"/>
      <c r="BB216" s="234"/>
      <c r="BC216" s="234"/>
      <c r="BD216" s="234"/>
      <c r="BE216" s="234"/>
      <c r="BF216" s="234"/>
      <c r="BG216" s="234"/>
      <c r="BH216" s="234"/>
    </row>
    <row r="217" spans="1:60" ht="24" customHeight="1" x14ac:dyDescent="0.25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4"/>
      <c r="AL217" s="234"/>
      <c r="AM217" s="234"/>
      <c r="AN217" s="201"/>
      <c r="AO217" s="234"/>
      <c r="AP217" s="234"/>
      <c r="AQ217" s="234"/>
      <c r="AR217" s="234"/>
      <c r="AS217" s="234"/>
      <c r="AT217" s="234"/>
      <c r="AU217" s="234"/>
      <c r="AV217" s="234"/>
      <c r="AW217" s="234"/>
      <c r="AX217" s="234"/>
      <c r="AY217" s="234"/>
      <c r="AZ217" s="234"/>
      <c r="BA217" s="234"/>
      <c r="BB217" s="234"/>
      <c r="BC217" s="234"/>
      <c r="BD217" s="234"/>
      <c r="BE217" s="234"/>
      <c r="BF217" s="234"/>
      <c r="BG217" s="234"/>
      <c r="BH217" s="234"/>
    </row>
    <row r="218" spans="1:60" ht="24" customHeight="1" x14ac:dyDescent="0.25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4"/>
      <c r="AL218" s="234"/>
      <c r="AM218" s="234"/>
      <c r="AN218" s="201"/>
      <c r="AO218" s="234"/>
      <c r="AP218" s="234"/>
      <c r="AQ218" s="234"/>
      <c r="AR218" s="234"/>
      <c r="AS218" s="234"/>
      <c r="AT218" s="234"/>
      <c r="AU218" s="234"/>
      <c r="AV218" s="234"/>
      <c r="AW218" s="234"/>
      <c r="AX218" s="234"/>
      <c r="AY218" s="234"/>
      <c r="AZ218" s="234"/>
      <c r="BA218" s="234"/>
      <c r="BB218" s="234"/>
      <c r="BC218" s="234"/>
      <c r="BD218" s="234"/>
      <c r="BE218" s="234"/>
      <c r="BF218" s="234"/>
      <c r="BG218" s="234"/>
      <c r="BH218" s="234"/>
    </row>
    <row r="219" spans="1:60" ht="24" customHeight="1" x14ac:dyDescent="0.25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4"/>
      <c r="AL219" s="234"/>
      <c r="AM219" s="234"/>
      <c r="AN219" s="201"/>
      <c r="AO219" s="234"/>
      <c r="AP219" s="234"/>
      <c r="AQ219" s="234"/>
      <c r="AR219" s="234"/>
      <c r="AS219" s="234"/>
      <c r="AT219" s="234"/>
      <c r="AU219" s="234"/>
      <c r="AV219" s="234"/>
      <c r="AW219" s="234"/>
      <c r="AX219" s="234"/>
      <c r="AY219" s="234"/>
      <c r="AZ219" s="234"/>
      <c r="BA219" s="234"/>
      <c r="BB219" s="234"/>
      <c r="BC219" s="234"/>
      <c r="BD219" s="234"/>
      <c r="BE219" s="234"/>
      <c r="BF219" s="234"/>
      <c r="BG219" s="234"/>
      <c r="BH219" s="234"/>
    </row>
    <row r="220" spans="1:60" ht="24" customHeight="1" x14ac:dyDescent="0.25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4"/>
      <c r="AL220" s="234"/>
      <c r="AM220" s="234"/>
      <c r="AN220" s="201"/>
      <c r="AO220" s="234"/>
      <c r="AP220" s="234"/>
      <c r="AQ220" s="234"/>
      <c r="AR220" s="234"/>
      <c r="AS220" s="234"/>
      <c r="AT220" s="234"/>
      <c r="AU220" s="234"/>
      <c r="AV220" s="234"/>
      <c r="AW220" s="234"/>
      <c r="AX220" s="234"/>
      <c r="AY220" s="234"/>
      <c r="AZ220" s="234"/>
      <c r="BA220" s="234"/>
      <c r="BB220" s="234"/>
      <c r="BC220" s="234"/>
      <c r="BD220" s="234"/>
      <c r="BE220" s="234"/>
      <c r="BF220" s="234"/>
      <c r="BG220" s="234"/>
      <c r="BH220" s="234"/>
    </row>
    <row r="221" spans="1:60" ht="24" customHeight="1" x14ac:dyDescent="0.25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4"/>
      <c r="AL221" s="234"/>
      <c r="AM221" s="234"/>
      <c r="AN221" s="201"/>
      <c r="AO221" s="234"/>
      <c r="AP221" s="234"/>
      <c r="AQ221" s="234"/>
      <c r="AR221" s="234"/>
      <c r="AS221" s="234"/>
      <c r="AT221" s="234"/>
      <c r="AU221" s="234"/>
      <c r="AV221" s="234"/>
      <c r="AW221" s="234"/>
      <c r="AX221" s="234"/>
      <c r="AY221" s="234"/>
      <c r="AZ221" s="234"/>
      <c r="BA221" s="234"/>
      <c r="BB221" s="234"/>
      <c r="BC221" s="234"/>
      <c r="BD221" s="234"/>
      <c r="BE221" s="234"/>
      <c r="BF221" s="234"/>
      <c r="BG221" s="234"/>
      <c r="BH221" s="234"/>
    </row>
    <row r="222" spans="1:60" ht="24" customHeight="1" x14ac:dyDescent="0.25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4"/>
      <c r="AL222" s="234"/>
      <c r="AM222" s="234"/>
      <c r="AN222" s="201"/>
      <c r="AO222" s="234"/>
      <c r="AP222" s="234"/>
      <c r="AQ222" s="234"/>
      <c r="AR222" s="234"/>
      <c r="AS222" s="234"/>
      <c r="AT222" s="234"/>
      <c r="AU222" s="234"/>
      <c r="AV222" s="234"/>
      <c r="AW222" s="234"/>
      <c r="AX222" s="234"/>
      <c r="AY222" s="234"/>
      <c r="AZ222" s="234"/>
      <c r="BA222" s="234"/>
      <c r="BB222" s="234"/>
      <c r="BC222" s="234"/>
      <c r="BD222" s="234"/>
      <c r="BE222" s="234"/>
      <c r="BF222" s="234"/>
      <c r="BG222" s="234"/>
      <c r="BH222" s="234"/>
    </row>
    <row r="223" spans="1:60" ht="24" customHeight="1" x14ac:dyDescent="0.25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4"/>
      <c r="AL223" s="234"/>
      <c r="AM223" s="234"/>
      <c r="AN223" s="201"/>
      <c r="AO223" s="234"/>
      <c r="AP223" s="234"/>
      <c r="AQ223" s="234"/>
      <c r="AR223" s="234"/>
      <c r="AS223" s="234"/>
      <c r="AT223" s="234"/>
      <c r="AU223" s="234"/>
      <c r="AV223" s="234"/>
      <c r="AW223" s="234"/>
      <c r="AX223" s="234"/>
      <c r="AY223" s="234"/>
      <c r="AZ223" s="234"/>
      <c r="BA223" s="234"/>
      <c r="BB223" s="234"/>
      <c r="BC223" s="234"/>
      <c r="BD223" s="234"/>
      <c r="BE223" s="234"/>
      <c r="BF223" s="234"/>
      <c r="BG223" s="234"/>
      <c r="BH223" s="234"/>
    </row>
    <row r="224" spans="1:60" ht="24" customHeight="1" x14ac:dyDescent="0.25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4"/>
      <c r="AL224" s="234"/>
      <c r="AM224" s="234"/>
      <c r="AN224" s="201"/>
      <c r="AO224" s="234"/>
      <c r="AP224" s="234"/>
      <c r="AQ224" s="234"/>
      <c r="AR224" s="234"/>
      <c r="AS224" s="234"/>
      <c r="AT224" s="234"/>
      <c r="AU224" s="234"/>
      <c r="AV224" s="234"/>
      <c r="AW224" s="234"/>
      <c r="AX224" s="234"/>
      <c r="AY224" s="234"/>
      <c r="AZ224" s="234"/>
      <c r="BA224" s="234"/>
      <c r="BB224" s="234"/>
      <c r="BC224" s="234"/>
      <c r="BD224" s="234"/>
      <c r="BE224" s="234"/>
      <c r="BF224" s="234"/>
      <c r="BG224" s="234"/>
      <c r="BH224" s="234"/>
    </row>
    <row r="225" spans="1:60" ht="24" customHeight="1" x14ac:dyDescent="0.25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4"/>
      <c r="AL225" s="234"/>
      <c r="AM225" s="234"/>
      <c r="AN225" s="201"/>
      <c r="AO225" s="234"/>
      <c r="AP225" s="234"/>
      <c r="AQ225" s="234"/>
      <c r="AR225" s="234"/>
      <c r="AS225" s="234"/>
      <c r="AT225" s="234"/>
      <c r="AU225" s="234"/>
      <c r="AV225" s="234"/>
      <c r="AW225" s="234"/>
      <c r="AX225" s="234"/>
      <c r="AY225" s="234"/>
      <c r="AZ225" s="234"/>
      <c r="BA225" s="234"/>
      <c r="BB225" s="234"/>
      <c r="BC225" s="234"/>
      <c r="BD225" s="234"/>
      <c r="BE225" s="234"/>
      <c r="BF225" s="234"/>
      <c r="BG225" s="234"/>
      <c r="BH225" s="234"/>
    </row>
    <row r="226" spans="1:60" ht="24" customHeight="1" x14ac:dyDescent="0.25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4"/>
      <c r="AL226" s="234"/>
      <c r="AM226" s="234"/>
      <c r="AN226" s="201"/>
      <c r="AO226" s="234"/>
      <c r="AP226" s="234"/>
      <c r="AQ226" s="234"/>
      <c r="AR226" s="234"/>
      <c r="AS226" s="234"/>
      <c r="AT226" s="234"/>
      <c r="AU226" s="234"/>
      <c r="AV226" s="234"/>
      <c r="AW226" s="234"/>
      <c r="AX226" s="234"/>
      <c r="AY226" s="234"/>
      <c r="AZ226" s="234"/>
      <c r="BA226" s="234"/>
      <c r="BB226" s="234"/>
      <c r="BC226" s="234"/>
      <c r="BD226" s="234"/>
      <c r="BE226" s="234"/>
      <c r="BF226" s="234"/>
      <c r="BG226" s="234"/>
      <c r="BH226" s="234"/>
    </row>
    <row r="227" spans="1:60" ht="24" customHeight="1" x14ac:dyDescent="0.25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4"/>
      <c r="AL227" s="234"/>
      <c r="AM227" s="234"/>
      <c r="AN227" s="201"/>
      <c r="AO227" s="234"/>
      <c r="AP227" s="234"/>
      <c r="AQ227" s="234"/>
      <c r="AR227" s="234"/>
      <c r="AS227" s="234"/>
      <c r="AT227" s="234"/>
      <c r="AU227" s="234"/>
      <c r="AV227" s="234"/>
      <c r="AW227" s="234"/>
      <c r="AX227" s="234"/>
      <c r="AY227" s="234"/>
      <c r="AZ227" s="234"/>
      <c r="BA227" s="234"/>
      <c r="BB227" s="234"/>
      <c r="BC227" s="234"/>
      <c r="BD227" s="234"/>
      <c r="BE227" s="234"/>
      <c r="BF227" s="234"/>
      <c r="BG227" s="234"/>
      <c r="BH227" s="234"/>
    </row>
    <row r="228" spans="1:60" ht="24" customHeight="1" x14ac:dyDescent="0.25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234"/>
      <c r="AK228" s="234"/>
      <c r="AL228" s="234"/>
      <c r="AM228" s="234"/>
      <c r="AN228" s="201"/>
      <c r="AO228" s="234"/>
      <c r="AP228" s="234"/>
      <c r="AQ228" s="234"/>
      <c r="AR228" s="234"/>
      <c r="AS228" s="234"/>
      <c r="AT228" s="234"/>
      <c r="AU228" s="234"/>
      <c r="AV228" s="234"/>
      <c r="AW228" s="234"/>
      <c r="AX228" s="234"/>
      <c r="AY228" s="234"/>
      <c r="AZ228" s="234"/>
      <c r="BA228" s="234"/>
      <c r="BB228" s="234"/>
      <c r="BC228" s="234"/>
      <c r="BD228" s="234"/>
      <c r="BE228" s="234"/>
      <c r="BF228" s="234"/>
      <c r="BG228" s="234"/>
      <c r="BH228" s="234"/>
    </row>
    <row r="229" spans="1:60" ht="24" customHeight="1" x14ac:dyDescent="0.25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4"/>
      <c r="AL229" s="234"/>
      <c r="AM229" s="234"/>
      <c r="AN229" s="201"/>
      <c r="AO229" s="234"/>
      <c r="AP229" s="234"/>
      <c r="AQ229" s="234"/>
      <c r="AR229" s="234"/>
      <c r="AS229" s="234"/>
      <c r="AT229" s="234"/>
      <c r="AU229" s="234"/>
      <c r="AV229" s="234"/>
      <c r="AW229" s="234"/>
      <c r="AX229" s="234"/>
      <c r="AY229" s="234"/>
      <c r="AZ229" s="234"/>
      <c r="BA229" s="234"/>
      <c r="BB229" s="234"/>
      <c r="BC229" s="234"/>
      <c r="BD229" s="234"/>
      <c r="BE229" s="234"/>
      <c r="BF229" s="234"/>
      <c r="BG229" s="234"/>
      <c r="BH229" s="234"/>
    </row>
    <row r="230" spans="1:60" ht="24" customHeight="1" x14ac:dyDescent="0.25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4"/>
      <c r="AL230" s="234"/>
      <c r="AM230" s="234"/>
      <c r="AN230" s="201"/>
      <c r="AO230" s="234"/>
      <c r="AP230" s="234"/>
      <c r="AQ230" s="234"/>
      <c r="AR230" s="234"/>
      <c r="AS230" s="234"/>
      <c r="AT230" s="234"/>
      <c r="AU230" s="234"/>
      <c r="AV230" s="234"/>
      <c r="AW230" s="234"/>
      <c r="AX230" s="234"/>
      <c r="AY230" s="234"/>
      <c r="AZ230" s="234"/>
      <c r="BA230" s="234"/>
      <c r="BB230" s="234"/>
      <c r="BC230" s="234"/>
      <c r="BD230" s="234"/>
      <c r="BE230" s="234"/>
      <c r="BF230" s="234"/>
      <c r="BG230" s="234"/>
      <c r="BH230" s="234"/>
    </row>
    <row r="231" spans="1:60" ht="24" customHeight="1" x14ac:dyDescent="0.25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4"/>
      <c r="AL231" s="234"/>
      <c r="AM231" s="234"/>
      <c r="AN231" s="201"/>
      <c r="AO231" s="234"/>
      <c r="AP231" s="234"/>
      <c r="AQ231" s="234"/>
      <c r="AR231" s="234"/>
      <c r="AS231" s="234"/>
      <c r="AT231" s="234"/>
      <c r="AU231" s="234"/>
      <c r="AV231" s="234"/>
      <c r="AW231" s="234"/>
      <c r="AX231" s="234"/>
      <c r="AY231" s="234"/>
      <c r="AZ231" s="234"/>
      <c r="BA231" s="234"/>
      <c r="BB231" s="234"/>
      <c r="BC231" s="234"/>
      <c r="BD231" s="234"/>
      <c r="BE231" s="234"/>
      <c r="BF231" s="234"/>
      <c r="BG231" s="234"/>
      <c r="BH231" s="234"/>
    </row>
    <row r="232" spans="1:60" ht="24" customHeight="1" x14ac:dyDescent="0.25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4"/>
      <c r="AL232" s="234"/>
      <c r="AM232" s="234"/>
      <c r="AN232" s="201"/>
      <c r="AO232" s="234"/>
      <c r="AP232" s="234"/>
      <c r="AQ232" s="234"/>
      <c r="AR232" s="234"/>
      <c r="AS232" s="234"/>
      <c r="AT232" s="234"/>
      <c r="AU232" s="234"/>
      <c r="AV232" s="234"/>
      <c r="AW232" s="234"/>
      <c r="AX232" s="234"/>
      <c r="AY232" s="234"/>
      <c r="AZ232" s="234"/>
      <c r="BA232" s="234"/>
      <c r="BB232" s="234"/>
      <c r="BC232" s="234"/>
      <c r="BD232" s="234"/>
      <c r="BE232" s="234"/>
      <c r="BF232" s="234"/>
      <c r="BG232" s="234"/>
      <c r="BH232" s="234"/>
    </row>
    <row r="233" spans="1:60" ht="24" customHeight="1" x14ac:dyDescent="0.25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234"/>
      <c r="AL233" s="234"/>
      <c r="AM233" s="234"/>
      <c r="AN233" s="201"/>
      <c r="AO233" s="234"/>
      <c r="AP233" s="234"/>
      <c r="AQ233" s="234"/>
      <c r="AR233" s="234"/>
      <c r="AS233" s="234"/>
      <c r="AT233" s="234"/>
      <c r="AU233" s="234"/>
      <c r="AV233" s="234"/>
      <c r="AW233" s="234"/>
      <c r="AX233" s="234"/>
      <c r="AY233" s="234"/>
      <c r="AZ233" s="234"/>
      <c r="BA233" s="234"/>
      <c r="BB233" s="234"/>
      <c r="BC233" s="234"/>
      <c r="BD233" s="234"/>
      <c r="BE233" s="234"/>
      <c r="BF233" s="234"/>
      <c r="BG233" s="234"/>
      <c r="BH233" s="234"/>
    </row>
    <row r="234" spans="1:60" ht="24" customHeight="1" x14ac:dyDescent="0.25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234"/>
      <c r="AK234" s="234"/>
      <c r="AL234" s="234"/>
      <c r="AM234" s="234"/>
      <c r="AN234" s="201"/>
      <c r="AO234" s="234"/>
      <c r="AP234" s="234"/>
      <c r="AQ234" s="234"/>
      <c r="AR234" s="234"/>
      <c r="AS234" s="234"/>
      <c r="AT234" s="234"/>
      <c r="AU234" s="234"/>
      <c r="AV234" s="234"/>
      <c r="AW234" s="234"/>
      <c r="AX234" s="234"/>
      <c r="AY234" s="234"/>
      <c r="AZ234" s="234"/>
      <c r="BA234" s="234"/>
      <c r="BB234" s="234"/>
      <c r="BC234" s="234"/>
      <c r="BD234" s="234"/>
      <c r="BE234" s="234"/>
      <c r="BF234" s="234"/>
      <c r="BG234" s="234"/>
      <c r="BH234" s="234"/>
    </row>
    <row r="235" spans="1:60" ht="24" customHeight="1" x14ac:dyDescent="0.25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234"/>
      <c r="AK235" s="234"/>
      <c r="AL235" s="234"/>
      <c r="AM235" s="234"/>
      <c r="AN235" s="201"/>
      <c r="AO235" s="234"/>
      <c r="AP235" s="234"/>
      <c r="AQ235" s="234"/>
      <c r="AR235" s="234"/>
      <c r="AS235" s="234"/>
      <c r="AT235" s="234"/>
      <c r="AU235" s="234"/>
      <c r="AV235" s="234"/>
      <c r="AW235" s="234"/>
      <c r="AX235" s="234"/>
      <c r="AY235" s="234"/>
      <c r="AZ235" s="234"/>
      <c r="BA235" s="234"/>
      <c r="BB235" s="234"/>
      <c r="BC235" s="234"/>
      <c r="BD235" s="234"/>
      <c r="BE235" s="234"/>
      <c r="BF235" s="234"/>
      <c r="BG235" s="234"/>
      <c r="BH235" s="234"/>
    </row>
    <row r="236" spans="1:60" ht="24" customHeight="1" x14ac:dyDescent="0.25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234"/>
      <c r="AK236" s="234"/>
      <c r="AL236" s="234"/>
      <c r="AM236" s="234"/>
      <c r="AN236" s="201"/>
      <c r="AO236" s="234"/>
      <c r="AP236" s="234"/>
      <c r="AQ236" s="234"/>
      <c r="AR236" s="234"/>
      <c r="AS236" s="234"/>
      <c r="AT236" s="234"/>
      <c r="AU236" s="234"/>
      <c r="AV236" s="234"/>
      <c r="AW236" s="234"/>
      <c r="AX236" s="234"/>
      <c r="AY236" s="234"/>
      <c r="AZ236" s="234"/>
      <c r="BA236" s="234"/>
      <c r="BB236" s="234"/>
      <c r="BC236" s="234"/>
      <c r="BD236" s="234"/>
      <c r="BE236" s="234"/>
      <c r="BF236" s="234"/>
      <c r="BG236" s="234"/>
      <c r="BH236" s="234"/>
    </row>
    <row r="237" spans="1:60" ht="24" customHeight="1" x14ac:dyDescent="0.25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234"/>
      <c r="AK237" s="234"/>
      <c r="AL237" s="234"/>
      <c r="AM237" s="234"/>
      <c r="AN237" s="201"/>
      <c r="AO237" s="234"/>
      <c r="AP237" s="234"/>
      <c r="AQ237" s="234"/>
      <c r="AR237" s="234"/>
      <c r="AS237" s="234"/>
      <c r="AT237" s="234"/>
      <c r="AU237" s="234"/>
      <c r="AV237" s="234"/>
      <c r="AW237" s="234"/>
      <c r="AX237" s="234"/>
      <c r="AY237" s="234"/>
      <c r="AZ237" s="234"/>
      <c r="BA237" s="234"/>
      <c r="BB237" s="234"/>
      <c r="BC237" s="234"/>
      <c r="BD237" s="234"/>
      <c r="BE237" s="234"/>
      <c r="BF237" s="234"/>
      <c r="BG237" s="234"/>
      <c r="BH237" s="234"/>
    </row>
    <row r="238" spans="1:60" ht="24" customHeight="1" x14ac:dyDescent="0.25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234"/>
      <c r="AK238" s="234"/>
      <c r="AL238" s="234"/>
      <c r="AM238" s="234"/>
      <c r="AN238" s="201"/>
      <c r="AO238" s="234"/>
      <c r="AP238" s="234"/>
      <c r="AQ238" s="234"/>
      <c r="AR238" s="234"/>
      <c r="AS238" s="234"/>
      <c r="AT238" s="234"/>
      <c r="AU238" s="234"/>
      <c r="AV238" s="234"/>
      <c r="AW238" s="234"/>
      <c r="AX238" s="234"/>
      <c r="AY238" s="234"/>
      <c r="AZ238" s="234"/>
      <c r="BA238" s="234"/>
      <c r="BB238" s="234"/>
      <c r="BC238" s="234"/>
      <c r="BD238" s="234"/>
      <c r="BE238" s="234"/>
      <c r="BF238" s="234"/>
      <c r="BG238" s="234"/>
      <c r="BH238" s="234"/>
    </row>
    <row r="239" spans="1:60" ht="24" customHeight="1" x14ac:dyDescent="0.25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234"/>
      <c r="AK239" s="234"/>
      <c r="AL239" s="234"/>
      <c r="AM239" s="234"/>
      <c r="AN239" s="201"/>
      <c r="AO239" s="234"/>
      <c r="AP239" s="234"/>
      <c r="AQ239" s="234"/>
      <c r="AR239" s="234"/>
      <c r="AS239" s="234"/>
      <c r="AT239" s="234"/>
      <c r="AU239" s="234"/>
      <c r="AV239" s="234"/>
      <c r="AW239" s="234"/>
      <c r="AX239" s="234"/>
      <c r="AY239" s="234"/>
      <c r="AZ239" s="234"/>
      <c r="BA239" s="234"/>
      <c r="BB239" s="234"/>
      <c r="BC239" s="234"/>
      <c r="BD239" s="234"/>
      <c r="BE239" s="234"/>
      <c r="BF239" s="234"/>
      <c r="BG239" s="234"/>
      <c r="BH239" s="234"/>
    </row>
    <row r="240" spans="1:60" ht="24" customHeight="1" x14ac:dyDescent="0.25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234"/>
      <c r="AK240" s="234"/>
      <c r="AL240" s="234"/>
      <c r="AM240" s="234"/>
      <c r="AN240" s="201"/>
      <c r="AO240" s="234"/>
      <c r="AP240" s="234"/>
      <c r="AQ240" s="234"/>
      <c r="AR240" s="234"/>
      <c r="AS240" s="234"/>
      <c r="AT240" s="234"/>
      <c r="AU240" s="234"/>
      <c r="AV240" s="234"/>
      <c r="AW240" s="234"/>
      <c r="AX240" s="234"/>
      <c r="AY240" s="234"/>
      <c r="AZ240" s="234"/>
      <c r="BA240" s="234"/>
      <c r="BB240" s="234"/>
      <c r="BC240" s="234"/>
      <c r="BD240" s="234"/>
      <c r="BE240" s="234"/>
      <c r="BF240" s="234"/>
      <c r="BG240" s="234"/>
      <c r="BH240" s="234"/>
    </row>
    <row r="241" spans="1:60" ht="24" customHeight="1" x14ac:dyDescent="0.25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234"/>
      <c r="AK241" s="234"/>
      <c r="AL241" s="234"/>
      <c r="AM241" s="234"/>
      <c r="AN241" s="201"/>
      <c r="AO241" s="234"/>
      <c r="AP241" s="234"/>
      <c r="AQ241" s="234"/>
      <c r="AR241" s="234"/>
      <c r="AS241" s="234"/>
      <c r="AT241" s="234"/>
      <c r="AU241" s="234"/>
      <c r="AV241" s="234"/>
      <c r="AW241" s="234"/>
      <c r="AX241" s="234"/>
      <c r="AY241" s="234"/>
      <c r="AZ241" s="234"/>
      <c r="BA241" s="234"/>
      <c r="BB241" s="234"/>
      <c r="BC241" s="234"/>
      <c r="BD241" s="234"/>
      <c r="BE241" s="234"/>
      <c r="BF241" s="234"/>
      <c r="BG241" s="234"/>
      <c r="BH241" s="234"/>
    </row>
    <row r="242" spans="1:60" ht="24" customHeight="1" x14ac:dyDescent="0.25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234"/>
      <c r="AK242" s="234"/>
      <c r="AL242" s="234"/>
      <c r="AM242" s="234"/>
      <c r="AN242" s="201"/>
      <c r="AO242" s="234"/>
      <c r="AP242" s="234"/>
      <c r="AQ242" s="234"/>
      <c r="AR242" s="234"/>
      <c r="AS242" s="234"/>
      <c r="AT242" s="234"/>
      <c r="AU242" s="234"/>
      <c r="AV242" s="234"/>
      <c r="AW242" s="234"/>
      <c r="AX242" s="234"/>
      <c r="AY242" s="234"/>
      <c r="AZ242" s="234"/>
      <c r="BA242" s="234"/>
      <c r="BB242" s="234"/>
      <c r="BC242" s="234"/>
      <c r="BD242" s="234"/>
      <c r="BE242" s="234"/>
      <c r="BF242" s="234"/>
      <c r="BG242" s="234"/>
      <c r="BH242" s="234"/>
    </row>
    <row r="243" spans="1:60" ht="24" customHeight="1" x14ac:dyDescent="0.25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234"/>
      <c r="AK243" s="234"/>
      <c r="AL243" s="234"/>
      <c r="AM243" s="234"/>
      <c r="AN243" s="201"/>
      <c r="AO243" s="234"/>
      <c r="AP243" s="234"/>
      <c r="AQ243" s="234"/>
      <c r="AR243" s="234"/>
      <c r="AS243" s="234"/>
      <c r="AT243" s="234"/>
      <c r="AU243" s="234"/>
      <c r="AV243" s="234"/>
      <c r="AW243" s="234"/>
      <c r="AX243" s="234"/>
      <c r="AY243" s="234"/>
      <c r="AZ243" s="234"/>
      <c r="BA243" s="234"/>
      <c r="BB243" s="234"/>
      <c r="BC243" s="234"/>
      <c r="BD243" s="234"/>
      <c r="BE243" s="234"/>
      <c r="BF243" s="234"/>
      <c r="BG243" s="234"/>
      <c r="BH243" s="234"/>
    </row>
    <row r="244" spans="1:60" ht="24" customHeight="1" x14ac:dyDescent="0.25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234"/>
      <c r="AK244" s="234"/>
      <c r="AL244" s="234"/>
      <c r="AM244" s="234"/>
      <c r="AN244" s="201"/>
      <c r="AO244" s="234"/>
      <c r="AP244" s="234"/>
      <c r="AQ244" s="234"/>
      <c r="AR244" s="234"/>
      <c r="AS244" s="234"/>
      <c r="AT244" s="234"/>
      <c r="AU244" s="234"/>
      <c r="AV244" s="234"/>
      <c r="AW244" s="234"/>
      <c r="AX244" s="234"/>
      <c r="AY244" s="234"/>
      <c r="AZ244" s="234"/>
      <c r="BA244" s="234"/>
      <c r="BB244" s="234"/>
      <c r="BC244" s="234"/>
      <c r="BD244" s="234"/>
      <c r="BE244" s="234"/>
      <c r="BF244" s="234"/>
      <c r="BG244" s="234"/>
      <c r="BH244" s="234"/>
    </row>
    <row r="245" spans="1:60" ht="24" customHeight="1" x14ac:dyDescent="0.2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234"/>
      <c r="AK245" s="234"/>
      <c r="AL245" s="234"/>
      <c r="AM245" s="234"/>
      <c r="AN245" s="201"/>
      <c r="AO245" s="234"/>
      <c r="AP245" s="234"/>
      <c r="AQ245" s="234"/>
      <c r="AR245" s="234"/>
      <c r="AS245" s="234"/>
      <c r="AT245" s="234"/>
      <c r="AU245" s="234"/>
      <c r="AV245" s="234"/>
      <c r="AW245" s="234"/>
      <c r="AX245" s="234"/>
      <c r="AY245" s="234"/>
      <c r="AZ245" s="234"/>
      <c r="BA245" s="234"/>
      <c r="BB245" s="234"/>
      <c r="BC245" s="234"/>
      <c r="BD245" s="234"/>
      <c r="BE245" s="234"/>
      <c r="BF245" s="234"/>
      <c r="BG245" s="234"/>
      <c r="BH245" s="234"/>
    </row>
    <row r="246" spans="1:60" ht="24" customHeight="1" x14ac:dyDescent="0.25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234"/>
      <c r="AL246" s="234"/>
      <c r="AM246" s="234"/>
      <c r="AN246" s="201"/>
      <c r="AO246" s="234"/>
      <c r="AP246" s="234"/>
      <c r="AQ246" s="234"/>
      <c r="AR246" s="234"/>
      <c r="AS246" s="234"/>
      <c r="AT246" s="234"/>
      <c r="AU246" s="234"/>
      <c r="AV246" s="234"/>
      <c r="AW246" s="234"/>
      <c r="AX246" s="234"/>
      <c r="AY246" s="234"/>
      <c r="AZ246" s="234"/>
      <c r="BA246" s="234"/>
      <c r="BB246" s="234"/>
      <c r="BC246" s="234"/>
      <c r="BD246" s="234"/>
      <c r="BE246" s="234"/>
      <c r="BF246" s="234"/>
      <c r="BG246" s="234"/>
      <c r="BH246" s="234"/>
    </row>
    <row r="247" spans="1:60" ht="24" customHeight="1" x14ac:dyDescent="0.25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234"/>
      <c r="AK247" s="234"/>
      <c r="AL247" s="234"/>
      <c r="AM247" s="234"/>
      <c r="AN247" s="201"/>
      <c r="AO247" s="234"/>
      <c r="AP247" s="234"/>
      <c r="AQ247" s="234"/>
      <c r="AR247" s="234"/>
      <c r="AS247" s="234"/>
      <c r="AT247" s="234"/>
      <c r="AU247" s="234"/>
      <c r="AV247" s="234"/>
      <c r="AW247" s="234"/>
      <c r="AX247" s="234"/>
      <c r="AY247" s="234"/>
      <c r="AZ247" s="234"/>
      <c r="BA247" s="234"/>
      <c r="BB247" s="234"/>
      <c r="BC247" s="234"/>
      <c r="BD247" s="234"/>
      <c r="BE247" s="234"/>
      <c r="BF247" s="234"/>
      <c r="BG247" s="234"/>
      <c r="BH247" s="234"/>
    </row>
    <row r="248" spans="1:60" ht="24" customHeight="1" x14ac:dyDescent="0.25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234"/>
      <c r="AK248" s="234"/>
      <c r="AL248" s="234"/>
      <c r="AM248" s="234"/>
      <c r="AN248" s="201"/>
      <c r="AO248" s="234"/>
      <c r="AP248" s="234"/>
      <c r="AQ248" s="234"/>
      <c r="AR248" s="234"/>
      <c r="AS248" s="234"/>
      <c r="AT248" s="234"/>
      <c r="AU248" s="234"/>
      <c r="AV248" s="234"/>
      <c r="AW248" s="234"/>
      <c r="AX248" s="234"/>
      <c r="AY248" s="234"/>
      <c r="AZ248" s="234"/>
      <c r="BA248" s="234"/>
      <c r="BB248" s="234"/>
      <c r="BC248" s="234"/>
      <c r="BD248" s="234"/>
      <c r="BE248" s="234"/>
      <c r="BF248" s="234"/>
      <c r="BG248" s="234"/>
      <c r="BH248" s="234"/>
    </row>
    <row r="249" spans="1:60" ht="24" customHeight="1" x14ac:dyDescent="0.25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234"/>
      <c r="AK249" s="234"/>
      <c r="AL249" s="234"/>
      <c r="AM249" s="234"/>
      <c r="AN249" s="201"/>
      <c r="AO249" s="234"/>
      <c r="AP249" s="234"/>
      <c r="AQ249" s="234"/>
      <c r="AR249" s="234"/>
      <c r="AS249" s="234"/>
      <c r="AT249" s="234"/>
      <c r="AU249" s="234"/>
      <c r="AV249" s="234"/>
      <c r="AW249" s="234"/>
      <c r="AX249" s="234"/>
      <c r="AY249" s="234"/>
      <c r="AZ249" s="234"/>
      <c r="BA249" s="234"/>
      <c r="BB249" s="234"/>
      <c r="BC249" s="234"/>
      <c r="BD249" s="234"/>
      <c r="BE249" s="234"/>
      <c r="BF249" s="234"/>
      <c r="BG249" s="234"/>
      <c r="BH249" s="234"/>
    </row>
    <row r="250" spans="1:60" ht="24" customHeight="1" x14ac:dyDescent="0.25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234"/>
      <c r="AK250" s="234"/>
      <c r="AL250" s="234"/>
      <c r="AM250" s="234"/>
      <c r="AN250" s="201"/>
      <c r="AO250" s="234"/>
      <c r="AP250" s="234"/>
      <c r="AQ250" s="234"/>
      <c r="AR250" s="234"/>
      <c r="AS250" s="234"/>
      <c r="AT250" s="234"/>
      <c r="AU250" s="234"/>
      <c r="AV250" s="234"/>
      <c r="AW250" s="234"/>
      <c r="AX250" s="234"/>
      <c r="AY250" s="234"/>
      <c r="AZ250" s="234"/>
      <c r="BA250" s="234"/>
      <c r="BB250" s="234"/>
      <c r="BC250" s="234"/>
      <c r="BD250" s="234"/>
      <c r="BE250" s="234"/>
      <c r="BF250" s="234"/>
      <c r="BG250" s="234"/>
      <c r="BH250" s="234"/>
    </row>
    <row r="251" spans="1:60" ht="24" customHeight="1" x14ac:dyDescent="0.25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234"/>
      <c r="AK251" s="234"/>
      <c r="AL251" s="234"/>
      <c r="AM251" s="234"/>
      <c r="AN251" s="201"/>
      <c r="AO251" s="234"/>
      <c r="AP251" s="234"/>
      <c r="AQ251" s="234"/>
      <c r="AR251" s="234"/>
      <c r="AS251" s="234"/>
      <c r="AT251" s="234"/>
      <c r="AU251" s="234"/>
      <c r="AV251" s="234"/>
      <c r="AW251" s="234"/>
      <c r="AX251" s="234"/>
      <c r="AY251" s="234"/>
      <c r="AZ251" s="234"/>
      <c r="BA251" s="234"/>
      <c r="BB251" s="234"/>
      <c r="BC251" s="234"/>
      <c r="BD251" s="234"/>
      <c r="BE251" s="234"/>
      <c r="BF251" s="234"/>
      <c r="BG251" s="234"/>
      <c r="BH251" s="234"/>
    </row>
    <row r="252" spans="1:60" ht="24" customHeight="1" x14ac:dyDescent="0.25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234"/>
      <c r="AJ252" s="234"/>
      <c r="AK252" s="234"/>
      <c r="AL252" s="234"/>
      <c r="AM252" s="234"/>
      <c r="AN252" s="201"/>
      <c r="AO252" s="234"/>
      <c r="AP252" s="234"/>
      <c r="AQ252" s="234"/>
      <c r="AR252" s="234"/>
      <c r="AS252" s="234"/>
      <c r="AT252" s="234"/>
      <c r="AU252" s="234"/>
      <c r="AV252" s="234"/>
      <c r="AW252" s="234"/>
      <c r="AX252" s="234"/>
      <c r="AY252" s="234"/>
      <c r="AZ252" s="234"/>
      <c r="BA252" s="234"/>
      <c r="BB252" s="234"/>
      <c r="BC252" s="234"/>
      <c r="BD252" s="234"/>
      <c r="BE252" s="234"/>
      <c r="BF252" s="234"/>
      <c r="BG252" s="234"/>
      <c r="BH252" s="234"/>
    </row>
    <row r="253" spans="1:60" ht="24" customHeight="1" x14ac:dyDescent="0.25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  <c r="AH253" s="234"/>
      <c r="AI253" s="234"/>
      <c r="AJ253" s="234"/>
      <c r="AK253" s="234"/>
      <c r="AL253" s="234"/>
      <c r="AM253" s="234"/>
      <c r="AN253" s="201"/>
      <c r="AO253" s="234"/>
      <c r="AP253" s="234"/>
      <c r="AQ253" s="234"/>
      <c r="AR253" s="234"/>
      <c r="AS253" s="234"/>
      <c r="AT253" s="234"/>
      <c r="AU253" s="234"/>
      <c r="AV253" s="234"/>
      <c r="AW253" s="234"/>
      <c r="AX253" s="234"/>
      <c r="AY253" s="234"/>
      <c r="AZ253" s="234"/>
      <c r="BA253" s="234"/>
      <c r="BB253" s="234"/>
      <c r="BC253" s="234"/>
      <c r="BD253" s="234"/>
      <c r="BE253" s="234"/>
      <c r="BF253" s="234"/>
      <c r="BG253" s="234"/>
      <c r="BH253" s="234"/>
    </row>
    <row r="254" spans="1:60" ht="24" customHeight="1" x14ac:dyDescent="0.25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  <c r="AD254" s="234"/>
      <c r="AE254" s="234"/>
      <c r="AF254" s="234"/>
      <c r="AG254" s="234"/>
      <c r="AH254" s="234"/>
      <c r="AI254" s="234"/>
      <c r="AJ254" s="234"/>
      <c r="AK254" s="234"/>
      <c r="AL254" s="234"/>
      <c r="AM254" s="234"/>
      <c r="AN254" s="201"/>
      <c r="AO254" s="234"/>
      <c r="AP254" s="234"/>
      <c r="AQ254" s="234"/>
      <c r="AR254" s="234"/>
      <c r="AS254" s="234"/>
      <c r="AT254" s="234"/>
      <c r="AU254" s="234"/>
      <c r="AV254" s="234"/>
      <c r="AW254" s="234"/>
      <c r="AX254" s="234"/>
      <c r="AY254" s="234"/>
      <c r="AZ254" s="234"/>
      <c r="BA254" s="234"/>
      <c r="BB254" s="234"/>
      <c r="BC254" s="234"/>
      <c r="BD254" s="234"/>
      <c r="BE254" s="234"/>
      <c r="BF254" s="234"/>
      <c r="BG254" s="234"/>
      <c r="BH254" s="234"/>
    </row>
    <row r="255" spans="1:60" ht="24" customHeight="1" x14ac:dyDescent="0.2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  <c r="AH255" s="234"/>
      <c r="AI255" s="234"/>
      <c r="AJ255" s="234"/>
      <c r="AK255" s="234"/>
      <c r="AL255" s="234"/>
      <c r="AM255" s="234"/>
      <c r="AN255" s="201"/>
      <c r="AO255" s="234"/>
      <c r="AP255" s="234"/>
      <c r="AQ255" s="234"/>
      <c r="AR255" s="234"/>
      <c r="AS255" s="234"/>
      <c r="AT255" s="234"/>
      <c r="AU255" s="234"/>
      <c r="AV255" s="234"/>
      <c r="AW255" s="234"/>
      <c r="AX255" s="234"/>
      <c r="AY255" s="234"/>
      <c r="AZ255" s="234"/>
      <c r="BA255" s="234"/>
      <c r="BB255" s="234"/>
      <c r="BC255" s="234"/>
      <c r="BD255" s="234"/>
      <c r="BE255" s="234"/>
      <c r="BF255" s="234"/>
      <c r="BG255" s="234"/>
      <c r="BH255" s="234"/>
    </row>
    <row r="256" spans="1:60" ht="24" customHeight="1" x14ac:dyDescent="0.25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  <c r="AH256" s="234"/>
      <c r="AI256" s="234"/>
      <c r="AJ256" s="234"/>
      <c r="AK256" s="234"/>
      <c r="AL256" s="234"/>
      <c r="AM256" s="234"/>
      <c r="AN256" s="201"/>
      <c r="AO256" s="234"/>
      <c r="AP256" s="234"/>
      <c r="AQ256" s="234"/>
      <c r="AR256" s="234"/>
      <c r="AS256" s="234"/>
      <c r="AT256" s="234"/>
      <c r="AU256" s="234"/>
      <c r="AV256" s="234"/>
      <c r="AW256" s="234"/>
      <c r="AX256" s="234"/>
      <c r="AY256" s="234"/>
      <c r="AZ256" s="234"/>
      <c r="BA256" s="234"/>
      <c r="BB256" s="234"/>
      <c r="BC256" s="234"/>
      <c r="BD256" s="234"/>
      <c r="BE256" s="234"/>
      <c r="BF256" s="234"/>
      <c r="BG256" s="234"/>
      <c r="BH256" s="234"/>
    </row>
    <row r="257" spans="1:60" ht="24" customHeight="1" x14ac:dyDescent="0.25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  <c r="AH257" s="234"/>
      <c r="AI257" s="234"/>
      <c r="AJ257" s="234"/>
      <c r="AK257" s="234"/>
      <c r="AL257" s="234"/>
      <c r="AM257" s="234"/>
      <c r="AN257" s="201"/>
      <c r="AO257" s="234"/>
      <c r="AP257" s="234"/>
      <c r="AQ257" s="234"/>
      <c r="AR257" s="234"/>
      <c r="AS257" s="234"/>
      <c r="AT257" s="234"/>
      <c r="AU257" s="234"/>
      <c r="AV257" s="234"/>
      <c r="AW257" s="234"/>
      <c r="AX257" s="234"/>
      <c r="AY257" s="234"/>
      <c r="AZ257" s="234"/>
      <c r="BA257" s="234"/>
      <c r="BB257" s="234"/>
      <c r="BC257" s="234"/>
      <c r="BD257" s="234"/>
      <c r="BE257" s="234"/>
      <c r="BF257" s="234"/>
      <c r="BG257" s="234"/>
      <c r="BH257" s="234"/>
    </row>
    <row r="258" spans="1:60" ht="24" customHeight="1" x14ac:dyDescent="0.25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  <c r="AH258" s="234"/>
      <c r="AI258" s="234"/>
      <c r="AJ258" s="234"/>
      <c r="AK258" s="234"/>
      <c r="AL258" s="234"/>
      <c r="AM258" s="234"/>
      <c r="AN258" s="201"/>
      <c r="AO258" s="234"/>
      <c r="AP258" s="234"/>
      <c r="AQ258" s="234"/>
      <c r="AR258" s="234"/>
      <c r="AS258" s="234"/>
      <c r="AT258" s="234"/>
      <c r="AU258" s="234"/>
      <c r="AV258" s="234"/>
      <c r="AW258" s="234"/>
      <c r="AX258" s="234"/>
      <c r="AY258" s="234"/>
      <c r="AZ258" s="234"/>
      <c r="BA258" s="234"/>
      <c r="BB258" s="234"/>
      <c r="BC258" s="234"/>
      <c r="BD258" s="234"/>
      <c r="BE258" s="234"/>
      <c r="BF258" s="234"/>
      <c r="BG258" s="234"/>
      <c r="BH258" s="234"/>
    </row>
    <row r="259" spans="1:60" ht="24" customHeight="1" x14ac:dyDescent="0.25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  <c r="AH259" s="234"/>
      <c r="AI259" s="234"/>
      <c r="AJ259" s="234"/>
      <c r="AK259" s="234"/>
      <c r="AL259" s="234"/>
      <c r="AM259" s="234"/>
      <c r="AN259" s="201"/>
      <c r="AO259" s="234"/>
      <c r="AP259" s="234"/>
      <c r="AQ259" s="234"/>
      <c r="AR259" s="234"/>
      <c r="AS259" s="234"/>
      <c r="AT259" s="234"/>
      <c r="AU259" s="234"/>
      <c r="AV259" s="234"/>
      <c r="AW259" s="234"/>
      <c r="AX259" s="234"/>
      <c r="AY259" s="234"/>
      <c r="AZ259" s="234"/>
      <c r="BA259" s="234"/>
      <c r="BB259" s="234"/>
      <c r="BC259" s="234"/>
      <c r="BD259" s="234"/>
      <c r="BE259" s="234"/>
      <c r="BF259" s="234"/>
      <c r="BG259" s="234"/>
      <c r="BH259" s="234"/>
    </row>
    <row r="260" spans="1:60" ht="24" customHeight="1" x14ac:dyDescent="0.25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  <c r="AH260" s="234"/>
      <c r="AI260" s="234"/>
      <c r="AJ260" s="234"/>
      <c r="AK260" s="234"/>
      <c r="AL260" s="234"/>
      <c r="AM260" s="234"/>
      <c r="AN260" s="201"/>
      <c r="AO260" s="234"/>
      <c r="AP260" s="234"/>
      <c r="AQ260" s="234"/>
      <c r="AR260" s="234"/>
      <c r="AS260" s="234"/>
      <c r="AT260" s="234"/>
      <c r="AU260" s="234"/>
      <c r="AV260" s="234"/>
      <c r="AW260" s="234"/>
      <c r="AX260" s="234"/>
      <c r="AY260" s="234"/>
      <c r="AZ260" s="234"/>
      <c r="BA260" s="234"/>
      <c r="BB260" s="234"/>
      <c r="BC260" s="234"/>
      <c r="BD260" s="234"/>
      <c r="BE260" s="234"/>
      <c r="BF260" s="234"/>
      <c r="BG260" s="234"/>
      <c r="BH260" s="234"/>
    </row>
    <row r="261" spans="1:60" ht="24" customHeight="1" x14ac:dyDescent="0.25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  <c r="AH261" s="234"/>
      <c r="AI261" s="234"/>
      <c r="AJ261" s="234"/>
      <c r="AK261" s="234"/>
      <c r="AL261" s="234"/>
      <c r="AM261" s="234"/>
      <c r="AN261" s="201"/>
      <c r="AO261" s="234"/>
      <c r="AP261" s="234"/>
      <c r="AQ261" s="234"/>
      <c r="AR261" s="234"/>
      <c r="AS261" s="234"/>
      <c r="AT261" s="234"/>
      <c r="AU261" s="234"/>
      <c r="AV261" s="234"/>
      <c r="AW261" s="234"/>
      <c r="AX261" s="234"/>
      <c r="AY261" s="234"/>
      <c r="AZ261" s="234"/>
      <c r="BA261" s="234"/>
      <c r="BB261" s="234"/>
      <c r="BC261" s="234"/>
      <c r="BD261" s="234"/>
      <c r="BE261" s="234"/>
      <c r="BF261" s="234"/>
      <c r="BG261" s="234"/>
      <c r="BH261" s="234"/>
    </row>
    <row r="262" spans="1:60" ht="24" customHeight="1" x14ac:dyDescent="0.25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4"/>
      <c r="AI262" s="234"/>
      <c r="AJ262" s="234"/>
      <c r="AK262" s="234"/>
      <c r="AL262" s="234"/>
      <c r="AM262" s="234"/>
      <c r="AN262" s="201"/>
      <c r="AO262" s="234"/>
      <c r="AP262" s="234"/>
      <c r="AQ262" s="234"/>
      <c r="AR262" s="234"/>
      <c r="AS262" s="234"/>
      <c r="AT262" s="234"/>
      <c r="AU262" s="234"/>
      <c r="AV262" s="234"/>
      <c r="AW262" s="234"/>
      <c r="AX262" s="234"/>
      <c r="AY262" s="234"/>
      <c r="AZ262" s="234"/>
      <c r="BA262" s="234"/>
      <c r="BB262" s="234"/>
      <c r="BC262" s="234"/>
      <c r="BD262" s="234"/>
      <c r="BE262" s="234"/>
      <c r="BF262" s="234"/>
      <c r="BG262" s="234"/>
      <c r="BH262" s="234"/>
    </row>
    <row r="263" spans="1:60" ht="24" customHeight="1" x14ac:dyDescent="0.25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4"/>
      <c r="AI263" s="234"/>
      <c r="AJ263" s="234"/>
      <c r="AK263" s="234"/>
      <c r="AL263" s="234"/>
      <c r="AM263" s="234"/>
      <c r="AN263" s="201"/>
      <c r="AO263" s="234"/>
      <c r="AP263" s="234"/>
      <c r="AQ263" s="234"/>
      <c r="AR263" s="234"/>
      <c r="AS263" s="234"/>
      <c r="AT263" s="234"/>
      <c r="AU263" s="234"/>
      <c r="AV263" s="234"/>
      <c r="AW263" s="234"/>
      <c r="AX263" s="234"/>
      <c r="AY263" s="234"/>
      <c r="AZ263" s="234"/>
      <c r="BA263" s="234"/>
      <c r="BB263" s="234"/>
      <c r="BC263" s="234"/>
      <c r="BD263" s="234"/>
      <c r="BE263" s="234"/>
      <c r="BF263" s="234"/>
      <c r="BG263" s="234"/>
      <c r="BH263" s="234"/>
    </row>
    <row r="264" spans="1:60" ht="24" customHeight="1" x14ac:dyDescent="0.25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4"/>
      <c r="AI264" s="234"/>
      <c r="AJ264" s="234"/>
      <c r="AK264" s="234"/>
      <c r="AL264" s="234"/>
      <c r="AM264" s="234"/>
      <c r="AN264" s="201"/>
      <c r="AO264" s="234"/>
      <c r="AP264" s="234"/>
      <c r="AQ264" s="234"/>
      <c r="AR264" s="234"/>
      <c r="AS264" s="234"/>
      <c r="AT264" s="234"/>
      <c r="AU264" s="234"/>
      <c r="AV264" s="234"/>
      <c r="AW264" s="234"/>
      <c r="AX264" s="234"/>
      <c r="AY264" s="234"/>
      <c r="AZ264" s="234"/>
      <c r="BA264" s="234"/>
      <c r="BB264" s="234"/>
      <c r="BC264" s="234"/>
      <c r="BD264" s="234"/>
      <c r="BE264" s="234"/>
      <c r="BF264" s="234"/>
      <c r="BG264" s="234"/>
      <c r="BH264" s="234"/>
    </row>
    <row r="265" spans="1:60" ht="24" customHeight="1" x14ac:dyDescent="0.2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4"/>
      <c r="AI265" s="234"/>
      <c r="AJ265" s="234"/>
      <c r="AK265" s="234"/>
      <c r="AL265" s="234"/>
      <c r="AM265" s="234"/>
      <c r="AN265" s="201"/>
      <c r="AO265" s="234"/>
      <c r="AP265" s="234"/>
      <c r="AQ265" s="234"/>
      <c r="AR265" s="234"/>
      <c r="AS265" s="234"/>
      <c r="AT265" s="234"/>
      <c r="AU265" s="234"/>
      <c r="AV265" s="234"/>
      <c r="AW265" s="234"/>
      <c r="AX265" s="234"/>
      <c r="AY265" s="234"/>
      <c r="AZ265" s="234"/>
      <c r="BA265" s="234"/>
      <c r="BB265" s="234"/>
      <c r="BC265" s="234"/>
      <c r="BD265" s="234"/>
      <c r="BE265" s="234"/>
      <c r="BF265" s="234"/>
      <c r="BG265" s="234"/>
      <c r="BH265" s="234"/>
    </row>
    <row r="266" spans="1:60" ht="24" customHeight="1" x14ac:dyDescent="0.25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4"/>
      <c r="AI266" s="234"/>
      <c r="AJ266" s="234"/>
      <c r="AK266" s="234"/>
      <c r="AL266" s="234"/>
      <c r="AM266" s="234"/>
      <c r="AN266" s="201"/>
      <c r="AO266" s="234"/>
      <c r="AP266" s="234"/>
      <c r="AQ266" s="234"/>
      <c r="AR266" s="234"/>
      <c r="AS266" s="234"/>
      <c r="AT266" s="234"/>
      <c r="AU266" s="234"/>
      <c r="AV266" s="234"/>
      <c r="AW266" s="234"/>
      <c r="AX266" s="234"/>
      <c r="AY266" s="234"/>
      <c r="AZ266" s="234"/>
      <c r="BA266" s="234"/>
      <c r="BB266" s="234"/>
      <c r="BC266" s="234"/>
      <c r="BD266" s="234"/>
      <c r="BE266" s="234"/>
      <c r="BF266" s="234"/>
      <c r="BG266" s="234"/>
      <c r="BH266" s="234"/>
    </row>
    <row r="267" spans="1:60" ht="24" customHeight="1" x14ac:dyDescent="0.25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4"/>
      <c r="AI267" s="234"/>
      <c r="AJ267" s="234"/>
      <c r="AK267" s="234"/>
      <c r="AL267" s="234"/>
      <c r="AM267" s="234"/>
      <c r="AN267" s="201"/>
      <c r="AO267" s="234"/>
      <c r="AP267" s="234"/>
      <c r="AQ267" s="234"/>
      <c r="AR267" s="234"/>
      <c r="AS267" s="234"/>
      <c r="AT267" s="234"/>
      <c r="AU267" s="234"/>
      <c r="AV267" s="234"/>
      <c r="AW267" s="234"/>
      <c r="AX267" s="234"/>
      <c r="AY267" s="234"/>
      <c r="AZ267" s="234"/>
      <c r="BA267" s="234"/>
      <c r="BB267" s="234"/>
      <c r="BC267" s="234"/>
      <c r="BD267" s="234"/>
      <c r="BE267" s="234"/>
      <c r="BF267" s="234"/>
      <c r="BG267" s="234"/>
      <c r="BH267" s="234"/>
    </row>
    <row r="268" spans="1:60" ht="24" customHeight="1" x14ac:dyDescent="0.25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4"/>
      <c r="AI268" s="234"/>
      <c r="AJ268" s="234"/>
      <c r="AK268" s="234"/>
      <c r="AL268" s="234"/>
      <c r="AM268" s="234"/>
      <c r="AN268" s="201"/>
      <c r="AO268" s="234"/>
      <c r="AP268" s="234"/>
      <c r="AQ268" s="234"/>
      <c r="AR268" s="234"/>
      <c r="AS268" s="234"/>
      <c r="AT268" s="234"/>
      <c r="AU268" s="234"/>
      <c r="AV268" s="234"/>
      <c r="AW268" s="234"/>
      <c r="AX268" s="234"/>
      <c r="AY268" s="234"/>
      <c r="AZ268" s="234"/>
      <c r="BA268" s="234"/>
      <c r="BB268" s="234"/>
      <c r="BC268" s="234"/>
      <c r="BD268" s="234"/>
      <c r="BE268" s="234"/>
      <c r="BF268" s="234"/>
      <c r="BG268" s="234"/>
      <c r="BH268" s="234"/>
    </row>
    <row r="269" spans="1:60" ht="24" customHeight="1" x14ac:dyDescent="0.25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4"/>
      <c r="AI269" s="234"/>
      <c r="AJ269" s="234"/>
      <c r="AK269" s="234"/>
      <c r="AL269" s="234"/>
      <c r="AM269" s="234"/>
      <c r="AN269" s="201"/>
      <c r="AO269" s="234"/>
      <c r="AP269" s="234"/>
      <c r="AQ269" s="234"/>
      <c r="AR269" s="234"/>
      <c r="AS269" s="234"/>
      <c r="AT269" s="234"/>
      <c r="AU269" s="234"/>
      <c r="AV269" s="234"/>
      <c r="AW269" s="234"/>
      <c r="AX269" s="234"/>
      <c r="AY269" s="234"/>
      <c r="AZ269" s="234"/>
      <c r="BA269" s="234"/>
      <c r="BB269" s="234"/>
      <c r="BC269" s="234"/>
      <c r="BD269" s="234"/>
      <c r="BE269" s="234"/>
      <c r="BF269" s="234"/>
      <c r="BG269" s="234"/>
      <c r="BH269" s="234"/>
    </row>
    <row r="270" spans="1:60" ht="24" customHeight="1" x14ac:dyDescent="0.25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4"/>
      <c r="AI270" s="234"/>
      <c r="AJ270" s="234"/>
      <c r="AK270" s="234"/>
      <c r="AL270" s="234"/>
      <c r="AM270" s="234"/>
      <c r="AN270" s="201"/>
      <c r="AO270" s="234"/>
      <c r="AP270" s="234"/>
      <c r="AQ270" s="234"/>
      <c r="AR270" s="234"/>
      <c r="AS270" s="234"/>
      <c r="AT270" s="234"/>
      <c r="AU270" s="234"/>
      <c r="AV270" s="234"/>
      <c r="AW270" s="234"/>
      <c r="AX270" s="234"/>
      <c r="AY270" s="234"/>
      <c r="AZ270" s="234"/>
      <c r="BA270" s="234"/>
      <c r="BB270" s="234"/>
      <c r="BC270" s="234"/>
      <c r="BD270" s="234"/>
      <c r="BE270" s="234"/>
      <c r="BF270" s="234"/>
      <c r="BG270" s="234"/>
      <c r="BH270" s="234"/>
    </row>
    <row r="271" spans="1:60" ht="24" customHeight="1" x14ac:dyDescent="0.25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  <c r="AC271" s="234"/>
      <c r="AD271" s="234"/>
      <c r="AE271" s="234"/>
      <c r="AF271" s="234"/>
      <c r="AG271" s="234"/>
      <c r="AH271" s="234"/>
      <c r="AI271" s="234"/>
      <c r="AJ271" s="234"/>
      <c r="AK271" s="234"/>
      <c r="AL271" s="234"/>
      <c r="AM271" s="234"/>
      <c r="AN271" s="201"/>
      <c r="AO271" s="234"/>
      <c r="AP271" s="234"/>
      <c r="AQ271" s="234"/>
      <c r="AR271" s="234"/>
      <c r="AS271" s="234"/>
      <c r="AT271" s="234"/>
      <c r="AU271" s="234"/>
      <c r="AV271" s="234"/>
      <c r="AW271" s="234"/>
      <c r="AX271" s="234"/>
      <c r="AY271" s="234"/>
      <c r="AZ271" s="234"/>
      <c r="BA271" s="234"/>
      <c r="BB271" s="234"/>
      <c r="BC271" s="234"/>
      <c r="BD271" s="234"/>
      <c r="BE271" s="234"/>
      <c r="BF271" s="234"/>
      <c r="BG271" s="234"/>
      <c r="BH271" s="234"/>
    </row>
    <row r="272" spans="1:60" ht="24" customHeight="1" x14ac:dyDescent="0.25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234"/>
      <c r="AJ272" s="234"/>
      <c r="AK272" s="234"/>
      <c r="AL272" s="234"/>
      <c r="AM272" s="234"/>
      <c r="AN272" s="201"/>
      <c r="AO272" s="234"/>
      <c r="AP272" s="234"/>
      <c r="AQ272" s="234"/>
      <c r="AR272" s="234"/>
      <c r="AS272" s="234"/>
      <c r="AT272" s="234"/>
      <c r="AU272" s="234"/>
      <c r="AV272" s="234"/>
      <c r="AW272" s="234"/>
      <c r="AX272" s="234"/>
      <c r="AY272" s="234"/>
      <c r="AZ272" s="234"/>
      <c r="BA272" s="234"/>
      <c r="BB272" s="234"/>
      <c r="BC272" s="234"/>
      <c r="BD272" s="234"/>
      <c r="BE272" s="234"/>
      <c r="BF272" s="234"/>
      <c r="BG272" s="234"/>
      <c r="BH272" s="234"/>
    </row>
    <row r="273" spans="1:60" ht="24" customHeight="1" x14ac:dyDescent="0.25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234"/>
      <c r="AJ273" s="234"/>
      <c r="AK273" s="234"/>
      <c r="AL273" s="234"/>
      <c r="AM273" s="234"/>
      <c r="AN273" s="201"/>
      <c r="AO273" s="234"/>
      <c r="AP273" s="234"/>
      <c r="AQ273" s="234"/>
      <c r="AR273" s="234"/>
      <c r="AS273" s="234"/>
      <c r="AT273" s="234"/>
      <c r="AU273" s="234"/>
      <c r="AV273" s="234"/>
      <c r="AW273" s="234"/>
      <c r="AX273" s="234"/>
      <c r="AY273" s="234"/>
      <c r="AZ273" s="234"/>
      <c r="BA273" s="234"/>
      <c r="BB273" s="234"/>
      <c r="BC273" s="234"/>
      <c r="BD273" s="234"/>
      <c r="BE273" s="234"/>
      <c r="BF273" s="234"/>
      <c r="BG273" s="234"/>
      <c r="BH273" s="234"/>
    </row>
    <row r="274" spans="1:60" ht="24" customHeight="1" x14ac:dyDescent="0.25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234"/>
      <c r="AJ274" s="234"/>
      <c r="AK274" s="234"/>
      <c r="AL274" s="234"/>
      <c r="AM274" s="234"/>
      <c r="AN274" s="201"/>
      <c r="AO274" s="234"/>
      <c r="AP274" s="234"/>
      <c r="AQ274" s="234"/>
      <c r="AR274" s="234"/>
      <c r="AS274" s="234"/>
      <c r="AT274" s="234"/>
      <c r="AU274" s="234"/>
      <c r="AV274" s="234"/>
      <c r="AW274" s="234"/>
      <c r="AX274" s="234"/>
      <c r="AY274" s="234"/>
      <c r="AZ274" s="234"/>
      <c r="BA274" s="234"/>
      <c r="BB274" s="234"/>
      <c r="BC274" s="234"/>
      <c r="BD274" s="234"/>
      <c r="BE274" s="234"/>
      <c r="BF274" s="234"/>
      <c r="BG274" s="234"/>
      <c r="BH274" s="234"/>
    </row>
    <row r="275" spans="1:60" ht="24" customHeight="1" x14ac:dyDescent="0.2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4"/>
      <c r="AI275" s="234"/>
      <c r="AJ275" s="234"/>
      <c r="AK275" s="234"/>
      <c r="AL275" s="234"/>
      <c r="AM275" s="234"/>
      <c r="AN275" s="201"/>
      <c r="AO275" s="234"/>
      <c r="AP275" s="234"/>
      <c r="AQ275" s="234"/>
      <c r="AR275" s="234"/>
      <c r="AS275" s="234"/>
      <c r="AT275" s="234"/>
      <c r="AU275" s="234"/>
      <c r="AV275" s="234"/>
      <c r="AW275" s="234"/>
      <c r="AX275" s="234"/>
      <c r="AY275" s="234"/>
      <c r="AZ275" s="234"/>
      <c r="BA275" s="234"/>
      <c r="BB275" s="234"/>
      <c r="BC275" s="234"/>
      <c r="BD275" s="234"/>
      <c r="BE275" s="234"/>
      <c r="BF275" s="234"/>
      <c r="BG275" s="234"/>
      <c r="BH275" s="234"/>
    </row>
    <row r="276" spans="1:60" ht="24" customHeight="1" x14ac:dyDescent="0.25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234"/>
      <c r="AJ276" s="234"/>
      <c r="AK276" s="234"/>
      <c r="AL276" s="234"/>
      <c r="AM276" s="234"/>
      <c r="AN276" s="201"/>
      <c r="AO276" s="234"/>
      <c r="AP276" s="234"/>
      <c r="AQ276" s="234"/>
      <c r="AR276" s="234"/>
      <c r="AS276" s="234"/>
      <c r="AT276" s="234"/>
      <c r="AU276" s="234"/>
      <c r="AV276" s="234"/>
      <c r="AW276" s="234"/>
      <c r="AX276" s="234"/>
      <c r="AY276" s="234"/>
      <c r="AZ276" s="234"/>
      <c r="BA276" s="234"/>
      <c r="BB276" s="234"/>
      <c r="BC276" s="234"/>
      <c r="BD276" s="234"/>
      <c r="BE276" s="234"/>
      <c r="BF276" s="234"/>
      <c r="BG276" s="234"/>
      <c r="BH276" s="234"/>
    </row>
    <row r="277" spans="1:60" ht="24" customHeight="1" x14ac:dyDescent="0.25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234"/>
      <c r="AK277" s="234"/>
      <c r="AL277" s="234"/>
      <c r="AM277" s="234"/>
      <c r="AN277" s="201"/>
      <c r="AO277" s="234"/>
      <c r="AP277" s="234"/>
      <c r="AQ277" s="234"/>
      <c r="AR277" s="234"/>
      <c r="AS277" s="234"/>
      <c r="AT277" s="234"/>
      <c r="AU277" s="234"/>
      <c r="AV277" s="234"/>
      <c r="AW277" s="234"/>
      <c r="AX277" s="234"/>
      <c r="AY277" s="234"/>
      <c r="AZ277" s="234"/>
      <c r="BA277" s="234"/>
      <c r="BB277" s="234"/>
      <c r="BC277" s="234"/>
      <c r="BD277" s="234"/>
      <c r="BE277" s="234"/>
      <c r="BF277" s="234"/>
      <c r="BG277" s="234"/>
      <c r="BH277" s="234"/>
    </row>
    <row r="278" spans="1:60" ht="24" customHeight="1" x14ac:dyDescent="0.25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234"/>
      <c r="AK278" s="234"/>
      <c r="AL278" s="234"/>
      <c r="AM278" s="234"/>
      <c r="AN278" s="201"/>
      <c r="AO278" s="234"/>
      <c r="AP278" s="234"/>
      <c r="AQ278" s="234"/>
      <c r="AR278" s="234"/>
      <c r="AS278" s="234"/>
      <c r="AT278" s="234"/>
      <c r="AU278" s="234"/>
      <c r="AV278" s="234"/>
      <c r="AW278" s="234"/>
      <c r="AX278" s="234"/>
      <c r="AY278" s="234"/>
      <c r="AZ278" s="234"/>
      <c r="BA278" s="234"/>
      <c r="BB278" s="234"/>
      <c r="BC278" s="234"/>
      <c r="BD278" s="234"/>
      <c r="BE278" s="234"/>
      <c r="BF278" s="234"/>
      <c r="BG278" s="234"/>
      <c r="BH278" s="234"/>
    </row>
    <row r="279" spans="1:60" ht="24" customHeight="1" x14ac:dyDescent="0.25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234"/>
      <c r="AK279" s="234"/>
      <c r="AL279" s="234"/>
      <c r="AM279" s="234"/>
      <c r="AN279" s="201"/>
      <c r="AO279" s="234"/>
      <c r="AP279" s="234"/>
      <c r="AQ279" s="234"/>
      <c r="AR279" s="234"/>
      <c r="AS279" s="234"/>
      <c r="AT279" s="234"/>
      <c r="AU279" s="234"/>
      <c r="AV279" s="234"/>
      <c r="AW279" s="234"/>
      <c r="AX279" s="234"/>
      <c r="AY279" s="234"/>
      <c r="AZ279" s="234"/>
      <c r="BA279" s="234"/>
      <c r="BB279" s="234"/>
      <c r="BC279" s="234"/>
      <c r="BD279" s="234"/>
      <c r="BE279" s="234"/>
      <c r="BF279" s="234"/>
      <c r="BG279" s="234"/>
      <c r="BH279" s="234"/>
    </row>
    <row r="280" spans="1:60" ht="24" customHeight="1" x14ac:dyDescent="0.25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234"/>
      <c r="AK280" s="234"/>
      <c r="AL280" s="234"/>
      <c r="AM280" s="234"/>
      <c r="AN280" s="201"/>
      <c r="AO280" s="234"/>
      <c r="AP280" s="234"/>
      <c r="AQ280" s="234"/>
      <c r="AR280" s="234"/>
      <c r="AS280" s="234"/>
      <c r="AT280" s="234"/>
      <c r="AU280" s="234"/>
      <c r="AV280" s="234"/>
      <c r="AW280" s="234"/>
      <c r="AX280" s="234"/>
      <c r="AY280" s="234"/>
      <c r="AZ280" s="234"/>
      <c r="BA280" s="234"/>
      <c r="BB280" s="234"/>
      <c r="BC280" s="234"/>
      <c r="BD280" s="234"/>
      <c r="BE280" s="234"/>
      <c r="BF280" s="234"/>
      <c r="BG280" s="234"/>
      <c r="BH280" s="234"/>
    </row>
    <row r="281" spans="1:60" ht="24" customHeight="1" x14ac:dyDescent="0.25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234"/>
      <c r="AK281" s="234"/>
      <c r="AL281" s="234"/>
      <c r="AM281" s="234"/>
      <c r="AN281" s="201"/>
      <c r="AO281" s="234"/>
      <c r="AP281" s="234"/>
      <c r="AQ281" s="234"/>
      <c r="AR281" s="234"/>
      <c r="AS281" s="234"/>
      <c r="AT281" s="234"/>
      <c r="AU281" s="234"/>
      <c r="AV281" s="234"/>
      <c r="AW281" s="234"/>
      <c r="AX281" s="234"/>
      <c r="AY281" s="234"/>
      <c r="AZ281" s="234"/>
      <c r="BA281" s="234"/>
      <c r="BB281" s="234"/>
      <c r="BC281" s="234"/>
      <c r="BD281" s="234"/>
      <c r="BE281" s="234"/>
      <c r="BF281" s="234"/>
      <c r="BG281" s="234"/>
      <c r="BH281" s="234"/>
    </row>
    <row r="282" spans="1:60" ht="24" customHeight="1" x14ac:dyDescent="0.25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234"/>
      <c r="AK282" s="234"/>
      <c r="AL282" s="234"/>
      <c r="AM282" s="234"/>
      <c r="AN282" s="201"/>
      <c r="AO282" s="234"/>
      <c r="AP282" s="234"/>
      <c r="AQ282" s="234"/>
      <c r="AR282" s="234"/>
      <c r="AS282" s="234"/>
      <c r="AT282" s="234"/>
      <c r="AU282" s="234"/>
      <c r="AV282" s="234"/>
      <c r="AW282" s="234"/>
      <c r="AX282" s="234"/>
      <c r="AY282" s="234"/>
      <c r="AZ282" s="234"/>
      <c r="BA282" s="234"/>
      <c r="BB282" s="234"/>
      <c r="BC282" s="234"/>
      <c r="BD282" s="234"/>
      <c r="BE282" s="234"/>
      <c r="BF282" s="234"/>
      <c r="BG282" s="234"/>
      <c r="BH282" s="234"/>
    </row>
    <row r="283" spans="1:60" ht="24" customHeight="1" x14ac:dyDescent="0.25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234"/>
      <c r="AK283" s="234"/>
      <c r="AL283" s="234"/>
      <c r="AM283" s="234"/>
      <c r="AN283" s="201"/>
      <c r="AO283" s="234"/>
      <c r="AP283" s="234"/>
      <c r="AQ283" s="234"/>
      <c r="AR283" s="234"/>
      <c r="AS283" s="234"/>
      <c r="AT283" s="234"/>
      <c r="AU283" s="234"/>
      <c r="AV283" s="234"/>
      <c r="AW283" s="234"/>
      <c r="AX283" s="234"/>
      <c r="AY283" s="234"/>
      <c r="AZ283" s="234"/>
      <c r="BA283" s="234"/>
      <c r="BB283" s="234"/>
      <c r="BC283" s="234"/>
      <c r="BD283" s="234"/>
      <c r="BE283" s="234"/>
      <c r="BF283" s="234"/>
      <c r="BG283" s="234"/>
      <c r="BH283" s="234"/>
    </row>
    <row r="284" spans="1:60" ht="24" customHeight="1" x14ac:dyDescent="0.25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234"/>
      <c r="AK284" s="234"/>
      <c r="AL284" s="234"/>
      <c r="AM284" s="234"/>
      <c r="AN284" s="201"/>
      <c r="AO284" s="234"/>
      <c r="AP284" s="234"/>
      <c r="AQ284" s="234"/>
      <c r="AR284" s="234"/>
      <c r="AS284" s="234"/>
      <c r="AT284" s="234"/>
      <c r="AU284" s="234"/>
      <c r="AV284" s="234"/>
      <c r="AW284" s="234"/>
      <c r="AX284" s="234"/>
      <c r="AY284" s="234"/>
      <c r="AZ284" s="234"/>
      <c r="BA284" s="234"/>
      <c r="BB284" s="234"/>
      <c r="BC284" s="234"/>
      <c r="BD284" s="234"/>
      <c r="BE284" s="234"/>
      <c r="BF284" s="234"/>
      <c r="BG284" s="234"/>
      <c r="BH284" s="234"/>
    </row>
    <row r="285" spans="1:60" ht="24" customHeight="1" x14ac:dyDescent="0.2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234"/>
      <c r="AK285" s="234"/>
      <c r="AL285" s="234"/>
      <c r="AM285" s="234"/>
      <c r="AN285" s="201"/>
      <c r="AO285" s="234"/>
      <c r="AP285" s="234"/>
      <c r="AQ285" s="234"/>
      <c r="AR285" s="234"/>
      <c r="AS285" s="234"/>
      <c r="AT285" s="234"/>
      <c r="AU285" s="234"/>
      <c r="AV285" s="234"/>
      <c r="AW285" s="234"/>
      <c r="AX285" s="234"/>
      <c r="AY285" s="234"/>
      <c r="AZ285" s="234"/>
      <c r="BA285" s="234"/>
      <c r="BB285" s="234"/>
      <c r="BC285" s="234"/>
      <c r="BD285" s="234"/>
      <c r="BE285" s="234"/>
      <c r="BF285" s="234"/>
      <c r="BG285" s="234"/>
      <c r="BH285" s="234"/>
    </row>
    <row r="286" spans="1:60" ht="24" customHeight="1" x14ac:dyDescent="0.25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234"/>
      <c r="AK286" s="234"/>
      <c r="AL286" s="234"/>
      <c r="AM286" s="234"/>
      <c r="AN286" s="201"/>
      <c r="AO286" s="234"/>
      <c r="AP286" s="234"/>
      <c r="AQ286" s="234"/>
      <c r="AR286" s="234"/>
      <c r="AS286" s="234"/>
      <c r="AT286" s="234"/>
      <c r="AU286" s="234"/>
      <c r="AV286" s="234"/>
      <c r="AW286" s="234"/>
      <c r="AX286" s="234"/>
      <c r="AY286" s="234"/>
      <c r="AZ286" s="234"/>
      <c r="BA286" s="234"/>
      <c r="BB286" s="234"/>
      <c r="BC286" s="234"/>
      <c r="BD286" s="234"/>
      <c r="BE286" s="234"/>
      <c r="BF286" s="234"/>
      <c r="BG286" s="234"/>
      <c r="BH286" s="234"/>
    </row>
    <row r="287" spans="1:60" ht="24" customHeight="1" x14ac:dyDescent="0.25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234"/>
      <c r="AK287" s="234"/>
      <c r="AL287" s="234"/>
      <c r="AM287" s="234"/>
      <c r="AN287" s="201"/>
      <c r="AO287" s="234"/>
      <c r="AP287" s="234"/>
      <c r="AQ287" s="234"/>
      <c r="AR287" s="234"/>
      <c r="AS287" s="234"/>
      <c r="AT287" s="234"/>
      <c r="AU287" s="234"/>
      <c r="AV287" s="234"/>
      <c r="AW287" s="234"/>
      <c r="AX287" s="234"/>
      <c r="AY287" s="234"/>
      <c r="AZ287" s="234"/>
      <c r="BA287" s="234"/>
      <c r="BB287" s="234"/>
      <c r="BC287" s="234"/>
      <c r="BD287" s="234"/>
      <c r="BE287" s="234"/>
      <c r="BF287" s="234"/>
      <c r="BG287" s="234"/>
      <c r="BH287" s="234"/>
    </row>
    <row r="288" spans="1:60" ht="24" customHeight="1" x14ac:dyDescent="0.25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234"/>
      <c r="AK288" s="234"/>
      <c r="AL288" s="234"/>
      <c r="AM288" s="234"/>
      <c r="AN288" s="201"/>
      <c r="AO288" s="234"/>
      <c r="AP288" s="234"/>
      <c r="AQ288" s="234"/>
      <c r="AR288" s="234"/>
      <c r="AS288" s="234"/>
      <c r="AT288" s="234"/>
      <c r="AU288" s="234"/>
      <c r="AV288" s="234"/>
      <c r="AW288" s="234"/>
      <c r="AX288" s="234"/>
      <c r="AY288" s="234"/>
      <c r="AZ288" s="234"/>
      <c r="BA288" s="234"/>
      <c r="BB288" s="234"/>
      <c r="BC288" s="234"/>
      <c r="BD288" s="234"/>
      <c r="BE288" s="234"/>
      <c r="BF288" s="234"/>
      <c r="BG288" s="234"/>
      <c r="BH288" s="234"/>
    </row>
    <row r="289" spans="1:60" ht="24" customHeight="1" x14ac:dyDescent="0.25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234"/>
      <c r="AK289" s="234"/>
      <c r="AL289" s="234"/>
      <c r="AM289" s="234"/>
      <c r="AN289" s="201"/>
      <c r="AO289" s="234"/>
      <c r="AP289" s="234"/>
      <c r="AQ289" s="234"/>
      <c r="AR289" s="234"/>
      <c r="AS289" s="234"/>
      <c r="AT289" s="234"/>
      <c r="AU289" s="234"/>
      <c r="AV289" s="234"/>
      <c r="AW289" s="234"/>
      <c r="AX289" s="234"/>
      <c r="AY289" s="234"/>
      <c r="AZ289" s="234"/>
      <c r="BA289" s="234"/>
      <c r="BB289" s="234"/>
      <c r="BC289" s="234"/>
      <c r="BD289" s="234"/>
      <c r="BE289" s="234"/>
      <c r="BF289" s="234"/>
      <c r="BG289" s="234"/>
      <c r="BH289" s="234"/>
    </row>
    <row r="290" spans="1:60" ht="24" customHeight="1" x14ac:dyDescent="0.25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234"/>
      <c r="AK290" s="234"/>
      <c r="AL290" s="234"/>
      <c r="AM290" s="234"/>
      <c r="AN290" s="201"/>
      <c r="AO290" s="234"/>
      <c r="AP290" s="234"/>
      <c r="AQ290" s="234"/>
      <c r="AR290" s="234"/>
      <c r="AS290" s="234"/>
      <c r="AT290" s="234"/>
      <c r="AU290" s="234"/>
      <c r="AV290" s="234"/>
      <c r="AW290" s="234"/>
      <c r="AX290" s="234"/>
      <c r="AY290" s="234"/>
      <c r="AZ290" s="234"/>
      <c r="BA290" s="234"/>
      <c r="BB290" s="234"/>
      <c r="BC290" s="234"/>
      <c r="BD290" s="234"/>
      <c r="BE290" s="234"/>
      <c r="BF290" s="234"/>
      <c r="BG290" s="234"/>
      <c r="BH290" s="234"/>
    </row>
    <row r="291" spans="1:60" ht="24" customHeight="1" x14ac:dyDescent="0.25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234"/>
      <c r="AK291" s="234"/>
      <c r="AL291" s="234"/>
      <c r="AM291" s="234"/>
      <c r="AN291" s="201"/>
      <c r="AO291" s="234"/>
      <c r="AP291" s="234"/>
      <c r="AQ291" s="234"/>
      <c r="AR291" s="234"/>
      <c r="AS291" s="234"/>
      <c r="AT291" s="234"/>
      <c r="AU291" s="234"/>
      <c r="AV291" s="234"/>
      <c r="AW291" s="234"/>
      <c r="AX291" s="234"/>
      <c r="AY291" s="234"/>
      <c r="AZ291" s="234"/>
      <c r="BA291" s="234"/>
      <c r="BB291" s="234"/>
      <c r="BC291" s="234"/>
      <c r="BD291" s="234"/>
      <c r="BE291" s="234"/>
      <c r="BF291" s="234"/>
      <c r="BG291" s="234"/>
      <c r="BH291" s="234"/>
    </row>
    <row r="292" spans="1:60" ht="24" customHeight="1" x14ac:dyDescent="0.25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234"/>
      <c r="AK292" s="234"/>
      <c r="AL292" s="234"/>
      <c r="AM292" s="234"/>
      <c r="AN292" s="201"/>
      <c r="AO292" s="234"/>
      <c r="AP292" s="234"/>
      <c r="AQ292" s="234"/>
      <c r="AR292" s="234"/>
      <c r="AS292" s="234"/>
      <c r="AT292" s="234"/>
      <c r="AU292" s="234"/>
      <c r="AV292" s="234"/>
      <c r="AW292" s="234"/>
      <c r="AX292" s="234"/>
      <c r="AY292" s="234"/>
      <c r="AZ292" s="234"/>
      <c r="BA292" s="234"/>
      <c r="BB292" s="234"/>
      <c r="BC292" s="234"/>
      <c r="BD292" s="234"/>
      <c r="BE292" s="234"/>
      <c r="BF292" s="234"/>
      <c r="BG292" s="234"/>
      <c r="BH292" s="234"/>
    </row>
    <row r="293" spans="1:60" ht="24" customHeight="1" x14ac:dyDescent="0.25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234"/>
      <c r="AK293" s="234"/>
      <c r="AL293" s="234"/>
      <c r="AM293" s="234"/>
      <c r="AN293" s="201"/>
      <c r="AO293" s="234"/>
      <c r="AP293" s="234"/>
      <c r="AQ293" s="234"/>
      <c r="AR293" s="234"/>
      <c r="AS293" s="234"/>
      <c r="AT293" s="234"/>
      <c r="AU293" s="234"/>
      <c r="AV293" s="234"/>
      <c r="AW293" s="234"/>
      <c r="AX293" s="234"/>
      <c r="AY293" s="234"/>
      <c r="AZ293" s="234"/>
      <c r="BA293" s="234"/>
      <c r="BB293" s="234"/>
      <c r="BC293" s="234"/>
      <c r="BD293" s="234"/>
      <c r="BE293" s="234"/>
      <c r="BF293" s="234"/>
      <c r="BG293" s="234"/>
      <c r="BH293" s="234"/>
    </row>
    <row r="294" spans="1:60" ht="24" customHeight="1" x14ac:dyDescent="0.25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234"/>
      <c r="AK294" s="234"/>
      <c r="AL294" s="234"/>
      <c r="AM294" s="234"/>
      <c r="AN294" s="201"/>
      <c r="AO294" s="234"/>
      <c r="AP294" s="234"/>
      <c r="AQ294" s="234"/>
      <c r="AR294" s="234"/>
      <c r="AS294" s="234"/>
      <c r="AT294" s="234"/>
      <c r="AU294" s="234"/>
      <c r="AV294" s="234"/>
      <c r="AW294" s="234"/>
      <c r="AX294" s="234"/>
      <c r="AY294" s="234"/>
      <c r="AZ294" s="234"/>
      <c r="BA294" s="234"/>
      <c r="BB294" s="234"/>
      <c r="BC294" s="234"/>
      <c r="BD294" s="234"/>
      <c r="BE294" s="234"/>
      <c r="BF294" s="234"/>
      <c r="BG294" s="234"/>
      <c r="BH294" s="234"/>
    </row>
    <row r="295" spans="1:60" ht="24" customHeight="1" x14ac:dyDescent="0.2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234"/>
      <c r="AL295" s="234"/>
      <c r="AM295" s="234"/>
      <c r="AN295" s="201"/>
      <c r="AO295" s="234"/>
      <c r="AP295" s="234"/>
      <c r="AQ295" s="234"/>
      <c r="AR295" s="234"/>
      <c r="AS295" s="234"/>
      <c r="AT295" s="234"/>
      <c r="AU295" s="234"/>
      <c r="AV295" s="234"/>
      <c r="AW295" s="234"/>
      <c r="AX295" s="234"/>
      <c r="AY295" s="234"/>
      <c r="AZ295" s="234"/>
      <c r="BA295" s="234"/>
      <c r="BB295" s="234"/>
      <c r="BC295" s="234"/>
      <c r="BD295" s="234"/>
      <c r="BE295" s="234"/>
      <c r="BF295" s="234"/>
      <c r="BG295" s="234"/>
      <c r="BH295" s="234"/>
    </row>
    <row r="296" spans="1:60" ht="24" customHeight="1" x14ac:dyDescent="0.25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234"/>
      <c r="AL296" s="234"/>
      <c r="AM296" s="234"/>
      <c r="AN296" s="201"/>
      <c r="AO296" s="234"/>
      <c r="AP296" s="234"/>
      <c r="AQ296" s="234"/>
      <c r="AR296" s="234"/>
      <c r="AS296" s="234"/>
      <c r="AT296" s="234"/>
      <c r="AU296" s="234"/>
      <c r="AV296" s="234"/>
      <c r="AW296" s="234"/>
      <c r="AX296" s="234"/>
      <c r="AY296" s="234"/>
      <c r="AZ296" s="234"/>
      <c r="BA296" s="234"/>
      <c r="BB296" s="234"/>
      <c r="BC296" s="234"/>
      <c r="BD296" s="234"/>
      <c r="BE296" s="234"/>
      <c r="BF296" s="234"/>
      <c r="BG296" s="234"/>
      <c r="BH296" s="234"/>
    </row>
    <row r="297" spans="1:60" ht="24" customHeight="1" x14ac:dyDescent="0.25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234"/>
      <c r="AK297" s="234"/>
      <c r="AL297" s="234"/>
      <c r="AM297" s="234"/>
      <c r="AN297" s="201"/>
      <c r="AO297" s="234"/>
      <c r="AP297" s="234"/>
      <c r="AQ297" s="234"/>
      <c r="AR297" s="234"/>
      <c r="AS297" s="234"/>
      <c r="AT297" s="234"/>
      <c r="AU297" s="234"/>
      <c r="AV297" s="234"/>
      <c r="AW297" s="234"/>
      <c r="AX297" s="234"/>
      <c r="AY297" s="234"/>
      <c r="AZ297" s="234"/>
      <c r="BA297" s="234"/>
      <c r="BB297" s="234"/>
      <c r="BC297" s="234"/>
      <c r="BD297" s="234"/>
      <c r="BE297" s="234"/>
      <c r="BF297" s="234"/>
      <c r="BG297" s="234"/>
      <c r="BH297" s="234"/>
    </row>
    <row r="298" spans="1:60" ht="24" customHeight="1" x14ac:dyDescent="0.25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234"/>
      <c r="AK298" s="234"/>
      <c r="AL298" s="234"/>
      <c r="AM298" s="234"/>
      <c r="AN298" s="201"/>
      <c r="AO298" s="234"/>
      <c r="AP298" s="234"/>
      <c r="AQ298" s="234"/>
      <c r="AR298" s="234"/>
      <c r="AS298" s="234"/>
      <c r="AT298" s="234"/>
      <c r="AU298" s="234"/>
      <c r="AV298" s="234"/>
      <c r="AW298" s="234"/>
      <c r="AX298" s="234"/>
      <c r="AY298" s="234"/>
      <c r="AZ298" s="234"/>
      <c r="BA298" s="234"/>
      <c r="BB298" s="234"/>
      <c r="BC298" s="234"/>
      <c r="BD298" s="234"/>
      <c r="BE298" s="234"/>
      <c r="BF298" s="234"/>
      <c r="BG298" s="234"/>
      <c r="BH298" s="234"/>
    </row>
    <row r="299" spans="1:60" ht="24" customHeight="1" x14ac:dyDescent="0.25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234"/>
      <c r="AK299" s="234"/>
      <c r="AL299" s="234"/>
      <c r="AM299" s="234"/>
      <c r="AN299" s="201"/>
      <c r="AO299" s="234"/>
      <c r="AP299" s="234"/>
      <c r="AQ299" s="234"/>
      <c r="AR299" s="234"/>
      <c r="AS299" s="234"/>
      <c r="AT299" s="234"/>
      <c r="AU299" s="234"/>
      <c r="AV299" s="234"/>
      <c r="AW299" s="234"/>
      <c r="AX299" s="234"/>
      <c r="AY299" s="234"/>
      <c r="AZ299" s="234"/>
      <c r="BA299" s="234"/>
      <c r="BB299" s="234"/>
      <c r="BC299" s="234"/>
      <c r="BD299" s="234"/>
      <c r="BE299" s="234"/>
      <c r="BF299" s="234"/>
      <c r="BG299" s="234"/>
      <c r="BH299" s="234"/>
    </row>
    <row r="300" spans="1:60" ht="24" customHeight="1" x14ac:dyDescent="0.25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234"/>
      <c r="AK300" s="234"/>
      <c r="AL300" s="234"/>
      <c r="AM300" s="234"/>
      <c r="AN300" s="201"/>
      <c r="AO300" s="234"/>
      <c r="AP300" s="234"/>
      <c r="AQ300" s="234"/>
      <c r="AR300" s="234"/>
      <c r="AS300" s="234"/>
      <c r="AT300" s="234"/>
      <c r="AU300" s="234"/>
      <c r="AV300" s="234"/>
      <c r="AW300" s="234"/>
      <c r="AX300" s="234"/>
      <c r="AY300" s="234"/>
      <c r="AZ300" s="234"/>
      <c r="BA300" s="234"/>
      <c r="BB300" s="234"/>
      <c r="BC300" s="234"/>
      <c r="BD300" s="234"/>
      <c r="BE300" s="234"/>
      <c r="BF300" s="234"/>
      <c r="BG300" s="234"/>
      <c r="BH300" s="234"/>
    </row>
    <row r="301" spans="1:60" ht="24" customHeight="1" x14ac:dyDescent="0.25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234"/>
      <c r="AK301" s="234"/>
      <c r="AL301" s="234"/>
      <c r="AM301" s="234"/>
      <c r="AN301" s="201"/>
      <c r="AO301" s="234"/>
      <c r="AP301" s="234"/>
      <c r="AQ301" s="234"/>
      <c r="AR301" s="234"/>
      <c r="AS301" s="234"/>
      <c r="AT301" s="234"/>
      <c r="AU301" s="234"/>
      <c r="AV301" s="234"/>
      <c r="AW301" s="234"/>
      <c r="AX301" s="234"/>
      <c r="AY301" s="234"/>
      <c r="AZ301" s="234"/>
      <c r="BA301" s="234"/>
      <c r="BB301" s="234"/>
      <c r="BC301" s="234"/>
      <c r="BD301" s="234"/>
      <c r="BE301" s="234"/>
      <c r="BF301" s="234"/>
      <c r="BG301" s="234"/>
      <c r="BH301" s="234"/>
    </row>
    <row r="302" spans="1:60" ht="24" customHeight="1" x14ac:dyDescent="0.25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234"/>
      <c r="AK302" s="234"/>
      <c r="AL302" s="234"/>
      <c r="AM302" s="234"/>
      <c r="AN302" s="201"/>
      <c r="AO302" s="234"/>
      <c r="AP302" s="234"/>
      <c r="AQ302" s="234"/>
      <c r="AR302" s="234"/>
      <c r="AS302" s="234"/>
      <c r="AT302" s="234"/>
      <c r="AU302" s="234"/>
      <c r="AV302" s="234"/>
      <c r="AW302" s="234"/>
      <c r="AX302" s="234"/>
      <c r="AY302" s="234"/>
      <c r="AZ302" s="234"/>
      <c r="BA302" s="234"/>
      <c r="BB302" s="234"/>
      <c r="BC302" s="234"/>
      <c r="BD302" s="234"/>
      <c r="BE302" s="234"/>
      <c r="BF302" s="234"/>
      <c r="BG302" s="234"/>
      <c r="BH302" s="234"/>
    </row>
    <row r="303" spans="1:60" ht="24" customHeight="1" x14ac:dyDescent="0.25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234"/>
      <c r="AK303" s="234"/>
      <c r="AL303" s="234"/>
      <c r="AM303" s="234"/>
      <c r="AN303" s="201"/>
      <c r="AO303" s="234"/>
      <c r="AP303" s="234"/>
      <c r="AQ303" s="234"/>
      <c r="AR303" s="234"/>
      <c r="AS303" s="234"/>
      <c r="AT303" s="234"/>
      <c r="AU303" s="234"/>
      <c r="AV303" s="234"/>
      <c r="AW303" s="234"/>
      <c r="AX303" s="234"/>
      <c r="AY303" s="234"/>
      <c r="AZ303" s="234"/>
      <c r="BA303" s="234"/>
      <c r="BB303" s="234"/>
      <c r="BC303" s="234"/>
      <c r="BD303" s="234"/>
      <c r="BE303" s="234"/>
      <c r="BF303" s="234"/>
      <c r="BG303" s="234"/>
      <c r="BH303" s="234"/>
    </row>
    <row r="304" spans="1:60" ht="24" customHeight="1" x14ac:dyDescent="0.25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234"/>
      <c r="AK304" s="234"/>
      <c r="AL304" s="234"/>
      <c r="AM304" s="234"/>
      <c r="AN304" s="201"/>
      <c r="AO304" s="234"/>
      <c r="AP304" s="234"/>
      <c r="AQ304" s="234"/>
      <c r="AR304" s="234"/>
      <c r="AS304" s="234"/>
      <c r="AT304" s="234"/>
      <c r="AU304" s="234"/>
      <c r="AV304" s="234"/>
      <c r="AW304" s="234"/>
      <c r="AX304" s="234"/>
      <c r="AY304" s="234"/>
      <c r="AZ304" s="234"/>
      <c r="BA304" s="234"/>
      <c r="BB304" s="234"/>
      <c r="BC304" s="234"/>
      <c r="BD304" s="234"/>
      <c r="BE304" s="234"/>
      <c r="BF304" s="234"/>
      <c r="BG304" s="234"/>
      <c r="BH304" s="234"/>
    </row>
    <row r="305" spans="1:60" ht="24" customHeight="1" x14ac:dyDescent="0.2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234"/>
      <c r="AK305" s="234"/>
      <c r="AL305" s="234"/>
      <c r="AM305" s="234"/>
      <c r="AN305" s="201"/>
      <c r="AO305" s="234"/>
      <c r="AP305" s="234"/>
      <c r="AQ305" s="234"/>
      <c r="AR305" s="234"/>
      <c r="AS305" s="234"/>
      <c r="AT305" s="234"/>
      <c r="AU305" s="234"/>
      <c r="AV305" s="234"/>
      <c r="AW305" s="234"/>
      <c r="AX305" s="234"/>
      <c r="AY305" s="234"/>
      <c r="AZ305" s="234"/>
      <c r="BA305" s="234"/>
      <c r="BB305" s="234"/>
      <c r="BC305" s="234"/>
      <c r="BD305" s="234"/>
      <c r="BE305" s="234"/>
      <c r="BF305" s="234"/>
      <c r="BG305" s="234"/>
      <c r="BH305" s="234"/>
    </row>
    <row r="306" spans="1:60" ht="24" customHeight="1" x14ac:dyDescent="0.25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234"/>
      <c r="AK306" s="234"/>
      <c r="AL306" s="234"/>
      <c r="AM306" s="234"/>
      <c r="AN306" s="201"/>
      <c r="AO306" s="234"/>
      <c r="AP306" s="234"/>
      <c r="AQ306" s="234"/>
      <c r="AR306" s="234"/>
      <c r="AS306" s="234"/>
      <c r="AT306" s="234"/>
      <c r="AU306" s="234"/>
      <c r="AV306" s="234"/>
      <c r="AW306" s="234"/>
      <c r="AX306" s="234"/>
      <c r="AY306" s="234"/>
      <c r="AZ306" s="234"/>
      <c r="BA306" s="234"/>
      <c r="BB306" s="234"/>
      <c r="BC306" s="234"/>
      <c r="BD306" s="234"/>
      <c r="BE306" s="234"/>
      <c r="BF306" s="234"/>
      <c r="BG306" s="234"/>
      <c r="BH306" s="234"/>
    </row>
    <row r="307" spans="1:60" ht="24" customHeight="1" x14ac:dyDescent="0.25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234"/>
      <c r="AK307" s="234"/>
      <c r="AL307" s="234"/>
      <c r="AM307" s="234"/>
      <c r="AN307" s="201"/>
      <c r="AO307" s="234"/>
      <c r="AP307" s="234"/>
      <c r="AQ307" s="234"/>
      <c r="AR307" s="234"/>
      <c r="AS307" s="234"/>
      <c r="AT307" s="234"/>
      <c r="AU307" s="234"/>
      <c r="AV307" s="234"/>
      <c r="AW307" s="234"/>
      <c r="AX307" s="234"/>
      <c r="AY307" s="234"/>
      <c r="AZ307" s="234"/>
      <c r="BA307" s="234"/>
      <c r="BB307" s="234"/>
      <c r="BC307" s="234"/>
      <c r="BD307" s="234"/>
      <c r="BE307" s="234"/>
      <c r="BF307" s="234"/>
      <c r="BG307" s="234"/>
      <c r="BH307" s="234"/>
    </row>
    <row r="308" spans="1:60" ht="24" customHeight="1" x14ac:dyDescent="0.25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234"/>
      <c r="AK308" s="234"/>
      <c r="AL308" s="234"/>
      <c r="AM308" s="234"/>
      <c r="AN308" s="201"/>
      <c r="AO308" s="234"/>
      <c r="AP308" s="234"/>
      <c r="AQ308" s="234"/>
      <c r="AR308" s="234"/>
      <c r="AS308" s="234"/>
      <c r="AT308" s="234"/>
      <c r="AU308" s="234"/>
      <c r="AV308" s="234"/>
      <c r="AW308" s="234"/>
      <c r="AX308" s="234"/>
      <c r="AY308" s="234"/>
      <c r="AZ308" s="234"/>
      <c r="BA308" s="234"/>
      <c r="BB308" s="234"/>
      <c r="BC308" s="234"/>
      <c r="BD308" s="234"/>
      <c r="BE308" s="234"/>
      <c r="BF308" s="234"/>
      <c r="BG308" s="234"/>
      <c r="BH308" s="234"/>
    </row>
    <row r="309" spans="1:60" ht="24" customHeight="1" x14ac:dyDescent="0.25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234"/>
      <c r="AK309" s="234"/>
      <c r="AL309" s="234"/>
      <c r="AM309" s="234"/>
      <c r="AN309" s="201"/>
      <c r="AO309" s="234"/>
      <c r="AP309" s="234"/>
      <c r="AQ309" s="234"/>
      <c r="AR309" s="234"/>
      <c r="AS309" s="234"/>
      <c r="AT309" s="234"/>
      <c r="AU309" s="234"/>
      <c r="AV309" s="234"/>
      <c r="AW309" s="234"/>
      <c r="AX309" s="234"/>
      <c r="AY309" s="234"/>
      <c r="AZ309" s="234"/>
      <c r="BA309" s="234"/>
      <c r="BB309" s="234"/>
      <c r="BC309" s="234"/>
      <c r="BD309" s="234"/>
      <c r="BE309" s="234"/>
      <c r="BF309" s="234"/>
      <c r="BG309" s="234"/>
      <c r="BH309" s="234"/>
    </row>
    <row r="310" spans="1:60" ht="24" customHeight="1" x14ac:dyDescent="0.25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234"/>
      <c r="AK310" s="234"/>
      <c r="AL310" s="234"/>
      <c r="AM310" s="234"/>
      <c r="AN310" s="201"/>
      <c r="AO310" s="234"/>
      <c r="AP310" s="234"/>
      <c r="AQ310" s="234"/>
      <c r="AR310" s="234"/>
      <c r="AS310" s="234"/>
      <c r="AT310" s="234"/>
      <c r="AU310" s="234"/>
      <c r="AV310" s="234"/>
      <c r="AW310" s="234"/>
      <c r="AX310" s="234"/>
      <c r="AY310" s="234"/>
      <c r="AZ310" s="234"/>
      <c r="BA310" s="234"/>
      <c r="BB310" s="234"/>
      <c r="BC310" s="234"/>
      <c r="BD310" s="234"/>
      <c r="BE310" s="234"/>
      <c r="BF310" s="234"/>
      <c r="BG310" s="234"/>
      <c r="BH310" s="234"/>
    </row>
    <row r="311" spans="1:60" ht="24" customHeight="1" x14ac:dyDescent="0.25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234"/>
      <c r="AK311" s="234"/>
      <c r="AL311" s="234"/>
      <c r="AM311" s="234"/>
      <c r="AN311" s="201"/>
      <c r="AO311" s="234"/>
      <c r="AP311" s="234"/>
      <c r="AQ311" s="234"/>
      <c r="AR311" s="234"/>
      <c r="AS311" s="234"/>
      <c r="AT311" s="234"/>
      <c r="AU311" s="234"/>
      <c r="AV311" s="234"/>
      <c r="AW311" s="234"/>
      <c r="AX311" s="234"/>
      <c r="AY311" s="234"/>
      <c r="AZ311" s="234"/>
      <c r="BA311" s="234"/>
      <c r="BB311" s="234"/>
      <c r="BC311" s="234"/>
      <c r="BD311" s="234"/>
      <c r="BE311" s="234"/>
      <c r="BF311" s="234"/>
      <c r="BG311" s="234"/>
      <c r="BH311" s="234"/>
    </row>
    <row r="312" spans="1:60" ht="24" customHeight="1" x14ac:dyDescent="0.25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234"/>
      <c r="AK312" s="234"/>
      <c r="AL312" s="234"/>
      <c r="AM312" s="234"/>
      <c r="AN312" s="201"/>
      <c r="AO312" s="234"/>
      <c r="AP312" s="234"/>
      <c r="AQ312" s="234"/>
      <c r="AR312" s="234"/>
      <c r="AS312" s="234"/>
      <c r="AT312" s="234"/>
      <c r="AU312" s="234"/>
      <c r="AV312" s="234"/>
      <c r="AW312" s="234"/>
      <c r="AX312" s="234"/>
      <c r="AY312" s="234"/>
      <c r="AZ312" s="234"/>
      <c r="BA312" s="234"/>
      <c r="BB312" s="234"/>
      <c r="BC312" s="234"/>
      <c r="BD312" s="234"/>
      <c r="BE312" s="234"/>
      <c r="BF312" s="234"/>
      <c r="BG312" s="234"/>
      <c r="BH312" s="234"/>
    </row>
    <row r="313" spans="1:60" ht="24" customHeight="1" x14ac:dyDescent="0.25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234"/>
      <c r="AK313" s="234"/>
      <c r="AL313" s="234"/>
      <c r="AM313" s="234"/>
      <c r="AN313" s="201"/>
      <c r="AO313" s="234"/>
      <c r="AP313" s="234"/>
      <c r="AQ313" s="234"/>
      <c r="AR313" s="234"/>
      <c r="AS313" s="234"/>
      <c r="AT313" s="234"/>
      <c r="AU313" s="234"/>
      <c r="AV313" s="234"/>
      <c r="AW313" s="234"/>
      <c r="AX313" s="234"/>
      <c r="AY313" s="234"/>
      <c r="AZ313" s="234"/>
      <c r="BA313" s="234"/>
      <c r="BB313" s="234"/>
      <c r="BC313" s="234"/>
      <c r="BD313" s="234"/>
      <c r="BE313" s="234"/>
      <c r="BF313" s="234"/>
      <c r="BG313" s="234"/>
      <c r="BH313" s="234"/>
    </row>
    <row r="314" spans="1:60" ht="24" customHeight="1" x14ac:dyDescent="0.25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234"/>
      <c r="AK314" s="234"/>
      <c r="AL314" s="234"/>
      <c r="AM314" s="234"/>
      <c r="AN314" s="201"/>
      <c r="AO314" s="234"/>
      <c r="AP314" s="234"/>
      <c r="AQ314" s="234"/>
      <c r="AR314" s="234"/>
      <c r="AS314" s="234"/>
      <c r="AT314" s="234"/>
      <c r="AU314" s="234"/>
      <c r="AV314" s="234"/>
      <c r="AW314" s="234"/>
      <c r="AX314" s="234"/>
      <c r="AY314" s="234"/>
      <c r="AZ314" s="234"/>
      <c r="BA314" s="234"/>
      <c r="BB314" s="234"/>
      <c r="BC314" s="234"/>
      <c r="BD314" s="234"/>
      <c r="BE314" s="234"/>
      <c r="BF314" s="234"/>
      <c r="BG314" s="234"/>
      <c r="BH314" s="234"/>
    </row>
    <row r="315" spans="1:60" ht="24" customHeight="1" x14ac:dyDescent="0.2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234"/>
      <c r="AK315" s="234"/>
      <c r="AL315" s="234"/>
      <c r="AM315" s="234"/>
      <c r="AN315" s="201"/>
      <c r="AO315" s="234"/>
      <c r="AP315" s="234"/>
      <c r="AQ315" s="234"/>
      <c r="AR315" s="234"/>
      <c r="AS315" s="234"/>
      <c r="AT315" s="234"/>
      <c r="AU315" s="234"/>
      <c r="AV315" s="234"/>
      <c r="AW315" s="234"/>
      <c r="AX315" s="234"/>
      <c r="AY315" s="234"/>
      <c r="AZ315" s="234"/>
      <c r="BA315" s="234"/>
      <c r="BB315" s="234"/>
      <c r="BC315" s="234"/>
      <c r="BD315" s="234"/>
      <c r="BE315" s="234"/>
      <c r="BF315" s="234"/>
      <c r="BG315" s="234"/>
      <c r="BH315" s="234"/>
    </row>
    <row r="316" spans="1:60" ht="24" customHeight="1" x14ac:dyDescent="0.25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234"/>
      <c r="AK316" s="234"/>
      <c r="AL316" s="234"/>
      <c r="AM316" s="234"/>
      <c r="AN316" s="201"/>
      <c r="AO316" s="234"/>
      <c r="AP316" s="234"/>
      <c r="AQ316" s="234"/>
      <c r="AR316" s="234"/>
      <c r="AS316" s="234"/>
      <c r="AT316" s="234"/>
      <c r="AU316" s="234"/>
      <c r="AV316" s="234"/>
      <c r="AW316" s="234"/>
      <c r="AX316" s="234"/>
      <c r="AY316" s="234"/>
      <c r="AZ316" s="234"/>
      <c r="BA316" s="234"/>
      <c r="BB316" s="234"/>
      <c r="BC316" s="234"/>
      <c r="BD316" s="234"/>
      <c r="BE316" s="234"/>
      <c r="BF316" s="234"/>
      <c r="BG316" s="234"/>
      <c r="BH316" s="234"/>
    </row>
    <row r="317" spans="1:60" ht="24" customHeight="1" x14ac:dyDescent="0.25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234"/>
      <c r="AK317" s="234"/>
      <c r="AL317" s="234"/>
      <c r="AM317" s="234"/>
      <c r="AN317" s="201"/>
      <c r="AO317" s="234"/>
      <c r="AP317" s="234"/>
      <c r="AQ317" s="234"/>
      <c r="AR317" s="234"/>
      <c r="AS317" s="234"/>
      <c r="AT317" s="234"/>
      <c r="AU317" s="234"/>
      <c r="AV317" s="234"/>
      <c r="AW317" s="234"/>
      <c r="AX317" s="234"/>
      <c r="AY317" s="234"/>
      <c r="AZ317" s="234"/>
      <c r="BA317" s="234"/>
      <c r="BB317" s="234"/>
      <c r="BC317" s="234"/>
      <c r="BD317" s="234"/>
      <c r="BE317" s="234"/>
      <c r="BF317" s="234"/>
      <c r="BG317" s="234"/>
      <c r="BH317" s="234"/>
    </row>
    <row r="318" spans="1:60" ht="24" customHeight="1" x14ac:dyDescent="0.25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234"/>
      <c r="AK318" s="234"/>
      <c r="AL318" s="234"/>
      <c r="AM318" s="234"/>
      <c r="AN318" s="201"/>
      <c r="AO318" s="234"/>
      <c r="AP318" s="234"/>
      <c r="AQ318" s="234"/>
      <c r="AR318" s="234"/>
      <c r="AS318" s="234"/>
      <c r="AT318" s="234"/>
      <c r="AU318" s="234"/>
      <c r="AV318" s="234"/>
      <c r="AW318" s="234"/>
      <c r="AX318" s="234"/>
      <c r="AY318" s="234"/>
      <c r="AZ318" s="234"/>
      <c r="BA318" s="234"/>
      <c r="BB318" s="234"/>
      <c r="BC318" s="234"/>
      <c r="BD318" s="234"/>
      <c r="BE318" s="234"/>
      <c r="BF318" s="234"/>
      <c r="BG318" s="234"/>
      <c r="BH318" s="234"/>
    </row>
    <row r="319" spans="1:60" ht="24" customHeight="1" x14ac:dyDescent="0.25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234"/>
      <c r="AK319" s="234"/>
      <c r="AL319" s="234"/>
      <c r="AM319" s="234"/>
      <c r="AN319" s="201"/>
      <c r="AO319" s="234"/>
      <c r="AP319" s="234"/>
      <c r="AQ319" s="234"/>
      <c r="AR319" s="234"/>
      <c r="AS319" s="234"/>
      <c r="AT319" s="234"/>
      <c r="AU319" s="234"/>
      <c r="AV319" s="234"/>
      <c r="AW319" s="234"/>
      <c r="AX319" s="234"/>
      <c r="AY319" s="234"/>
      <c r="AZ319" s="234"/>
      <c r="BA319" s="234"/>
      <c r="BB319" s="234"/>
      <c r="BC319" s="234"/>
      <c r="BD319" s="234"/>
      <c r="BE319" s="234"/>
      <c r="BF319" s="234"/>
      <c r="BG319" s="234"/>
      <c r="BH319" s="234"/>
    </row>
    <row r="320" spans="1:60" ht="24" customHeight="1" x14ac:dyDescent="0.25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234"/>
      <c r="AK320" s="234"/>
      <c r="AL320" s="234"/>
      <c r="AM320" s="234"/>
      <c r="AN320" s="201"/>
      <c r="AO320" s="234"/>
      <c r="AP320" s="234"/>
      <c r="AQ320" s="234"/>
      <c r="AR320" s="234"/>
      <c r="AS320" s="234"/>
      <c r="AT320" s="234"/>
      <c r="AU320" s="234"/>
      <c r="AV320" s="234"/>
      <c r="AW320" s="234"/>
      <c r="AX320" s="234"/>
      <c r="AY320" s="234"/>
      <c r="AZ320" s="234"/>
      <c r="BA320" s="234"/>
      <c r="BB320" s="234"/>
      <c r="BC320" s="234"/>
      <c r="BD320" s="234"/>
      <c r="BE320" s="234"/>
      <c r="BF320" s="234"/>
      <c r="BG320" s="234"/>
      <c r="BH320" s="234"/>
    </row>
    <row r="321" spans="1:60" ht="24" customHeight="1" x14ac:dyDescent="0.25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234"/>
      <c r="AK321" s="234"/>
      <c r="AL321" s="234"/>
      <c r="AM321" s="234"/>
      <c r="AN321" s="201"/>
      <c r="AO321" s="234"/>
      <c r="AP321" s="234"/>
      <c r="AQ321" s="234"/>
      <c r="AR321" s="234"/>
      <c r="AS321" s="234"/>
      <c r="AT321" s="234"/>
      <c r="AU321" s="234"/>
      <c r="AV321" s="234"/>
      <c r="AW321" s="234"/>
      <c r="AX321" s="234"/>
      <c r="AY321" s="234"/>
      <c r="AZ321" s="234"/>
      <c r="BA321" s="234"/>
      <c r="BB321" s="234"/>
      <c r="BC321" s="234"/>
      <c r="BD321" s="234"/>
      <c r="BE321" s="234"/>
      <c r="BF321" s="234"/>
      <c r="BG321" s="234"/>
      <c r="BH321" s="234"/>
    </row>
    <row r="322" spans="1:60" ht="24" customHeight="1" x14ac:dyDescent="0.25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234"/>
      <c r="AK322" s="234"/>
      <c r="AL322" s="234"/>
      <c r="AM322" s="234"/>
      <c r="AN322" s="201"/>
      <c r="AO322" s="234"/>
      <c r="AP322" s="234"/>
      <c r="AQ322" s="234"/>
      <c r="AR322" s="234"/>
      <c r="AS322" s="234"/>
      <c r="AT322" s="234"/>
      <c r="AU322" s="234"/>
      <c r="AV322" s="234"/>
      <c r="AW322" s="234"/>
      <c r="AX322" s="234"/>
      <c r="AY322" s="234"/>
      <c r="AZ322" s="234"/>
      <c r="BA322" s="234"/>
      <c r="BB322" s="234"/>
      <c r="BC322" s="234"/>
      <c r="BD322" s="234"/>
      <c r="BE322" s="234"/>
      <c r="BF322" s="234"/>
      <c r="BG322" s="234"/>
      <c r="BH322" s="234"/>
    </row>
    <row r="323" spans="1:60" ht="24" customHeight="1" x14ac:dyDescent="0.25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234"/>
      <c r="AK323" s="234"/>
      <c r="AL323" s="234"/>
      <c r="AM323" s="234"/>
      <c r="AN323" s="201"/>
      <c r="AO323" s="234"/>
      <c r="AP323" s="234"/>
      <c r="AQ323" s="234"/>
      <c r="AR323" s="234"/>
      <c r="AS323" s="234"/>
      <c r="AT323" s="234"/>
      <c r="AU323" s="234"/>
      <c r="AV323" s="234"/>
      <c r="AW323" s="234"/>
      <c r="AX323" s="234"/>
      <c r="AY323" s="234"/>
      <c r="AZ323" s="234"/>
      <c r="BA323" s="234"/>
      <c r="BB323" s="234"/>
      <c r="BC323" s="234"/>
      <c r="BD323" s="234"/>
      <c r="BE323" s="234"/>
      <c r="BF323" s="234"/>
      <c r="BG323" s="234"/>
      <c r="BH323" s="234"/>
    </row>
    <row r="324" spans="1:60" ht="24" customHeight="1" x14ac:dyDescent="0.25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234"/>
      <c r="AK324" s="234"/>
      <c r="AL324" s="234"/>
      <c r="AM324" s="234"/>
      <c r="AN324" s="201"/>
      <c r="AO324" s="234"/>
      <c r="AP324" s="234"/>
      <c r="AQ324" s="234"/>
      <c r="AR324" s="234"/>
      <c r="AS324" s="234"/>
      <c r="AT324" s="234"/>
      <c r="AU324" s="234"/>
      <c r="AV324" s="234"/>
      <c r="AW324" s="234"/>
      <c r="AX324" s="234"/>
      <c r="AY324" s="234"/>
      <c r="AZ324" s="234"/>
      <c r="BA324" s="234"/>
      <c r="BB324" s="234"/>
      <c r="BC324" s="234"/>
      <c r="BD324" s="234"/>
      <c r="BE324" s="234"/>
      <c r="BF324" s="234"/>
      <c r="BG324" s="234"/>
      <c r="BH324" s="234"/>
    </row>
    <row r="325" spans="1:60" ht="24" customHeight="1" x14ac:dyDescent="0.2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234"/>
      <c r="AK325" s="234"/>
      <c r="AL325" s="234"/>
      <c r="AM325" s="234"/>
      <c r="AN325" s="201"/>
      <c r="AO325" s="234"/>
      <c r="AP325" s="234"/>
      <c r="AQ325" s="234"/>
      <c r="AR325" s="234"/>
      <c r="AS325" s="234"/>
      <c r="AT325" s="234"/>
      <c r="AU325" s="234"/>
      <c r="AV325" s="234"/>
      <c r="AW325" s="234"/>
      <c r="AX325" s="234"/>
      <c r="AY325" s="234"/>
      <c r="AZ325" s="234"/>
      <c r="BA325" s="234"/>
      <c r="BB325" s="234"/>
      <c r="BC325" s="234"/>
      <c r="BD325" s="234"/>
      <c r="BE325" s="234"/>
      <c r="BF325" s="234"/>
      <c r="BG325" s="234"/>
      <c r="BH325" s="234"/>
    </row>
    <row r="326" spans="1:60" ht="24" customHeight="1" x14ac:dyDescent="0.25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234"/>
      <c r="AK326" s="234"/>
      <c r="AL326" s="234"/>
      <c r="AM326" s="234"/>
      <c r="AN326" s="201"/>
      <c r="AO326" s="234"/>
      <c r="AP326" s="234"/>
      <c r="AQ326" s="234"/>
      <c r="AR326" s="234"/>
      <c r="AS326" s="234"/>
      <c r="AT326" s="234"/>
      <c r="AU326" s="234"/>
      <c r="AV326" s="234"/>
      <c r="AW326" s="234"/>
      <c r="AX326" s="234"/>
      <c r="AY326" s="234"/>
      <c r="AZ326" s="234"/>
      <c r="BA326" s="234"/>
      <c r="BB326" s="234"/>
      <c r="BC326" s="234"/>
      <c r="BD326" s="234"/>
      <c r="BE326" s="234"/>
      <c r="BF326" s="234"/>
      <c r="BG326" s="234"/>
      <c r="BH326" s="234"/>
    </row>
    <row r="327" spans="1:60" ht="24" customHeight="1" x14ac:dyDescent="0.25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234"/>
      <c r="AK327" s="234"/>
      <c r="AL327" s="234"/>
      <c r="AM327" s="234"/>
      <c r="AN327" s="201"/>
      <c r="AO327" s="234"/>
      <c r="AP327" s="234"/>
      <c r="AQ327" s="234"/>
      <c r="AR327" s="234"/>
      <c r="AS327" s="234"/>
      <c r="AT327" s="234"/>
      <c r="AU327" s="234"/>
      <c r="AV327" s="234"/>
      <c r="AW327" s="234"/>
      <c r="AX327" s="234"/>
      <c r="AY327" s="234"/>
      <c r="AZ327" s="234"/>
      <c r="BA327" s="234"/>
      <c r="BB327" s="234"/>
      <c r="BC327" s="234"/>
      <c r="BD327" s="234"/>
      <c r="BE327" s="234"/>
      <c r="BF327" s="234"/>
      <c r="BG327" s="234"/>
      <c r="BH327" s="234"/>
    </row>
    <row r="328" spans="1:60" ht="24" customHeight="1" x14ac:dyDescent="0.25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234"/>
      <c r="AK328" s="234"/>
      <c r="AL328" s="234"/>
      <c r="AM328" s="234"/>
      <c r="AN328" s="201"/>
      <c r="AO328" s="234"/>
      <c r="AP328" s="234"/>
      <c r="AQ328" s="234"/>
      <c r="AR328" s="234"/>
      <c r="AS328" s="234"/>
      <c r="AT328" s="234"/>
      <c r="AU328" s="234"/>
      <c r="AV328" s="234"/>
      <c r="AW328" s="234"/>
      <c r="AX328" s="234"/>
      <c r="AY328" s="234"/>
      <c r="AZ328" s="234"/>
      <c r="BA328" s="234"/>
      <c r="BB328" s="234"/>
      <c r="BC328" s="234"/>
      <c r="BD328" s="234"/>
      <c r="BE328" s="234"/>
      <c r="BF328" s="234"/>
      <c r="BG328" s="234"/>
      <c r="BH328" s="234"/>
    </row>
    <row r="329" spans="1:60" ht="24" customHeight="1" x14ac:dyDescent="0.25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234"/>
      <c r="AK329" s="234"/>
      <c r="AL329" s="234"/>
      <c r="AM329" s="234"/>
      <c r="AN329" s="201"/>
      <c r="AO329" s="234"/>
      <c r="AP329" s="234"/>
      <c r="AQ329" s="234"/>
      <c r="AR329" s="234"/>
      <c r="AS329" s="234"/>
      <c r="AT329" s="234"/>
      <c r="AU329" s="234"/>
      <c r="AV329" s="234"/>
      <c r="AW329" s="234"/>
      <c r="AX329" s="234"/>
      <c r="AY329" s="234"/>
      <c r="AZ329" s="234"/>
      <c r="BA329" s="234"/>
      <c r="BB329" s="234"/>
      <c r="BC329" s="234"/>
      <c r="BD329" s="234"/>
      <c r="BE329" s="234"/>
      <c r="BF329" s="234"/>
      <c r="BG329" s="234"/>
      <c r="BH329" s="234"/>
    </row>
    <row r="330" spans="1:60" ht="24" customHeight="1" x14ac:dyDescent="0.25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234"/>
      <c r="AK330" s="234"/>
      <c r="AL330" s="234"/>
      <c r="AM330" s="234"/>
      <c r="AN330" s="201"/>
      <c r="AO330" s="234"/>
      <c r="AP330" s="234"/>
      <c r="AQ330" s="234"/>
      <c r="AR330" s="234"/>
      <c r="AS330" s="234"/>
      <c r="AT330" s="234"/>
      <c r="AU330" s="234"/>
      <c r="AV330" s="234"/>
      <c r="AW330" s="234"/>
      <c r="AX330" s="234"/>
      <c r="AY330" s="234"/>
      <c r="AZ330" s="234"/>
      <c r="BA330" s="234"/>
      <c r="BB330" s="234"/>
      <c r="BC330" s="234"/>
      <c r="BD330" s="234"/>
      <c r="BE330" s="234"/>
      <c r="BF330" s="234"/>
      <c r="BG330" s="234"/>
      <c r="BH330" s="234"/>
    </row>
    <row r="331" spans="1:60" ht="24" customHeight="1" x14ac:dyDescent="0.25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234"/>
      <c r="AK331" s="234"/>
      <c r="AL331" s="234"/>
      <c r="AM331" s="234"/>
      <c r="AN331" s="201"/>
      <c r="AO331" s="234"/>
      <c r="AP331" s="234"/>
      <c r="AQ331" s="234"/>
      <c r="AR331" s="234"/>
      <c r="AS331" s="234"/>
      <c r="AT331" s="234"/>
      <c r="AU331" s="234"/>
      <c r="AV331" s="234"/>
      <c r="AW331" s="234"/>
      <c r="AX331" s="234"/>
      <c r="AY331" s="234"/>
      <c r="AZ331" s="234"/>
      <c r="BA331" s="234"/>
      <c r="BB331" s="234"/>
      <c r="BC331" s="234"/>
      <c r="BD331" s="234"/>
      <c r="BE331" s="234"/>
      <c r="BF331" s="234"/>
      <c r="BG331" s="234"/>
      <c r="BH331" s="234"/>
    </row>
    <row r="332" spans="1:60" ht="24" customHeight="1" x14ac:dyDescent="0.25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234"/>
      <c r="AK332" s="234"/>
      <c r="AL332" s="234"/>
      <c r="AM332" s="234"/>
      <c r="AN332" s="201"/>
      <c r="AO332" s="234"/>
      <c r="AP332" s="234"/>
      <c r="AQ332" s="234"/>
      <c r="AR332" s="234"/>
      <c r="AS332" s="234"/>
      <c r="AT332" s="234"/>
      <c r="AU332" s="234"/>
      <c r="AV332" s="234"/>
      <c r="AW332" s="234"/>
      <c r="AX332" s="234"/>
      <c r="AY332" s="234"/>
      <c r="AZ332" s="234"/>
      <c r="BA332" s="234"/>
      <c r="BB332" s="234"/>
      <c r="BC332" s="234"/>
      <c r="BD332" s="234"/>
      <c r="BE332" s="234"/>
      <c r="BF332" s="234"/>
      <c r="BG332" s="234"/>
      <c r="BH332" s="234"/>
    </row>
    <row r="333" spans="1:60" ht="24" customHeight="1" x14ac:dyDescent="0.25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234"/>
      <c r="AK333" s="234"/>
      <c r="AL333" s="234"/>
      <c r="AM333" s="234"/>
      <c r="AN333" s="201"/>
      <c r="AO333" s="234"/>
      <c r="AP333" s="234"/>
      <c r="AQ333" s="234"/>
      <c r="AR333" s="234"/>
      <c r="AS333" s="234"/>
      <c r="AT333" s="234"/>
      <c r="AU333" s="234"/>
      <c r="AV333" s="234"/>
      <c r="AW333" s="234"/>
      <c r="AX333" s="234"/>
      <c r="AY333" s="234"/>
      <c r="AZ333" s="234"/>
      <c r="BA333" s="234"/>
      <c r="BB333" s="234"/>
      <c r="BC333" s="234"/>
      <c r="BD333" s="234"/>
      <c r="BE333" s="234"/>
      <c r="BF333" s="234"/>
      <c r="BG333" s="234"/>
      <c r="BH333" s="234"/>
    </row>
    <row r="334" spans="1:60" ht="24" customHeight="1" x14ac:dyDescent="0.25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234"/>
      <c r="AK334" s="234"/>
      <c r="AL334" s="234"/>
      <c r="AM334" s="234"/>
      <c r="AN334" s="201"/>
      <c r="AO334" s="234"/>
      <c r="AP334" s="234"/>
      <c r="AQ334" s="234"/>
      <c r="AR334" s="234"/>
      <c r="AS334" s="234"/>
      <c r="AT334" s="234"/>
      <c r="AU334" s="234"/>
      <c r="AV334" s="234"/>
      <c r="AW334" s="234"/>
      <c r="AX334" s="234"/>
      <c r="AY334" s="234"/>
      <c r="AZ334" s="234"/>
      <c r="BA334" s="234"/>
      <c r="BB334" s="234"/>
      <c r="BC334" s="234"/>
      <c r="BD334" s="234"/>
      <c r="BE334" s="234"/>
      <c r="BF334" s="234"/>
      <c r="BG334" s="234"/>
      <c r="BH334" s="234"/>
    </row>
    <row r="335" spans="1:60" ht="24" customHeight="1" x14ac:dyDescent="0.2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234"/>
      <c r="AK335" s="234"/>
      <c r="AL335" s="234"/>
      <c r="AM335" s="234"/>
      <c r="AN335" s="201"/>
      <c r="AO335" s="234"/>
      <c r="AP335" s="234"/>
      <c r="AQ335" s="234"/>
      <c r="AR335" s="234"/>
      <c r="AS335" s="234"/>
      <c r="AT335" s="234"/>
      <c r="AU335" s="234"/>
      <c r="AV335" s="234"/>
      <c r="AW335" s="234"/>
      <c r="AX335" s="234"/>
      <c r="AY335" s="234"/>
      <c r="AZ335" s="234"/>
      <c r="BA335" s="234"/>
      <c r="BB335" s="234"/>
      <c r="BC335" s="234"/>
      <c r="BD335" s="234"/>
      <c r="BE335" s="234"/>
      <c r="BF335" s="234"/>
      <c r="BG335" s="234"/>
      <c r="BH335" s="234"/>
    </row>
    <row r="336" spans="1:60" ht="24" customHeight="1" x14ac:dyDescent="0.25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234"/>
      <c r="AK336" s="234"/>
      <c r="AL336" s="234"/>
      <c r="AM336" s="234"/>
      <c r="AN336" s="201"/>
      <c r="AO336" s="234"/>
      <c r="AP336" s="234"/>
      <c r="AQ336" s="234"/>
      <c r="AR336" s="234"/>
      <c r="AS336" s="234"/>
      <c r="AT336" s="234"/>
      <c r="AU336" s="234"/>
      <c r="AV336" s="234"/>
      <c r="AW336" s="234"/>
      <c r="AX336" s="234"/>
      <c r="AY336" s="234"/>
      <c r="AZ336" s="234"/>
      <c r="BA336" s="234"/>
      <c r="BB336" s="234"/>
      <c r="BC336" s="234"/>
      <c r="BD336" s="234"/>
      <c r="BE336" s="234"/>
      <c r="BF336" s="234"/>
      <c r="BG336" s="234"/>
      <c r="BH336" s="234"/>
    </row>
    <row r="337" spans="1:60" ht="24" customHeight="1" x14ac:dyDescent="0.25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234"/>
      <c r="AK337" s="234"/>
      <c r="AL337" s="234"/>
      <c r="AM337" s="234"/>
      <c r="AN337" s="201"/>
      <c r="AO337" s="234"/>
      <c r="AP337" s="234"/>
      <c r="AQ337" s="234"/>
      <c r="AR337" s="234"/>
      <c r="AS337" s="234"/>
      <c r="AT337" s="234"/>
      <c r="AU337" s="234"/>
      <c r="AV337" s="234"/>
      <c r="AW337" s="234"/>
      <c r="AX337" s="234"/>
      <c r="AY337" s="234"/>
      <c r="AZ337" s="234"/>
      <c r="BA337" s="234"/>
      <c r="BB337" s="234"/>
      <c r="BC337" s="234"/>
      <c r="BD337" s="234"/>
      <c r="BE337" s="234"/>
      <c r="BF337" s="234"/>
      <c r="BG337" s="234"/>
      <c r="BH337" s="234"/>
    </row>
    <row r="338" spans="1:60" ht="24" customHeight="1" x14ac:dyDescent="0.25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234"/>
      <c r="AK338" s="234"/>
      <c r="AL338" s="234"/>
      <c r="AM338" s="234"/>
      <c r="AN338" s="201"/>
      <c r="AO338" s="234"/>
      <c r="AP338" s="234"/>
      <c r="AQ338" s="234"/>
      <c r="AR338" s="234"/>
      <c r="AS338" s="234"/>
      <c r="AT338" s="234"/>
      <c r="AU338" s="234"/>
      <c r="AV338" s="234"/>
      <c r="AW338" s="234"/>
      <c r="AX338" s="234"/>
      <c r="AY338" s="234"/>
      <c r="AZ338" s="234"/>
      <c r="BA338" s="234"/>
      <c r="BB338" s="234"/>
      <c r="BC338" s="234"/>
      <c r="BD338" s="234"/>
      <c r="BE338" s="234"/>
      <c r="BF338" s="234"/>
      <c r="BG338" s="234"/>
      <c r="BH338" s="234"/>
    </row>
    <row r="339" spans="1:60" ht="24" customHeight="1" x14ac:dyDescent="0.25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234"/>
      <c r="AK339" s="234"/>
      <c r="AL339" s="234"/>
      <c r="AM339" s="234"/>
      <c r="AN339" s="201"/>
      <c r="AO339" s="234"/>
      <c r="AP339" s="234"/>
      <c r="AQ339" s="234"/>
      <c r="AR339" s="234"/>
      <c r="AS339" s="234"/>
      <c r="AT339" s="234"/>
      <c r="AU339" s="234"/>
      <c r="AV339" s="234"/>
      <c r="AW339" s="234"/>
      <c r="AX339" s="234"/>
      <c r="AY339" s="234"/>
      <c r="AZ339" s="234"/>
      <c r="BA339" s="234"/>
      <c r="BB339" s="234"/>
      <c r="BC339" s="234"/>
      <c r="BD339" s="234"/>
      <c r="BE339" s="234"/>
      <c r="BF339" s="234"/>
      <c r="BG339" s="234"/>
      <c r="BH339" s="234"/>
    </row>
    <row r="340" spans="1:60" ht="24" customHeight="1" x14ac:dyDescent="0.25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234"/>
      <c r="AK340" s="234"/>
      <c r="AL340" s="234"/>
      <c r="AM340" s="234"/>
      <c r="AN340" s="201"/>
      <c r="AO340" s="234"/>
      <c r="AP340" s="234"/>
      <c r="AQ340" s="234"/>
      <c r="AR340" s="234"/>
      <c r="AS340" s="234"/>
      <c r="AT340" s="234"/>
      <c r="AU340" s="234"/>
      <c r="AV340" s="234"/>
      <c r="AW340" s="234"/>
      <c r="AX340" s="234"/>
      <c r="AY340" s="234"/>
      <c r="AZ340" s="234"/>
      <c r="BA340" s="234"/>
      <c r="BB340" s="234"/>
      <c r="BC340" s="234"/>
      <c r="BD340" s="234"/>
      <c r="BE340" s="234"/>
      <c r="BF340" s="234"/>
      <c r="BG340" s="234"/>
      <c r="BH340" s="234"/>
    </row>
    <row r="341" spans="1:60" ht="24" customHeight="1" x14ac:dyDescent="0.25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  <c r="AH341" s="234"/>
      <c r="AI341" s="234"/>
      <c r="AJ341" s="234"/>
      <c r="AK341" s="234"/>
      <c r="AL341" s="234"/>
      <c r="AM341" s="234"/>
      <c r="AN341" s="201"/>
      <c r="AO341" s="234"/>
      <c r="AP341" s="234"/>
      <c r="AQ341" s="234"/>
      <c r="AR341" s="234"/>
      <c r="AS341" s="234"/>
      <c r="AT341" s="234"/>
      <c r="AU341" s="234"/>
      <c r="AV341" s="234"/>
      <c r="AW341" s="234"/>
      <c r="AX341" s="234"/>
      <c r="AY341" s="234"/>
      <c r="AZ341" s="234"/>
      <c r="BA341" s="234"/>
      <c r="BB341" s="234"/>
      <c r="BC341" s="234"/>
      <c r="BD341" s="234"/>
      <c r="BE341" s="234"/>
      <c r="BF341" s="234"/>
      <c r="BG341" s="234"/>
      <c r="BH341" s="234"/>
    </row>
    <row r="342" spans="1:60" ht="24" customHeight="1" x14ac:dyDescent="0.25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  <c r="AD342" s="234"/>
      <c r="AE342" s="234"/>
      <c r="AF342" s="234"/>
      <c r="AG342" s="234"/>
      <c r="AH342" s="234"/>
      <c r="AI342" s="234"/>
      <c r="AJ342" s="234"/>
      <c r="AK342" s="234"/>
      <c r="AL342" s="234"/>
      <c r="AM342" s="234"/>
      <c r="AN342" s="201"/>
      <c r="AO342" s="234"/>
      <c r="AP342" s="234"/>
      <c r="AQ342" s="234"/>
      <c r="AR342" s="234"/>
      <c r="AS342" s="234"/>
      <c r="AT342" s="234"/>
      <c r="AU342" s="234"/>
      <c r="AV342" s="234"/>
      <c r="AW342" s="234"/>
      <c r="AX342" s="234"/>
      <c r="AY342" s="234"/>
      <c r="AZ342" s="234"/>
      <c r="BA342" s="234"/>
      <c r="BB342" s="234"/>
      <c r="BC342" s="234"/>
      <c r="BD342" s="234"/>
      <c r="BE342" s="234"/>
      <c r="BF342" s="234"/>
      <c r="BG342" s="234"/>
      <c r="BH342" s="234"/>
    </row>
    <row r="343" spans="1:60" ht="24" customHeight="1" x14ac:dyDescent="0.25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  <c r="AD343" s="234"/>
      <c r="AE343" s="234"/>
      <c r="AF343" s="234"/>
      <c r="AG343" s="234"/>
      <c r="AH343" s="234"/>
      <c r="AI343" s="234"/>
      <c r="AJ343" s="234"/>
      <c r="AK343" s="234"/>
      <c r="AL343" s="234"/>
      <c r="AM343" s="234"/>
      <c r="AN343" s="201"/>
      <c r="AO343" s="234"/>
      <c r="AP343" s="234"/>
      <c r="AQ343" s="234"/>
      <c r="AR343" s="234"/>
      <c r="AS343" s="234"/>
      <c r="AT343" s="234"/>
      <c r="AU343" s="234"/>
      <c r="AV343" s="234"/>
      <c r="AW343" s="234"/>
      <c r="AX343" s="234"/>
      <c r="AY343" s="234"/>
      <c r="AZ343" s="234"/>
      <c r="BA343" s="234"/>
      <c r="BB343" s="234"/>
      <c r="BC343" s="234"/>
      <c r="BD343" s="234"/>
      <c r="BE343" s="234"/>
      <c r="BF343" s="234"/>
      <c r="BG343" s="234"/>
      <c r="BH343" s="234"/>
    </row>
    <row r="344" spans="1:60" ht="24" customHeight="1" x14ac:dyDescent="0.25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  <c r="AD344" s="234"/>
      <c r="AE344" s="234"/>
      <c r="AF344" s="234"/>
      <c r="AG344" s="234"/>
      <c r="AH344" s="234"/>
      <c r="AI344" s="234"/>
      <c r="AJ344" s="234"/>
      <c r="AK344" s="234"/>
      <c r="AL344" s="234"/>
      <c r="AM344" s="234"/>
      <c r="AN344" s="201"/>
      <c r="AO344" s="234"/>
      <c r="AP344" s="234"/>
      <c r="AQ344" s="234"/>
      <c r="AR344" s="234"/>
      <c r="AS344" s="234"/>
      <c r="AT344" s="234"/>
      <c r="AU344" s="234"/>
      <c r="AV344" s="234"/>
      <c r="AW344" s="234"/>
      <c r="AX344" s="234"/>
      <c r="AY344" s="234"/>
      <c r="AZ344" s="234"/>
      <c r="BA344" s="234"/>
      <c r="BB344" s="234"/>
      <c r="BC344" s="234"/>
      <c r="BD344" s="234"/>
      <c r="BE344" s="234"/>
      <c r="BF344" s="234"/>
      <c r="BG344" s="234"/>
      <c r="BH344" s="234"/>
    </row>
    <row r="345" spans="1:60" ht="24" customHeight="1" x14ac:dyDescent="0.2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  <c r="AD345" s="234"/>
      <c r="AE345" s="234"/>
      <c r="AF345" s="234"/>
      <c r="AG345" s="234"/>
      <c r="AH345" s="234"/>
      <c r="AI345" s="234"/>
      <c r="AJ345" s="234"/>
      <c r="AK345" s="234"/>
      <c r="AL345" s="234"/>
      <c r="AM345" s="234"/>
      <c r="AN345" s="201"/>
      <c r="AO345" s="234"/>
      <c r="AP345" s="234"/>
      <c r="AQ345" s="234"/>
      <c r="AR345" s="234"/>
      <c r="AS345" s="234"/>
      <c r="AT345" s="234"/>
      <c r="AU345" s="234"/>
      <c r="AV345" s="234"/>
      <c r="AW345" s="234"/>
      <c r="AX345" s="234"/>
      <c r="AY345" s="234"/>
      <c r="AZ345" s="234"/>
      <c r="BA345" s="234"/>
      <c r="BB345" s="234"/>
      <c r="BC345" s="234"/>
      <c r="BD345" s="234"/>
      <c r="BE345" s="234"/>
      <c r="BF345" s="234"/>
      <c r="BG345" s="234"/>
      <c r="BH345" s="234"/>
    </row>
    <row r="346" spans="1:60" ht="24" customHeight="1" x14ac:dyDescent="0.25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  <c r="AD346" s="234"/>
      <c r="AE346" s="234"/>
      <c r="AF346" s="234"/>
      <c r="AG346" s="234"/>
      <c r="AH346" s="234"/>
      <c r="AI346" s="234"/>
      <c r="AJ346" s="234"/>
      <c r="AK346" s="234"/>
      <c r="AL346" s="234"/>
      <c r="AM346" s="234"/>
      <c r="AN346" s="201"/>
      <c r="AO346" s="234"/>
      <c r="AP346" s="234"/>
      <c r="AQ346" s="234"/>
      <c r="AR346" s="234"/>
      <c r="AS346" s="234"/>
      <c r="AT346" s="234"/>
      <c r="AU346" s="234"/>
      <c r="AV346" s="234"/>
      <c r="AW346" s="234"/>
      <c r="AX346" s="234"/>
      <c r="AY346" s="234"/>
      <c r="AZ346" s="234"/>
      <c r="BA346" s="234"/>
      <c r="BB346" s="234"/>
      <c r="BC346" s="234"/>
      <c r="BD346" s="234"/>
      <c r="BE346" s="234"/>
      <c r="BF346" s="234"/>
      <c r="BG346" s="234"/>
      <c r="BH346" s="234"/>
    </row>
    <row r="347" spans="1:60" ht="24" customHeight="1" x14ac:dyDescent="0.25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  <c r="AD347" s="234"/>
      <c r="AE347" s="234"/>
      <c r="AF347" s="234"/>
      <c r="AG347" s="234"/>
      <c r="AH347" s="234"/>
      <c r="AI347" s="234"/>
      <c r="AJ347" s="234"/>
      <c r="AK347" s="234"/>
      <c r="AL347" s="234"/>
      <c r="AM347" s="234"/>
      <c r="AN347" s="201"/>
      <c r="AO347" s="234"/>
      <c r="AP347" s="234"/>
      <c r="AQ347" s="234"/>
      <c r="AR347" s="234"/>
      <c r="AS347" s="234"/>
      <c r="AT347" s="234"/>
      <c r="AU347" s="234"/>
      <c r="AV347" s="234"/>
      <c r="AW347" s="234"/>
      <c r="AX347" s="234"/>
      <c r="AY347" s="234"/>
      <c r="AZ347" s="234"/>
      <c r="BA347" s="234"/>
      <c r="BB347" s="234"/>
      <c r="BC347" s="234"/>
      <c r="BD347" s="234"/>
      <c r="BE347" s="234"/>
      <c r="BF347" s="234"/>
      <c r="BG347" s="234"/>
      <c r="BH347" s="234"/>
    </row>
    <row r="348" spans="1:60" ht="24" customHeight="1" x14ac:dyDescent="0.25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  <c r="AD348" s="234"/>
      <c r="AE348" s="234"/>
      <c r="AF348" s="234"/>
      <c r="AG348" s="234"/>
      <c r="AH348" s="234"/>
      <c r="AI348" s="234"/>
      <c r="AJ348" s="234"/>
      <c r="AK348" s="234"/>
      <c r="AL348" s="234"/>
      <c r="AM348" s="234"/>
      <c r="AN348" s="201"/>
      <c r="AO348" s="234"/>
      <c r="AP348" s="234"/>
      <c r="AQ348" s="234"/>
      <c r="AR348" s="234"/>
      <c r="AS348" s="234"/>
      <c r="AT348" s="234"/>
      <c r="AU348" s="234"/>
      <c r="AV348" s="234"/>
      <c r="AW348" s="234"/>
      <c r="AX348" s="234"/>
      <c r="AY348" s="234"/>
      <c r="AZ348" s="234"/>
      <c r="BA348" s="234"/>
      <c r="BB348" s="234"/>
      <c r="BC348" s="234"/>
      <c r="BD348" s="234"/>
      <c r="BE348" s="234"/>
      <c r="BF348" s="234"/>
      <c r="BG348" s="234"/>
      <c r="BH348" s="234"/>
    </row>
    <row r="349" spans="1:60" ht="24" customHeight="1" x14ac:dyDescent="0.25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  <c r="AD349" s="234"/>
      <c r="AE349" s="234"/>
      <c r="AF349" s="234"/>
      <c r="AG349" s="234"/>
      <c r="AH349" s="234"/>
      <c r="AI349" s="234"/>
      <c r="AJ349" s="234"/>
      <c r="AK349" s="234"/>
      <c r="AL349" s="234"/>
      <c r="AM349" s="234"/>
      <c r="AN349" s="201"/>
      <c r="AO349" s="234"/>
      <c r="AP349" s="234"/>
      <c r="AQ349" s="234"/>
      <c r="AR349" s="234"/>
      <c r="AS349" s="234"/>
      <c r="AT349" s="234"/>
      <c r="AU349" s="234"/>
      <c r="AV349" s="234"/>
      <c r="AW349" s="234"/>
      <c r="AX349" s="234"/>
      <c r="AY349" s="234"/>
      <c r="AZ349" s="234"/>
      <c r="BA349" s="234"/>
      <c r="BB349" s="234"/>
      <c r="BC349" s="234"/>
      <c r="BD349" s="234"/>
      <c r="BE349" s="234"/>
      <c r="BF349" s="234"/>
      <c r="BG349" s="234"/>
      <c r="BH349" s="234"/>
    </row>
    <row r="350" spans="1:60" ht="24" customHeight="1" x14ac:dyDescent="0.25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  <c r="AD350" s="234"/>
      <c r="AE350" s="234"/>
      <c r="AF350" s="234"/>
      <c r="AG350" s="234"/>
      <c r="AH350" s="234"/>
      <c r="AI350" s="234"/>
      <c r="AJ350" s="234"/>
      <c r="AK350" s="234"/>
      <c r="AL350" s="234"/>
      <c r="AM350" s="234"/>
      <c r="AN350" s="201"/>
      <c r="AO350" s="234"/>
      <c r="AP350" s="234"/>
      <c r="AQ350" s="234"/>
      <c r="AR350" s="234"/>
      <c r="AS350" s="234"/>
      <c r="AT350" s="234"/>
      <c r="AU350" s="234"/>
      <c r="AV350" s="234"/>
      <c r="AW350" s="234"/>
      <c r="AX350" s="234"/>
      <c r="AY350" s="234"/>
      <c r="AZ350" s="234"/>
      <c r="BA350" s="234"/>
      <c r="BB350" s="234"/>
      <c r="BC350" s="234"/>
      <c r="BD350" s="234"/>
      <c r="BE350" s="234"/>
      <c r="BF350" s="234"/>
      <c r="BG350" s="234"/>
      <c r="BH350" s="234"/>
    </row>
    <row r="351" spans="1:60" ht="24" customHeight="1" x14ac:dyDescent="0.25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4"/>
      <c r="AH351" s="234"/>
      <c r="AI351" s="234"/>
      <c r="AJ351" s="234"/>
      <c r="AK351" s="234"/>
      <c r="AL351" s="234"/>
      <c r="AM351" s="234"/>
      <c r="AN351" s="201"/>
      <c r="AO351" s="234"/>
      <c r="AP351" s="234"/>
      <c r="AQ351" s="234"/>
      <c r="AR351" s="234"/>
      <c r="AS351" s="234"/>
      <c r="AT351" s="234"/>
      <c r="AU351" s="234"/>
      <c r="AV351" s="234"/>
      <c r="AW351" s="234"/>
      <c r="AX351" s="234"/>
      <c r="AY351" s="234"/>
      <c r="AZ351" s="234"/>
      <c r="BA351" s="234"/>
      <c r="BB351" s="234"/>
      <c r="BC351" s="234"/>
      <c r="BD351" s="234"/>
      <c r="BE351" s="234"/>
      <c r="BF351" s="234"/>
      <c r="BG351" s="234"/>
      <c r="BH351" s="234"/>
    </row>
    <row r="352" spans="1:60" ht="24" customHeight="1" x14ac:dyDescent="0.25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  <c r="AD352" s="234"/>
      <c r="AE352" s="234"/>
      <c r="AF352" s="234"/>
      <c r="AG352" s="234"/>
      <c r="AH352" s="234"/>
      <c r="AI352" s="234"/>
      <c r="AJ352" s="234"/>
      <c r="AK352" s="234"/>
      <c r="AL352" s="234"/>
      <c r="AM352" s="234"/>
      <c r="AN352" s="201"/>
      <c r="AO352" s="234"/>
      <c r="AP352" s="234"/>
      <c r="AQ352" s="234"/>
      <c r="AR352" s="234"/>
      <c r="AS352" s="234"/>
      <c r="AT352" s="234"/>
      <c r="AU352" s="234"/>
      <c r="AV352" s="234"/>
      <c r="AW352" s="234"/>
      <c r="AX352" s="234"/>
      <c r="AY352" s="234"/>
      <c r="AZ352" s="234"/>
      <c r="BA352" s="234"/>
      <c r="BB352" s="234"/>
      <c r="BC352" s="234"/>
      <c r="BD352" s="234"/>
      <c r="BE352" s="234"/>
      <c r="BF352" s="234"/>
      <c r="BG352" s="234"/>
      <c r="BH352" s="234"/>
    </row>
    <row r="353" spans="1:60" ht="24" customHeight="1" x14ac:dyDescent="0.25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34"/>
      <c r="AJ353" s="234"/>
      <c r="AK353" s="234"/>
      <c r="AL353" s="234"/>
      <c r="AM353" s="234"/>
      <c r="AN353" s="201"/>
      <c r="AO353" s="234"/>
      <c r="AP353" s="234"/>
      <c r="AQ353" s="234"/>
      <c r="AR353" s="234"/>
      <c r="AS353" s="234"/>
      <c r="AT353" s="234"/>
      <c r="AU353" s="234"/>
      <c r="AV353" s="234"/>
      <c r="AW353" s="234"/>
      <c r="AX353" s="234"/>
      <c r="AY353" s="234"/>
      <c r="AZ353" s="234"/>
      <c r="BA353" s="234"/>
      <c r="BB353" s="234"/>
      <c r="BC353" s="234"/>
      <c r="BD353" s="234"/>
      <c r="BE353" s="234"/>
      <c r="BF353" s="234"/>
      <c r="BG353" s="234"/>
      <c r="BH353" s="234"/>
    </row>
    <row r="354" spans="1:60" ht="24" customHeight="1" x14ac:dyDescent="0.25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34"/>
      <c r="AJ354" s="234"/>
      <c r="AK354" s="234"/>
      <c r="AL354" s="234"/>
      <c r="AM354" s="234"/>
      <c r="AN354" s="201"/>
      <c r="AO354" s="234"/>
      <c r="AP354" s="234"/>
      <c r="AQ354" s="234"/>
      <c r="AR354" s="234"/>
      <c r="AS354" s="234"/>
      <c r="AT354" s="234"/>
      <c r="AU354" s="234"/>
      <c r="AV354" s="234"/>
      <c r="AW354" s="234"/>
      <c r="AX354" s="234"/>
      <c r="AY354" s="234"/>
      <c r="AZ354" s="234"/>
      <c r="BA354" s="234"/>
      <c r="BB354" s="234"/>
      <c r="BC354" s="234"/>
      <c r="BD354" s="234"/>
      <c r="BE354" s="234"/>
      <c r="BF354" s="234"/>
      <c r="BG354" s="234"/>
      <c r="BH354" s="234"/>
    </row>
    <row r="355" spans="1:60" ht="24" customHeight="1" x14ac:dyDescent="0.2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  <c r="AD355" s="234"/>
      <c r="AE355" s="234"/>
      <c r="AF355" s="234"/>
      <c r="AG355" s="234"/>
      <c r="AH355" s="234"/>
      <c r="AI355" s="234"/>
      <c r="AJ355" s="234"/>
      <c r="AK355" s="234"/>
      <c r="AL355" s="234"/>
      <c r="AM355" s="234"/>
      <c r="AN355" s="201"/>
      <c r="AO355" s="234"/>
      <c r="AP355" s="234"/>
      <c r="AQ355" s="234"/>
      <c r="AR355" s="234"/>
      <c r="AS355" s="234"/>
      <c r="AT355" s="234"/>
      <c r="AU355" s="234"/>
      <c r="AV355" s="234"/>
      <c r="AW355" s="234"/>
      <c r="AX355" s="234"/>
      <c r="AY355" s="234"/>
      <c r="AZ355" s="234"/>
      <c r="BA355" s="234"/>
      <c r="BB355" s="234"/>
      <c r="BC355" s="234"/>
      <c r="BD355" s="234"/>
      <c r="BE355" s="234"/>
      <c r="BF355" s="234"/>
      <c r="BG355" s="234"/>
      <c r="BH355" s="234"/>
    </row>
    <row r="356" spans="1:60" ht="24" customHeight="1" x14ac:dyDescent="0.25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  <c r="AD356" s="234"/>
      <c r="AE356" s="234"/>
      <c r="AF356" s="234"/>
      <c r="AG356" s="234"/>
      <c r="AH356" s="234"/>
      <c r="AI356" s="234"/>
      <c r="AJ356" s="234"/>
      <c r="AK356" s="234"/>
      <c r="AL356" s="234"/>
      <c r="AM356" s="234"/>
      <c r="AN356" s="201"/>
      <c r="AO356" s="234"/>
      <c r="AP356" s="234"/>
      <c r="AQ356" s="234"/>
      <c r="AR356" s="234"/>
      <c r="AS356" s="234"/>
      <c r="AT356" s="234"/>
      <c r="AU356" s="234"/>
      <c r="AV356" s="234"/>
      <c r="AW356" s="234"/>
      <c r="AX356" s="234"/>
      <c r="AY356" s="234"/>
      <c r="AZ356" s="234"/>
      <c r="BA356" s="234"/>
      <c r="BB356" s="234"/>
      <c r="BC356" s="234"/>
      <c r="BD356" s="234"/>
      <c r="BE356" s="234"/>
      <c r="BF356" s="234"/>
      <c r="BG356" s="234"/>
      <c r="BH356" s="234"/>
    </row>
    <row r="357" spans="1:60" ht="24" customHeight="1" x14ac:dyDescent="0.25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  <c r="AD357" s="234"/>
      <c r="AE357" s="234"/>
      <c r="AF357" s="234"/>
      <c r="AG357" s="234"/>
      <c r="AH357" s="234"/>
      <c r="AI357" s="234"/>
      <c r="AJ357" s="234"/>
      <c r="AK357" s="234"/>
      <c r="AL357" s="234"/>
      <c r="AM357" s="234"/>
      <c r="AN357" s="201"/>
      <c r="AO357" s="234"/>
      <c r="AP357" s="234"/>
      <c r="AQ357" s="234"/>
      <c r="AR357" s="234"/>
      <c r="AS357" s="234"/>
      <c r="AT357" s="234"/>
      <c r="AU357" s="234"/>
      <c r="AV357" s="234"/>
      <c r="AW357" s="234"/>
      <c r="AX357" s="234"/>
      <c r="AY357" s="234"/>
      <c r="AZ357" s="234"/>
      <c r="BA357" s="234"/>
      <c r="BB357" s="234"/>
      <c r="BC357" s="234"/>
      <c r="BD357" s="234"/>
      <c r="BE357" s="234"/>
      <c r="BF357" s="234"/>
      <c r="BG357" s="234"/>
      <c r="BH357" s="234"/>
    </row>
    <row r="358" spans="1:60" ht="24" customHeight="1" x14ac:dyDescent="0.25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  <c r="AD358" s="234"/>
      <c r="AE358" s="234"/>
      <c r="AF358" s="234"/>
      <c r="AG358" s="234"/>
      <c r="AH358" s="234"/>
      <c r="AI358" s="234"/>
      <c r="AJ358" s="234"/>
      <c r="AK358" s="234"/>
      <c r="AL358" s="234"/>
      <c r="AM358" s="234"/>
      <c r="AN358" s="201"/>
      <c r="AO358" s="234"/>
      <c r="AP358" s="234"/>
      <c r="AQ358" s="234"/>
      <c r="AR358" s="234"/>
      <c r="AS358" s="234"/>
      <c r="AT358" s="234"/>
      <c r="AU358" s="234"/>
      <c r="AV358" s="234"/>
      <c r="AW358" s="234"/>
      <c r="AX358" s="234"/>
      <c r="AY358" s="234"/>
      <c r="AZ358" s="234"/>
      <c r="BA358" s="234"/>
      <c r="BB358" s="234"/>
      <c r="BC358" s="234"/>
      <c r="BD358" s="234"/>
      <c r="BE358" s="234"/>
      <c r="BF358" s="234"/>
      <c r="BG358" s="234"/>
      <c r="BH358" s="234"/>
    </row>
    <row r="359" spans="1:60" ht="24" customHeight="1" x14ac:dyDescent="0.25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  <c r="AD359" s="234"/>
      <c r="AE359" s="234"/>
      <c r="AF359" s="234"/>
      <c r="AG359" s="234"/>
      <c r="AH359" s="234"/>
      <c r="AI359" s="234"/>
      <c r="AJ359" s="234"/>
      <c r="AK359" s="234"/>
      <c r="AL359" s="234"/>
      <c r="AM359" s="234"/>
      <c r="AN359" s="201"/>
      <c r="AO359" s="234"/>
      <c r="AP359" s="234"/>
      <c r="AQ359" s="234"/>
      <c r="AR359" s="234"/>
      <c r="AS359" s="234"/>
      <c r="AT359" s="234"/>
      <c r="AU359" s="234"/>
      <c r="AV359" s="234"/>
      <c r="AW359" s="234"/>
      <c r="AX359" s="234"/>
      <c r="AY359" s="234"/>
      <c r="AZ359" s="234"/>
      <c r="BA359" s="234"/>
      <c r="BB359" s="234"/>
      <c r="BC359" s="234"/>
      <c r="BD359" s="234"/>
      <c r="BE359" s="234"/>
      <c r="BF359" s="234"/>
      <c r="BG359" s="234"/>
      <c r="BH359" s="234"/>
    </row>
    <row r="360" spans="1:60" ht="24" customHeight="1" x14ac:dyDescent="0.25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  <c r="AD360" s="234"/>
      <c r="AE360" s="234"/>
      <c r="AF360" s="234"/>
      <c r="AG360" s="234"/>
      <c r="AH360" s="234"/>
      <c r="AI360" s="234"/>
      <c r="AJ360" s="234"/>
      <c r="AK360" s="234"/>
      <c r="AL360" s="234"/>
      <c r="AM360" s="234"/>
      <c r="AN360" s="201"/>
      <c r="AO360" s="234"/>
      <c r="AP360" s="234"/>
      <c r="AQ360" s="234"/>
      <c r="AR360" s="234"/>
      <c r="AS360" s="234"/>
      <c r="AT360" s="234"/>
      <c r="AU360" s="234"/>
      <c r="AV360" s="234"/>
      <c r="AW360" s="234"/>
      <c r="AX360" s="234"/>
      <c r="AY360" s="234"/>
      <c r="AZ360" s="234"/>
      <c r="BA360" s="234"/>
      <c r="BB360" s="234"/>
      <c r="BC360" s="234"/>
      <c r="BD360" s="234"/>
      <c r="BE360" s="234"/>
      <c r="BF360" s="234"/>
      <c r="BG360" s="234"/>
      <c r="BH360" s="234"/>
    </row>
    <row r="361" spans="1:60" ht="24" customHeight="1" x14ac:dyDescent="0.25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  <c r="AD361" s="234"/>
      <c r="AE361" s="234"/>
      <c r="AF361" s="234"/>
      <c r="AG361" s="234"/>
      <c r="AH361" s="234"/>
      <c r="AI361" s="234"/>
      <c r="AJ361" s="234"/>
      <c r="AK361" s="234"/>
      <c r="AL361" s="234"/>
      <c r="AM361" s="234"/>
      <c r="AN361" s="201"/>
      <c r="AO361" s="234"/>
      <c r="AP361" s="234"/>
      <c r="AQ361" s="234"/>
      <c r="AR361" s="234"/>
      <c r="AS361" s="234"/>
      <c r="AT361" s="234"/>
      <c r="AU361" s="234"/>
      <c r="AV361" s="234"/>
      <c r="AW361" s="234"/>
      <c r="AX361" s="234"/>
      <c r="AY361" s="234"/>
      <c r="AZ361" s="234"/>
      <c r="BA361" s="234"/>
      <c r="BB361" s="234"/>
      <c r="BC361" s="234"/>
      <c r="BD361" s="234"/>
      <c r="BE361" s="234"/>
      <c r="BF361" s="234"/>
      <c r="BG361" s="234"/>
      <c r="BH361" s="234"/>
    </row>
    <row r="362" spans="1:60" ht="24" customHeight="1" x14ac:dyDescent="0.25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  <c r="AD362" s="234"/>
      <c r="AE362" s="234"/>
      <c r="AF362" s="234"/>
      <c r="AG362" s="234"/>
      <c r="AH362" s="234"/>
      <c r="AI362" s="234"/>
      <c r="AJ362" s="234"/>
      <c r="AK362" s="234"/>
      <c r="AL362" s="234"/>
      <c r="AM362" s="234"/>
      <c r="AN362" s="201"/>
      <c r="AO362" s="234"/>
      <c r="AP362" s="234"/>
      <c r="AQ362" s="234"/>
      <c r="AR362" s="234"/>
      <c r="AS362" s="234"/>
      <c r="AT362" s="234"/>
      <c r="AU362" s="234"/>
      <c r="AV362" s="234"/>
      <c r="AW362" s="234"/>
      <c r="AX362" s="234"/>
      <c r="AY362" s="234"/>
      <c r="AZ362" s="234"/>
      <c r="BA362" s="234"/>
      <c r="BB362" s="234"/>
      <c r="BC362" s="234"/>
      <c r="BD362" s="234"/>
      <c r="BE362" s="234"/>
      <c r="BF362" s="234"/>
      <c r="BG362" s="234"/>
      <c r="BH362" s="234"/>
    </row>
    <row r="363" spans="1:60" ht="24" customHeight="1" x14ac:dyDescent="0.25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  <c r="AD363" s="234"/>
      <c r="AE363" s="234"/>
      <c r="AF363" s="234"/>
      <c r="AG363" s="234"/>
      <c r="AH363" s="234"/>
      <c r="AI363" s="234"/>
      <c r="AJ363" s="234"/>
      <c r="AK363" s="234"/>
      <c r="AL363" s="234"/>
      <c r="AM363" s="234"/>
      <c r="AN363" s="201"/>
      <c r="AO363" s="234"/>
      <c r="AP363" s="234"/>
      <c r="AQ363" s="234"/>
      <c r="AR363" s="234"/>
      <c r="AS363" s="234"/>
      <c r="AT363" s="234"/>
      <c r="AU363" s="234"/>
      <c r="AV363" s="234"/>
      <c r="AW363" s="234"/>
      <c r="AX363" s="234"/>
      <c r="AY363" s="234"/>
      <c r="AZ363" s="234"/>
      <c r="BA363" s="234"/>
      <c r="BB363" s="234"/>
      <c r="BC363" s="234"/>
      <c r="BD363" s="234"/>
      <c r="BE363" s="234"/>
      <c r="BF363" s="234"/>
      <c r="BG363" s="234"/>
      <c r="BH363" s="234"/>
    </row>
    <row r="364" spans="1:60" ht="24" customHeight="1" x14ac:dyDescent="0.25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  <c r="AH364" s="234"/>
      <c r="AI364" s="234"/>
      <c r="AJ364" s="234"/>
      <c r="AK364" s="234"/>
      <c r="AL364" s="234"/>
      <c r="AM364" s="234"/>
      <c r="AN364" s="201"/>
      <c r="AO364" s="234"/>
      <c r="AP364" s="234"/>
      <c r="AQ364" s="234"/>
      <c r="AR364" s="234"/>
      <c r="AS364" s="234"/>
      <c r="AT364" s="234"/>
      <c r="AU364" s="234"/>
      <c r="AV364" s="234"/>
      <c r="AW364" s="234"/>
      <c r="AX364" s="234"/>
      <c r="AY364" s="234"/>
      <c r="AZ364" s="234"/>
      <c r="BA364" s="234"/>
      <c r="BB364" s="234"/>
      <c r="BC364" s="234"/>
      <c r="BD364" s="234"/>
      <c r="BE364" s="234"/>
      <c r="BF364" s="234"/>
      <c r="BG364" s="234"/>
      <c r="BH364" s="234"/>
    </row>
    <row r="365" spans="1:60" ht="24" customHeight="1" x14ac:dyDescent="0.2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234"/>
      <c r="AK365" s="234"/>
      <c r="AL365" s="234"/>
      <c r="AM365" s="234"/>
      <c r="AN365" s="201"/>
      <c r="AO365" s="234"/>
      <c r="AP365" s="234"/>
      <c r="AQ365" s="234"/>
      <c r="AR365" s="234"/>
      <c r="AS365" s="234"/>
      <c r="AT365" s="234"/>
      <c r="AU365" s="234"/>
      <c r="AV365" s="234"/>
      <c r="AW365" s="234"/>
      <c r="AX365" s="234"/>
      <c r="AY365" s="234"/>
      <c r="AZ365" s="234"/>
      <c r="BA365" s="234"/>
      <c r="BB365" s="234"/>
      <c r="BC365" s="234"/>
      <c r="BD365" s="234"/>
      <c r="BE365" s="234"/>
      <c r="BF365" s="234"/>
      <c r="BG365" s="234"/>
      <c r="BH365" s="234"/>
    </row>
    <row r="366" spans="1:60" ht="24" customHeight="1" x14ac:dyDescent="0.25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01"/>
      <c r="AO366" s="234"/>
      <c r="AP366" s="234"/>
      <c r="AQ366" s="234"/>
      <c r="AR366" s="234"/>
      <c r="AS366" s="234"/>
      <c r="AT366" s="234"/>
      <c r="AU366" s="234"/>
      <c r="AV366" s="234"/>
      <c r="AW366" s="234"/>
      <c r="AX366" s="234"/>
      <c r="AY366" s="234"/>
      <c r="AZ366" s="234"/>
      <c r="BA366" s="234"/>
      <c r="BB366" s="234"/>
      <c r="BC366" s="234"/>
      <c r="BD366" s="234"/>
      <c r="BE366" s="234"/>
      <c r="BF366" s="234"/>
      <c r="BG366" s="234"/>
      <c r="BH366" s="234"/>
    </row>
    <row r="367" spans="1:60" ht="24" customHeight="1" x14ac:dyDescent="0.25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234"/>
      <c r="AK367" s="234"/>
      <c r="AL367" s="234"/>
      <c r="AM367" s="234"/>
      <c r="AN367" s="201"/>
      <c r="AO367" s="234"/>
      <c r="AP367" s="234"/>
      <c r="AQ367" s="234"/>
      <c r="AR367" s="234"/>
      <c r="AS367" s="234"/>
      <c r="AT367" s="234"/>
      <c r="AU367" s="234"/>
      <c r="AV367" s="234"/>
      <c r="AW367" s="234"/>
      <c r="AX367" s="234"/>
      <c r="AY367" s="234"/>
      <c r="AZ367" s="234"/>
      <c r="BA367" s="234"/>
      <c r="BB367" s="234"/>
      <c r="BC367" s="234"/>
      <c r="BD367" s="234"/>
      <c r="BE367" s="234"/>
      <c r="BF367" s="234"/>
      <c r="BG367" s="234"/>
      <c r="BH367" s="234"/>
    </row>
    <row r="368" spans="1:60" ht="24" customHeight="1" x14ac:dyDescent="0.25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234"/>
      <c r="AK368" s="234"/>
      <c r="AL368" s="234"/>
      <c r="AM368" s="234"/>
      <c r="AN368" s="201"/>
      <c r="AO368" s="234"/>
      <c r="AP368" s="234"/>
      <c r="AQ368" s="234"/>
      <c r="AR368" s="234"/>
      <c r="AS368" s="234"/>
      <c r="AT368" s="234"/>
      <c r="AU368" s="234"/>
      <c r="AV368" s="234"/>
      <c r="AW368" s="234"/>
      <c r="AX368" s="234"/>
      <c r="AY368" s="234"/>
      <c r="AZ368" s="234"/>
      <c r="BA368" s="234"/>
      <c r="BB368" s="234"/>
      <c r="BC368" s="234"/>
      <c r="BD368" s="234"/>
      <c r="BE368" s="234"/>
      <c r="BF368" s="234"/>
      <c r="BG368" s="234"/>
      <c r="BH368" s="234"/>
    </row>
    <row r="369" spans="1:60" ht="24" customHeight="1" x14ac:dyDescent="0.25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01"/>
      <c r="AO369" s="234"/>
      <c r="AP369" s="234"/>
      <c r="AQ369" s="234"/>
      <c r="AR369" s="234"/>
      <c r="AS369" s="234"/>
      <c r="AT369" s="234"/>
      <c r="AU369" s="234"/>
      <c r="AV369" s="234"/>
      <c r="AW369" s="234"/>
      <c r="AX369" s="234"/>
      <c r="AY369" s="234"/>
      <c r="AZ369" s="234"/>
      <c r="BA369" s="234"/>
      <c r="BB369" s="234"/>
      <c r="BC369" s="234"/>
      <c r="BD369" s="234"/>
      <c r="BE369" s="234"/>
      <c r="BF369" s="234"/>
      <c r="BG369" s="234"/>
      <c r="BH369" s="234"/>
    </row>
    <row r="370" spans="1:60" ht="24" customHeight="1" x14ac:dyDescent="0.25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234"/>
      <c r="AK370" s="234"/>
      <c r="AL370" s="234"/>
      <c r="AM370" s="234"/>
      <c r="AN370" s="201"/>
      <c r="AO370" s="234"/>
      <c r="AP370" s="234"/>
      <c r="AQ370" s="234"/>
      <c r="AR370" s="234"/>
      <c r="AS370" s="234"/>
      <c r="AT370" s="234"/>
      <c r="AU370" s="234"/>
      <c r="AV370" s="234"/>
      <c r="AW370" s="234"/>
      <c r="AX370" s="234"/>
      <c r="AY370" s="234"/>
      <c r="AZ370" s="234"/>
      <c r="BA370" s="234"/>
      <c r="BB370" s="234"/>
      <c r="BC370" s="234"/>
      <c r="BD370" s="234"/>
      <c r="BE370" s="234"/>
      <c r="BF370" s="234"/>
      <c r="BG370" s="234"/>
      <c r="BH370" s="234"/>
    </row>
    <row r="371" spans="1:60" ht="24" customHeight="1" x14ac:dyDescent="0.25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234"/>
      <c r="AK371" s="234"/>
      <c r="AL371" s="234"/>
      <c r="AM371" s="234"/>
      <c r="AN371" s="201"/>
      <c r="AO371" s="234"/>
      <c r="AP371" s="234"/>
      <c r="AQ371" s="234"/>
      <c r="AR371" s="234"/>
      <c r="AS371" s="234"/>
      <c r="AT371" s="234"/>
      <c r="AU371" s="234"/>
      <c r="AV371" s="234"/>
      <c r="AW371" s="234"/>
      <c r="AX371" s="234"/>
      <c r="AY371" s="234"/>
      <c r="AZ371" s="234"/>
      <c r="BA371" s="234"/>
      <c r="BB371" s="234"/>
      <c r="BC371" s="234"/>
      <c r="BD371" s="234"/>
      <c r="BE371" s="234"/>
      <c r="BF371" s="234"/>
      <c r="BG371" s="234"/>
      <c r="BH371" s="234"/>
    </row>
    <row r="372" spans="1:60" ht="24" customHeight="1" x14ac:dyDescent="0.25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234"/>
      <c r="AK372" s="234"/>
      <c r="AL372" s="234"/>
      <c r="AM372" s="234"/>
      <c r="AN372" s="201"/>
      <c r="AO372" s="234"/>
      <c r="AP372" s="234"/>
      <c r="AQ372" s="234"/>
      <c r="AR372" s="234"/>
      <c r="AS372" s="234"/>
      <c r="AT372" s="234"/>
      <c r="AU372" s="234"/>
      <c r="AV372" s="234"/>
      <c r="AW372" s="234"/>
      <c r="AX372" s="234"/>
      <c r="AY372" s="234"/>
      <c r="AZ372" s="234"/>
      <c r="BA372" s="234"/>
      <c r="BB372" s="234"/>
      <c r="BC372" s="234"/>
      <c r="BD372" s="234"/>
      <c r="BE372" s="234"/>
      <c r="BF372" s="234"/>
      <c r="BG372" s="234"/>
      <c r="BH372" s="234"/>
    </row>
    <row r="373" spans="1:60" ht="24" customHeight="1" x14ac:dyDescent="0.25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234"/>
      <c r="AK373" s="234"/>
      <c r="AL373" s="234"/>
      <c r="AM373" s="234"/>
      <c r="AN373" s="201"/>
      <c r="AO373" s="234"/>
      <c r="AP373" s="234"/>
      <c r="AQ373" s="234"/>
      <c r="AR373" s="234"/>
      <c r="AS373" s="234"/>
      <c r="AT373" s="234"/>
      <c r="AU373" s="234"/>
      <c r="AV373" s="234"/>
      <c r="AW373" s="234"/>
      <c r="AX373" s="234"/>
      <c r="AY373" s="234"/>
      <c r="AZ373" s="234"/>
      <c r="BA373" s="234"/>
      <c r="BB373" s="234"/>
      <c r="BC373" s="234"/>
      <c r="BD373" s="234"/>
      <c r="BE373" s="234"/>
      <c r="BF373" s="234"/>
      <c r="BG373" s="234"/>
      <c r="BH373" s="234"/>
    </row>
    <row r="374" spans="1:60" ht="24" customHeight="1" x14ac:dyDescent="0.25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234"/>
      <c r="AK374" s="234"/>
      <c r="AL374" s="234"/>
      <c r="AM374" s="234"/>
      <c r="AN374" s="201"/>
      <c r="AO374" s="234"/>
      <c r="AP374" s="234"/>
      <c r="AQ374" s="234"/>
      <c r="AR374" s="234"/>
      <c r="AS374" s="234"/>
      <c r="AT374" s="234"/>
      <c r="AU374" s="234"/>
      <c r="AV374" s="234"/>
      <c r="AW374" s="234"/>
      <c r="AX374" s="234"/>
      <c r="AY374" s="234"/>
      <c r="AZ374" s="234"/>
      <c r="BA374" s="234"/>
      <c r="BB374" s="234"/>
      <c r="BC374" s="234"/>
      <c r="BD374" s="234"/>
      <c r="BE374" s="234"/>
      <c r="BF374" s="234"/>
      <c r="BG374" s="234"/>
      <c r="BH374" s="234"/>
    </row>
    <row r="375" spans="1:60" ht="24" customHeight="1" x14ac:dyDescent="0.2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234"/>
      <c r="AK375" s="234"/>
      <c r="AL375" s="234"/>
      <c r="AM375" s="234"/>
      <c r="AN375" s="201"/>
      <c r="AO375" s="234"/>
      <c r="AP375" s="234"/>
      <c r="AQ375" s="234"/>
      <c r="AR375" s="234"/>
      <c r="AS375" s="234"/>
      <c r="AT375" s="234"/>
      <c r="AU375" s="234"/>
      <c r="AV375" s="234"/>
      <c r="AW375" s="234"/>
      <c r="AX375" s="234"/>
      <c r="AY375" s="234"/>
      <c r="AZ375" s="234"/>
      <c r="BA375" s="234"/>
      <c r="BB375" s="234"/>
      <c r="BC375" s="234"/>
      <c r="BD375" s="234"/>
      <c r="BE375" s="234"/>
      <c r="BF375" s="234"/>
      <c r="BG375" s="234"/>
      <c r="BH375" s="234"/>
    </row>
    <row r="376" spans="1:60" ht="24" customHeight="1" x14ac:dyDescent="0.25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234"/>
      <c r="AK376" s="234"/>
      <c r="AL376" s="234"/>
      <c r="AM376" s="234"/>
      <c r="AN376" s="201"/>
      <c r="AO376" s="234"/>
      <c r="AP376" s="234"/>
      <c r="AQ376" s="234"/>
      <c r="AR376" s="234"/>
      <c r="AS376" s="234"/>
      <c r="AT376" s="234"/>
      <c r="AU376" s="234"/>
      <c r="AV376" s="234"/>
      <c r="AW376" s="234"/>
      <c r="AX376" s="234"/>
      <c r="AY376" s="234"/>
      <c r="AZ376" s="234"/>
      <c r="BA376" s="234"/>
      <c r="BB376" s="234"/>
      <c r="BC376" s="234"/>
      <c r="BD376" s="234"/>
      <c r="BE376" s="234"/>
      <c r="BF376" s="234"/>
      <c r="BG376" s="234"/>
      <c r="BH376" s="234"/>
    </row>
    <row r="377" spans="1:60" ht="24" customHeight="1" x14ac:dyDescent="0.25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234"/>
      <c r="AK377" s="234"/>
      <c r="AL377" s="234"/>
      <c r="AM377" s="234"/>
      <c r="AN377" s="201"/>
      <c r="AO377" s="234"/>
      <c r="AP377" s="234"/>
      <c r="AQ377" s="234"/>
      <c r="AR377" s="234"/>
      <c r="AS377" s="234"/>
      <c r="AT377" s="234"/>
      <c r="AU377" s="234"/>
      <c r="AV377" s="234"/>
      <c r="AW377" s="234"/>
      <c r="AX377" s="234"/>
      <c r="AY377" s="234"/>
      <c r="AZ377" s="234"/>
      <c r="BA377" s="234"/>
      <c r="BB377" s="234"/>
      <c r="BC377" s="234"/>
      <c r="BD377" s="234"/>
      <c r="BE377" s="234"/>
      <c r="BF377" s="234"/>
      <c r="BG377" s="234"/>
      <c r="BH377" s="234"/>
    </row>
    <row r="378" spans="1:60" ht="24" customHeight="1" x14ac:dyDescent="0.25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234"/>
      <c r="AK378" s="234"/>
      <c r="AL378" s="234"/>
      <c r="AM378" s="234"/>
      <c r="AN378" s="201"/>
      <c r="AO378" s="234"/>
      <c r="AP378" s="234"/>
      <c r="AQ378" s="234"/>
      <c r="AR378" s="234"/>
      <c r="AS378" s="234"/>
      <c r="AT378" s="234"/>
      <c r="AU378" s="234"/>
      <c r="AV378" s="234"/>
      <c r="AW378" s="234"/>
      <c r="AX378" s="234"/>
      <c r="AY378" s="234"/>
      <c r="AZ378" s="234"/>
      <c r="BA378" s="234"/>
      <c r="BB378" s="234"/>
      <c r="BC378" s="234"/>
      <c r="BD378" s="234"/>
      <c r="BE378" s="234"/>
      <c r="BF378" s="234"/>
      <c r="BG378" s="234"/>
      <c r="BH378" s="234"/>
    </row>
    <row r="379" spans="1:60" ht="24" customHeight="1" x14ac:dyDescent="0.25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234"/>
      <c r="AK379" s="234"/>
      <c r="AL379" s="234"/>
      <c r="AM379" s="234"/>
      <c r="AN379" s="201"/>
      <c r="AO379" s="234"/>
      <c r="AP379" s="234"/>
      <c r="AQ379" s="234"/>
      <c r="AR379" s="234"/>
      <c r="AS379" s="234"/>
      <c r="AT379" s="234"/>
      <c r="AU379" s="234"/>
      <c r="AV379" s="234"/>
      <c r="AW379" s="234"/>
      <c r="AX379" s="234"/>
      <c r="AY379" s="234"/>
      <c r="AZ379" s="234"/>
      <c r="BA379" s="234"/>
      <c r="BB379" s="234"/>
      <c r="BC379" s="234"/>
      <c r="BD379" s="234"/>
      <c r="BE379" s="234"/>
      <c r="BF379" s="234"/>
      <c r="BG379" s="234"/>
      <c r="BH379" s="234"/>
    </row>
    <row r="380" spans="1:60" ht="24" customHeight="1" x14ac:dyDescent="0.25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234"/>
      <c r="AK380" s="234"/>
      <c r="AL380" s="234"/>
      <c r="AM380" s="234"/>
      <c r="AN380" s="201"/>
      <c r="AO380" s="234"/>
      <c r="AP380" s="234"/>
      <c r="AQ380" s="234"/>
      <c r="AR380" s="234"/>
      <c r="AS380" s="234"/>
      <c r="AT380" s="234"/>
      <c r="AU380" s="234"/>
      <c r="AV380" s="234"/>
      <c r="AW380" s="234"/>
      <c r="AX380" s="234"/>
      <c r="AY380" s="234"/>
      <c r="AZ380" s="234"/>
      <c r="BA380" s="234"/>
      <c r="BB380" s="234"/>
      <c r="BC380" s="234"/>
      <c r="BD380" s="234"/>
      <c r="BE380" s="234"/>
      <c r="BF380" s="234"/>
      <c r="BG380" s="234"/>
      <c r="BH380" s="234"/>
    </row>
    <row r="381" spans="1:60" ht="24" customHeight="1" x14ac:dyDescent="0.25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234"/>
      <c r="AK381" s="234"/>
      <c r="AL381" s="234"/>
      <c r="AM381" s="234"/>
      <c r="AN381" s="201"/>
      <c r="AO381" s="234"/>
      <c r="AP381" s="234"/>
      <c r="AQ381" s="234"/>
      <c r="AR381" s="234"/>
      <c r="AS381" s="234"/>
      <c r="AT381" s="234"/>
      <c r="AU381" s="234"/>
      <c r="AV381" s="234"/>
      <c r="AW381" s="234"/>
      <c r="AX381" s="234"/>
      <c r="AY381" s="234"/>
      <c r="AZ381" s="234"/>
      <c r="BA381" s="234"/>
      <c r="BB381" s="234"/>
      <c r="BC381" s="234"/>
      <c r="BD381" s="234"/>
      <c r="BE381" s="234"/>
      <c r="BF381" s="234"/>
      <c r="BG381" s="234"/>
      <c r="BH381" s="234"/>
    </row>
    <row r="382" spans="1:60" ht="24" customHeight="1" x14ac:dyDescent="0.25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234"/>
      <c r="AK382" s="234"/>
      <c r="AL382" s="234"/>
      <c r="AM382" s="234"/>
      <c r="AN382" s="201"/>
      <c r="AO382" s="234"/>
      <c r="AP382" s="234"/>
      <c r="AQ382" s="234"/>
      <c r="AR382" s="234"/>
      <c r="AS382" s="234"/>
      <c r="AT382" s="234"/>
      <c r="AU382" s="234"/>
      <c r="AV382" s="234"/>
      <c r="AW382" s="234"/>
      <c r="AX382" s="234"/>
      <c r="AY382" s="234"/>
      <c r="AZ382" s="234"/>
      <c r="BA382" s="234"/>
      <c r="BB382" s="234"/>
      <c r="BC382" s="234"/>
      <c r="BD382" s="234"/>
      <c r="BE382" s="234"/>
      <c r="BF382" s="234"/>
      <c r="BG382" s="234"/>
      <c r="BH382" s="234"/>
    </row>
    <row r="383" spans="1:60" ht="24" customHeight="1" x14ac:dyDescent="0.25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234"/>
      <c r="AK383" s="234"/>
      <c r="AL383" s="234"/>
      <c r="AM383" s="234"/>
      <c r="AN383" s="201"/>
      <c r="AO383" s="234"/>
      <c r="AP383" s="234"/>
      <c r="AQ383" s="234"/>
      <c r="AR383" s="234"/>
      <c r="AS383" s="234"/>
      <c r="AT383" s="234"/>
      <c r="AU383" s="234"/>
      <c r="AV383" s="234"/>
      <c r="AW383" s="234"/>
      <c r="AX383" s="234"/>
      <c r="AY383" s="234"/>
      <c r="AZ383" s="234"/>
      <c r="BA383" s="234"/>
      <c r="BB383" s="234"/>
      <c r="BC383" s="234"/>
      <c r="BD383" s="234"/>
      <c r="BE383" s="234"/>
      <c r="BF383" s="234"/>
      <c r="BG383" s="234"/>
      <c r="BH383" s="234"/>
    </row>
    <row r="384" spans="1:60" ht="24" customHeight="1" x14ac:dyDescent="0.25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234"/>
      <c r="AK384" s="234"/>
      <c r="AL384" s="234"/>
      <c r="AM384" s="234"/>
      <c r="AN384" s="201"/>
      <c r="AO384" s="234"/>
      <c r="AP384" s="234"/>
      <c r="AQ384" s="234"/>
      <c r="AR384" s="234"/>
      <c r="AS384" s="234"/>
      <c r="AT384" s="234"/>
      <c r="AU384" s="234"/>
      <c r="AV384" s="234"/>
      <c r="AW384" s="234"/>
      <c r="AX384" s="234"/>
      <c r="AY384" s="234"/>
      <c r="AZ384" s="234"/>
      <c r="BA384" s="234"/>
      <c r="BB384" s="234"/>
      <c r="BC384" s="234"/>
      <c r="BD384" s="234"/>
      <c r="BE384" s="234"/>
      <c r="BF384" s="234"/>
      <c r="BG384" s="234"/>
      <c r="BH384" s="234"/>
    </row>
    <row r="385" spans="1:60" ht="24" customHeight="1" x14ac:dyDescent="0.2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234"/>
      <c r="AK385" s="234"/>
      <c r="AL385" s="234"/>
      <c r="AM385" s="234"/>
      <c r="AN385" s="201"/>
      <c r="AO385" s="234"/>
      <c r="AP385" s="234"/>
      <c r="AQ385" s="234"/>
      <c r="AR385" s="234"/>
      <c r="AS385" s="234"/>
      <c r="AT385" s="234"/>
      <c r="AU385" s="234"/>
      <c r="AV385" s="234"/>
      <c r="AW385" s="234"/>
      <c r="AX385" s="234"/>
      <c r="AY385" s="234"/>
      <c r="AZ385" s="234"/>
      <c r="BA385" s="234"/>
      <c r="BB385" s="234"/>
      <c r="BC385" s="234"/>
      <c r="BD385" s="234"/>
      <c r="BE385" s="234"/>
      <c r="BF385" s="234"/>
      <c r="BG385" s="234"/>
      <c r="BH385" s="234"/>
    </row>
    <row r="386" spans="1:60" ht="24" customHeight="1" x14ac:dyDescent="0.25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234"/>
      <c r="AK386" s="234"/>
      <c r="AL386" s="234"/>
      <c r="AM386" s="234"/>
      <c r="AN386" s="201"/>
      <c r="AO386" s="234"/>
      <c r="AP386" s="234"/>
      <c r="AQ386" s="234"/>
      <c r="AR386" s="234"/>
      <c r="AS386" s="234"/>
      <c r="AT386" s="234"/>
      <c r="AU386" s="234"/>
      <c r="AV386" s="234"/>
      <c r="AW386" s="234"/>
      <c r="AX386" s="234"/>
      <c r="AY386" s="234"/>
      <c r="AZ386" s="234"/>
      <c r="BA386" s="234"/>
      <c r="BB386" s="234"/>
      <c r="BC386" s="234"/>
      <c r="BD386" s="234"/>
      <c r="BE386" s="234"/>
      <c r="BF386" s="234"/>
      <c r="BG386" s="234"/>
      <c r="BH386" s="234"/>
    </row>
    <row r="387" spans="1:60" ht="24" customHeight="1" x14ac:dyDescent="0.25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234"/>
      <c r="AK387" s="234"/>
      <c r="AL387" s="234"/>
      <c r="AM387" s="234"/>
      <c r="AN387" s="201"/>
      <c r="AO387" s="234"/>
      <c r="AP387" s="234"/>
      <c r="AQ387" s="234"/>
      <c r="AR387" s="234"/>
      <c r="AS387" s="234"/>
      <c r="AT387" s="234"/>
      <c r="AU387" s="234"/>
      <c r="AV387" s="234"/>
      <c r="AW387" s="234"/>
      <c r="AX387" s="234"/>
      <c r="AY387" s="234"/>
      <c r="AZ387" s="234"/>
      <c r="BA387" s="234"/>
      <c r="BB387" s="234"/>
      <c r="BC387" s="234"/>
      <c r="BD387" s="234"/>
      <c r="BE387" s="234"/>
      <c r="BF387" s="234"/>
      <c r="BG387" s="234"/>
      <c r="BH387" s="234"/>
    </row>
    <row r="388" spans="1:60" ht="24" customHeight="1" x14ac:dyDescent="0.25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234"/>
      <c r="AK388" s="234"/>
      <c r="AL388" s="234"/>
      <c r="AM388" s="234"/>
      <c r="AN388" s="201"/>
      <c r="AO388" s="234"/>
      <c r="AP388" s="234"/>
      <c r="AQ388" s="234"/>
      <c r="AR388" s="234"/>
      <c r="AS388" s="234"/>
      <c r="AT388" s="234"/>
      <c r="AU388" s="234"/>
      <c r="AV388" s="234"/>
      <c r="AW388" s="234"/>
      <c r="AX388" s="234"/>
      <c r="AY388" s="234"/>
      <c r="AZ388" s="234"/>
      <c r="BA388" s="234"/>
      <c r="BB388" s="234"/>
      <c r="BC388" s="234"/>
      <c r="BD388" s="234"/>
      <c r="BE388" s="234"/>
      <c r="BF388" s="234"/>
      <c r="BG388" s="234"/>
      <c r="BH388" s="234"/>
    </row>
    <row r="389" spans="1:60" ht="24" customHeight="1" x14ac:dyDescent="0.25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234"/>
      <c r="AK389" s="234"/>
      <c r="AL389" s="234"/>
      <c r="AM389" s="234"/>
      <c r="AN389" s="201"/>
      <c r="AO389" s="234"/>
      <c r="AP389" s="234"/>
      <c r="AQ389" s="234"/>
      <c r="AR389" s="234"/>
      <c r="AS389" s="234"/>
      <c r="AT389" s="234"/>
      <c r="AU389" s="234"/>
      <c r="AV389" s="234"/>
      <c r="AW389" s="234"/>
      <c r="AX389" s="234"/>
      <c r="AY389" s="234"/>
      <c r="AZ389" s="234"/>
      <c r="BA389" s="234"/>
      <c r="BB389" s="234"/>
      <c r="BC389" s="234"/>
      <c r="BD389" s="234"/>
      <c r="BE389" s="234"/>
      <c r="BF389" s="234"/>
      <c r="BG389" s="234"/>
      <c r="BH389" s="234"/>
    </row>
    <row r="390" spans="1:60" ht="24" customHeight="1" x14ac:dyDescent="0.25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234"/>
      <c r="AK390" s="234"/>
      <c r="AL390" s="234"/>
      <c r="AM390" s="234"/>
      <c r="AN390" s="201"/>
      <c r="AO390" s="234"/>
      <c r="AP390" s="234"/>
      <c r="AQ390" s="234"/>
      <c r="AR390" s="234"/>
      <c r="AS390" s="234"/>
      <c r="AT390" s="234"/>
      <c r="AU390" s="234"/>
      <c r="AV390" s="234"/>
      <c r="AW390" s="234"/>
      <c r="AX390" s="234"/>
      <c r="AY390" s="234"/>
      <c r="AZ390" s="234"/>
      <c r="BA390" s="234"/>
      <c r="BB390" s="234"/>
      <c r="BC390" s="234"/>
      <c r="BD390" s="234"/>
      <c r="BE390" s="234"/>
      <c r="BF390" s="234"/>
      <c r="BG390" s="234"/>
      <c r="BH390" s="234"/>
    </row>
    <row r="391" spans="1:60" ht="24" customHeight="1" x14ac:dyDescent="0.25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234"/>
      <c r="AK391" s="234"/>
      <c r="AL391" s="234"/>
      <c r="AM391" s="234"/>
      <c r="AN391" s="201"/>
      <c r="AO391" s="234"/>
      <c r="AP391" s="234"/>
      <c r="AQ391" s="234"/>
      <c r="AR391" s="234"/>
      <c r="AS391" s="234"/>
      <c r="AT391" s="234"/>
      <c r="AU391" s="234"/>
      <c r="AV391" s="234"/>
      <c r="AW391" s="234"/>
      <c r="AX391" s="234"/>
      <c r="AY391" s="234"/>
      <c r="AZ391" s="234"/>
      <c r="BA391" s="234"/>
      <c r="BB391" s="234"/>
      <c r="BC391" s="234"/>
      <c r="BD391" s="234"/>
      <c r="BE391" s="234"/>
      <c r="BF391" s="234"/>
      <c r="BG391" s="234"/>
      <c r="BH391" s="234"/>
    </row>
    <row r="392" spans="1:60" ht="24" customHeight="1" x14ac:dyDescent="0.25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234"/>
      <c r="AK392" s="234"/>
      <c r="AL392" s="234"/>
      <c r="AM392" s="234"/>
      <c r="AN392" s="201"/>
      <c r="AO392" s="234"/>
      <c r="AP392" s="234"/>
      <c r="AQ392" s="234"/>
      <c r="AR392" s="234"/>
      <c r="AS392" s="234"/>
      <c r="AT392" s="234"/>
      <c r="AU392" s="234"/>
      <c r="AV392" s="234"/>
      <c r="AW392" s="234"/>
      <c r="AX392" s="234"/>
      <c r="AY392" s="234"/>
      <c r="AZ392" s="234"/>
      <c r="BA392" s="234"/>
      <c r="BB392" s="234"/>
      <c r="BC392" s="234"/>
      <c r="BD392" s="234"/>
      <c r="BE392" s="234"/>
      <c r="BF392" s="234"/>
      <c r="BG392" s="234"/>
      <c r="BH392" s="234"/>
    </row>
    <row r="393" spans="1:60" ht="24" customHeight="1" x14ac:dyDescent="0.25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234"/>
      <c r="AK393" s="234"/>
      <c r="AL393" s="234"/>
      <c r="AM393" s="234"/>
      <c r="AN393" s="201"/>
      <c r="AO393" s="234"/>
      <c r="AP393" s="234"/>
      <c r="AQ393" s="234"/>
      <c r="AR393" s="234"/>
      <c r="AS393" s="234"/>
      <c r="AT393" s="234"/>
      <c r="AU393" s="234"/>
      <c r="AV393" s="234"/>
      <c r="AW393" s="234"/>
      <c r="AX393" s="234"/>
      <c r="AY393" s="234"/>
      <c r="AZ393" s="234"/>
      <c r="BA393" s="234"/>
      <c r="BB393" s="234"/>
      <c r="BC393" s="234"/>
      <c r="BD393" s="234"/>
      <c r="BE393" s="234"/>
      <c r="BF393" s="234"/>
      <c r="BG393" s="234"/>
      <c r="BH393" s="234"/>
    </row>
    <row r="394" spans="1:60" ht="24" customHeight="1" x14ac:dyDescent="0.25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234"/>
      <c r="AK394" s="234"/>
      <c r="AL394" s="234"/>
      <c r="AM394" s="234"/>
      <c r="AN394" s="201"/>
      <c r="AO394" s="234"/>
      <c r="AP394" s="234"/>
      <c r="AQ394" s="234"/>
      <c r="AR394" s="234"/>
      <c r="AS394" s="234"/>
      <c r="AT394" s="234"/>
      <c r="AU394" s="234"/>
      <c r="AV394" s="234"/>
      <c r="AW394" s="234"/>
      <c r="AX394" s="234"/>
      <c r="AY394" s="234"/>
      <c r="AZ394" s="234"/>
      <c r="BA394" s="234"/>
      <c r="BB394" s="234"/>
      <c r="BC394" s="234"/>
      <c r="BD394" s="234"/>
      <c r="BE394" s="234"/>
      <c r="BF394" s="234"/>
      <c r="BG394" s="234"/>
      <c r="BH394" s="234"/>
    </row>
    <row r="395" spans="1:60" ht="24" customHeight="1" x14ac:dyDescent="0.2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234"/>
      <c r="AK395" s="234"/>
      <c r="AL395" s="234"/>
      <c r="AM395" s="234"/>
      <c r="AN395" s="201"/>
      <c r="AO395" s="234"/>
      <c r="AP395" s="234"/>
      <c r="AQ395" s="234"/>
      <c r="AR395" s="234"/>
      <c r="AS395" s="234"/>
      <c r="AT395" s="234"/>
      <c r="AU395" s="234"/>
      <c r="AV395" s="234"/>
      <c r="AW395" s="234"/>
      <c r="AX395" s="234"/>
      <c r="AY395" s="234"/>
      <c r="AZ395" s="234"/>
      <c r="BA395" s="234"/>
      <c r="BB395" s="234"/>
      <c r="BC395" s="234"/>
      <c r="BD395" s="234"/>
      <c r="BE395" s="234"/>
      <c r="BF395" s="234"/>
      <c r="BG395" s="234"/>
      <c r="BH395" s="234"/>
    </row>
    <row r="396" spans="1:60" ht="24" customHeight="1" x14ac:dyDescent="0.25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234"/>
      <c r="AK396" s="234"/>
      <c r="AL396" s="234"/>
      <c r="AM396" s="234"/>
      <c r="AN396" s="201"/>
      <c r="AO396" s="234"/>
      <c r="AP396" s="234"/>
      <c r="AQ396" s="234"/>
      <c r="AR396" s="234"/>
      <c r="AS396" s="234"/>
      <c r="AT396" s="234"/>
      <c r="AU396" s="234"/>
      <c r="AV396" s="234"/>
      <c r="AW396" s="234"/>
      <c r="AX396" s="234"/>
      <c r="AY396" s="234"/>
      <c r="AZ396" s="234"/>
      <c r="BA396" s="234"/>
      <c r="BB396" s="234"/>
      <c r="BC396" s="234"/>
      <c r="BD396" s="234"/>
      <c r="BE396" s="234"/>
      <c r="BF396" s="234"/>
      <c r="BG396" s="234"/>
      <c r="BH396" s="234"/>
    </row>
    <row r="397" spans="1:60" ht="24" customHeight="1" x14ac:dyDescent="0.25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234"/>
      <c r="AK397" s="234"/>
      <c r="AL397" s="234"/>
      <c r="AM397" s="234"/>
      <c r="AN397" s="201"/>
      <c r="AO397" s="234"/>
      <c r="AP397" s="234"/>
      <c r="AQ397" s="234"/>
      <c r="AR397" s="234"/>
      <c r="AS397" s="234"/>
      <c r="AT397" s="234"/>
      <c r="AU397" s="234"/>
      <c r="AV397" s="234"/>
      <c r="AW397" s="234"/>
      <c r="AX397" s="234"/>
      <c r="AY397" s="234"/>
      <c r="AZ397" s="234"/>
      <c r="BA397" s="234"/>
      <c r="BB397" s="234"/>
      <c r="BC397" s="234"/>
      <c r="BD397" s="234"/>
      <c r="BE397" s="234"/>
      <c r="BF397" s="234"/>
      <c r="BG397" s="234"/>
      <c r="BH397" s="234"/>
    </row>
    <row r="398" spans="1:60" ht="24" customHeight="1" x14ac:dyDescent="0.25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234"/>
      <c r="AK398" s="234"/>
      <c r="AL398" s="234"/>
      <c r="AM398" s="234"/>
      <c r="AN398" s="201"/>
      <c r="AO398" s="234"/>
      <c r="AP398" s="234"/>
      <c r="AQ398" s="234"/>
      <c r="AR398" s="234"/>
      <c r="AS398" s="234"/>
      <c r="AT398" s="234"/>
      <c r="AU398" s="234"/>
      <c r="AV398" s="234"/>
      <c r="AW398" s="234"/>
      <c r="AX398" s="234"/>
      <c r="AY398" s="234"/>
      <c r="AZ398" s="234"/>
      <c r="BA398" s="234"/>
      <c r="BB398" s="234"/>
      <c r="BC398" s="234"/>
      <c r="BD398" s="234"/>
      <c r="BE398" s="234"/>
      <c r="BF398" s="234"/>
      <c r="BG398" s="234"/>
      <c r="BH398" s="234"/>
    </row>
    <row r="399" spans="1:60" ht="24" customHeight="1" x14ac:dyDescent="0.25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234"/>
      <c r="AK399" s="234"/>
      <c r="AL399" s="234"/>
      <c r="AM399" s="234"/>
      <c r="AN399" s="201"/>
      <c r="AO399" s="234"/>
      <c r="AP399" s="234"/>
      <c r="AQ399" s="234"/>
      <c r="AR399" s="234"/>
      <c r="AS399" s="234"/>
      <c r="AT399" s="234"/>
      <c r="AU399" s="234"/>
      <c r="AV399" s="234"/>
      <c r="AW399" s="234"/>
      <c r="AX399" s="234"/>
      <c r="AY399" s="234"/>
      <c r="AZ399" s="234"/>
      <c r="BA399" s="234"/>
      <c r="BB399" s="234"/>
      <c r="BC399" s="234"/>
      <c r="BD399" s="234"/>
      <c r="BE399" s="234"/>
      <c r="BF399" s="234"/>
      <c r="BG399" s="234"/>
      <c r="BH399" s="234"/>
    </row>
    <row r="400" spans="1:60" ht="24" customHeight="1" x14ac:dyDescent="0.25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234"/>
      <c r="AK400" s="234"/>
      <c r="AL400" s="234"/>
      <c r="AM400" s="234"/>
      <c r="AN400" s="201"/>
      <c r="AO400" s="234"/>
      <c r="AP400" s="234"/>
      <c r="AQ400" s="234"/>
      <c r="AR400" s="234"/>
      <c r="AS400" s="234"/>
      <c r="AT400" s="234"/>
      <c r="AU400" s="234"/>
      <c r="AV400" s="234"/>
      <c r="AW400" s="234"/>
      <c r="AX400" s="234"/>
      <c r="AY400" s="234"/>
      <c r="AZ400" s="234"/>
      <c r="BA400" s="234"/>
      <c r="BB400" s="234"/>
      <c r="BC400" s="234"/>
      <c r="BD400" s="234"/>
      <c r="BE400" s="234"/>
      <c r="BF400" s="234"/>
      <c r="BG400" s="234"/>
      <c r="BH400" s="234"/>
    </row>
    <row r="401" spans="1:60" ht="24" customHeight="1" x14ac:dyDescent="0.25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234"/>
      <c r="AK401" s="234"/>
      <c r="AL401" s="234"/>
      <c r="AM401" s="234"/>
      <c r="AN401" s="201"/>
      <c r="AO401" s="234"/>
      <c r="AP401" s="234"/>
      <c r="AQ401" s="234"/>
      <c r="AR401" s="234"/>
      <c r="AS401" s="234"/>
      <c r="AT401" s="234"/>
      <c r="AU401" s="234"/>
      <c r="AV401" s="234"/>
      <c r="AW401" s="234"/>
      <c r="AX401" s="234"/>
      <c r="AY401" s="234"/>
      <c r="AZ401" s="234"/>
      <c r="BA401" s="234"/>
      <c r="BB401" s="234"/>
      <c r="BC401" s="234"/>
      <c r="BD401" s="234"/>
      <c r="BE401" s="234"/>
      <c r="BF401" s="234"/>
      <c r="BG401" s="234"/>
      <c r="BH401" s="234"/>
    </row>
    <row r="402" spans="1:60" ht="24" customHeight="1" x14ac:dyDescent="0.25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234"/>
      <c r="AK402" s="234"/>
      <c r="AL402" s="234"/>
      <c r="AM402" s="234"/>
      <c r="AN402" s="201"/>
      <c r="AO402" s="234"/>
      <c r="AP402" s="234"/>
      <c r="AQ402" s="234"/>
      <c r="AR402" s="234"/>
      <c r="AS402" s="234"/>
      <c r="AT402" s="234"/>
      <c r="AU402" s="234"/>
      <c r="AV402" s="234"/>
      <c r="AW402" s="234"/>
      <c r="AX402" s="234"/>
      <c r="AY402" s="234"/>
      <c r="AZ402" s="234"/>
      <c r="BA402" s="234"/>
      <c r="BB402" s="234"/>
      <c r="BC402" s="234"/>
      <c r="BD402" s="234"/>
      <c r="BE402" s="234"/>
      <c r="BF402" s="234"/>
      <c r="BG402" s="234"/>
      <c r="BH402" s="234"/>
    </row>
    <row r="403" spans="1:60" ht="24" customHeight="1" x14ac:dyDescent="0.25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234"/>
      <c r="AK403" s="234"/>
      <c r="AL403" s="234"/>
      <c r="AM403" s="234"/>
      <c r="AN403" s="201"/>
      <c r="AO403" s="234"/>
      <c r="AP403" s="234"/>
      <c r="AQ403" s="234"/>
      <c r="AR403" s="234"/>
      <c r="AS403" s="234"/>
      <c r="AT403" s="234"/>
      <c r="AU403" s="234"/>
      <c r="AV403" s="234"/>
      <c r="AW403" s="234"/>
      <c r="AX403" s="234"/>
      <c r="AY403" s="234"/>
      <c r="AZ403" s="234"/>
      <c r="BA403" s="234"/>
      <c r="BB403" s="234"/>
      <c r="BC403" s="234"/>
      <c r="BD403" s="234"/>
      <c r="BE403" s="234"/>
      <c r="BF403" s="234"/>
      <c r="BG403" s="234"/>
      <c r="BH403" s="234"/>
    </row>
    <row r="404" spans="1:60" ht="24" customHeight="1" x14ac:dyDescent="0.25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234"/>
      <c r="AK404" s="234"/>
      <c r="AL404" s="234"/>
      <c r="AM404" s="234"/>
      <c r="AN404" s="201"/>
      <c r="AO404" s="234"/>
      <c r="AP404" s="234"/>
      <c r="AQ404" s="234"/>
      <c r="AR404" s="234"/>
      <c r="AS404" s="234"/>
      <c r="AT404" s="234"/>
      <c r="AU404" s="234"/>
      <c r="AV404" s="234"/>
      <c r="AW404" s="234"/>
      <c r="AX404" s="234"/>
      <c r="AY404" s="234"/>
      <c r="AZ404" s="234"/>
      <c r="BA404" s="234"/>
      <c r="BB404" s="234"/>
      <c r="BC404" s="234"/>
      <c r="BD404" s="234"/>
      <c r="BE404" s="234"/>
      <c r="BF404" s="234"/>
      <c r="BG404" s="234"/>
      <c r="BH404" s="234"/>
    </row>
    <row r="405" spans="1:60" ht="24" customHeight="1" x14ac:dyDescent="0.2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01"/>
      <c r="AO405" s="234"/>
      <c r="AP405" s="234"/>
      <c r="AQ405" s="234"/>
      <c r="AR405" s="234"/>
      <c r="AS405" s="234"/>
      <c r="AT405" s="234"/>
      <c r="AU405" s="234"/>
      <c r="AV405" s="234"/>
      <c r="AW405" s="234"/>
      <c r="AX405" s="234"/>
      <c r="AY405" s="234"/>
      <c r="AZ405" s="234"/>
      <c r="BA405" s="234"/>
      <c r="BB405" s="234"/>
      <c r="BC405" s="234"/>
      <c r="BD405" s="234"/>
      <c r="BE405" s="234"/>
      <c r="BF405" s="234"/>
      <c r="BG405" s="234"/>
      <c r="BH405" s="234"/>
    </row>
    <row r="406" spans="1:60" ht="24" customHeight="1" x14ac:dyDescent="0.25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234"/>
      <c r="AK406" s="234"/>
      <c r="AL406" s="234"/>
      <c r="AM406" s="234"/>
      <c r="AN406" s="201"/>
      <c r="AO406" s="234"/>
      <c r="AP406" s="234"/>
      <c r="AQ406" s="234"/>
      <c r="AR406" s="234"/>
      <c r="AS406" s="234"/>
      <c r="AT406" s="234"/>
      <c r="AU406" s="234"/>
      <c r="AV406" s="234"/>
      <c r="AW406" s="234"/>
      <c r="AX406" s="234"/>
      <c r="AY406" s="234"/>
      <c r="AZ406" s="234"/>
      <c r="BA406" s="234"/>
      <c r="BB406" s="234"/>
      <c r="BC406" s="234"/>
      <c r="BD406" s="234"/>
      <c r="BE406" s="234"/>
      <c r="BF406" s="234"/>
      <c r="BG406" s="234"/>
      <c r="BH406" s="234"/>
    </row>
    <row r="407" spans="1:60" ht="24" customHeight="1" x14ac:dyDescent="0.25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01"/>
      <c r="AO407" s="234"/>
      <c r="AP407" s="234"/>
      <c r="AQ407" s="234"/>
      <c r="AR407" s="234"/>
      <c r="AS407" s="234"/>
      <c r="AT407" s="234"/>
      <c r="AU407" s="234"/>
      <c r="AV407" s="234"/>
      <c r="AW407" s="234"/>
      <c r="AX407" s="234"/>
      <c r="AY407" s="234"/>
      <c r="AZ407" s="234"/>
      <c r="BA407" s="234"/>
      <c r="BB407" s="234"/>
      <c r="BC407" s="234"/>
      <c r="BD407" s="234"/>
      <c r="BE407" s="234"/>
      <c r="BF407" s="234"/>
      <c r="BG407" s="234"/>
      <c r="BH407" s="234"/>
    </row>
    <row r="408" spans="1:60" ht="24" customHeight="1" x14ac:dyDescent="0.25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234"/>
      <c r="AK408" s="234"/>
      <c r="AL408" s="234"/>
      <c r="AM408" s="234"/>
      <c r="AN408" s="201"/>
      <c r="AO408" s="234"/>
      <c r="AP408" s="234"/>
      <c r="AQ408" s="234"/>
      <c r="AR408" s="234"/>
      <c r="AS408" s="234"/>
      <c r="AT408" s="234"/>
      <c r="AU408" s="234"/>
      <c r="AV408" s="234"/>
      <c r="AW408" s="234"/>
      <c r="AX408" s="234"/>
      <c r="AY408" s="234"/>
      <c r="AZ408" s="234"/>
      <c r="BA408" s="234"/>
      <c r="BB408" s="234"/>
      <c r="BC408" s="234"/>
      <c r="BD408" s="234"/>
      <c r="BE408" s="234"/>
      <c r="BF408" s="234"/>
      <c r="BG408" s="234"/>
      <c r="BH408" s="234"/>
    </row>
    <row r="409" spans="1:60" ht="24" customHeight="1" x14ac:dyDescent="0.25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234"/>
      <c r="AK409" s="234"/>
      <c r="AL409" s="234"/>
      <c r="AM409" s="234"/>
      <c r="AN409" s="201"/>
      <c r="AO409" s="234"/>
      <c r="AP409" s="234"/>
      <c r="AQ409" s="234"/>
      <c r="AR409" s="234"/>
      <c r="AS409" s="234"/>
      <c r="AT409" s="234"/>
      <c r="AU409" s="234"/>
      <c r="AV409" s="234"/>
      <c r="AW409" s="234"/>
      <c r="AX409" s="234"/>
      <c r="AY409" s="234"/>
      <c r="AZ409" s="234"/>
      <c r="BA409" s="234"/>
      <c r="BB409" s="234"/>
      <c r="BC409" s="234"/>
      <c r="BD409" s="234"/>
      <c r="BE409" s="234"/>
      <c r="BF409" s="234"/>
      <c r="BG409" s="234"/>
      <c r="BH409" s="234"/>
    </row>
    <row r="410" spans="1:60" ht="24" customHeight="1" x14ac:dyDescent="0.25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234"/>
      <c r="AK410" s="234"/>
      <c r="AL410" s="234"/>
      <c r="AM410" s="234"/>
      <c r="AN410" s="201"/>
      <c r="AO410" s="234"/>
      <c r="AP410" s="234"/>
      <c r="AQ410" s="234"/>
      <c r="AR410" s="234"/>
      <c r="AS410" s="234"/>
      <c r="AT410" s="234"/>
      <c r="AU410" s="234"/>
      <c r="AV410" s="234"/>
      <c r="AW410" s="234"/>
      <c r="AX410" s="234"/>
      <c r="AY410" s="234"/>
      <c r="AZ410" s="234"/>
      <c r="BA410" s="234"/>
      <c r="BB410" s="234"/>
      <c r="BC410" s="234"/>
      <c r="BD410" s="234"/>
      <c r="BE410" s="234"/>
      <c r="BF410" s="234"/>
      <c r="BG410" s="234"/>
      <c r="BH410" s="234"/>
    </row>
    <row r="411" spans="1:60" ht="24" customHeight="1" x14ac:dyDescent="0.25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234"/>
      <c r="AK411" s="234"/>
      <c r="AL411" s="234"/>
      <c r="AM411" s="234"/>
      <c r="AN411" s="201"/>
      <c r="AO411" s="234"/>
      <c r="AP411" s="234"/>
      <c r="AQ411" s="234"/>
      <c r="AR411" s="234"/>
      <c r="AS411" s="234"/>
      <c r="AT411" s="234"/>
      <c r="AU411" s="234"/>
      <c r="AV411" s="234"/>
      <c r="AW411" s="234"/>
      <c r="AX411" s="234"/>
      <c r="AY411" s="234"/>
      <c r="AZ411" s="234"/>
      <c r="BA411" s="234"/>
      <c r="BB411" s="234"/>
      <c r="BC411" s="234"/>
      <c r="BD411" s="234"/>
      <c r="BE411" s="234"/>
      <c r="BF411" s="234"/>
      <c r="BG411" s="234"/>
      <c r="BH411" s="234"/>
    </row>
    <row r="412" spans="1:60" ht="24" customHeight="1" x14ac:dyDescent="0.25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234"/>
      <c r="AK412" s="234"/>
      <c r="AL412" s="234"/>
      <c r="AM412" s="234"/>
      <c r="AN412" s="201"/>
      <c r="AO412" s="234"/>
      <c r="AP412" s="234"/>
      <c r="AQ412" s="234"/>
      <c r="AR412" s="234"/>
      <c r="AS412" s="234"/>
      <c r="AT412" s="234"/>
      <c r="AU412" s="234"/>
      <c r="AV412" s="234"/>
      <c r="AW412" s="234"/>
      <c r="AX412" s="234"/>
      <c r="AY412" s="234"/>
      <c r="AZ412" s="234"/>
      <c r="BA412" s="234"/>
      <c r="BB412" s="234"/>
      <c r="BC412" s="234"/>
      <c r="BD412" s="234"/>
      <c r="BE412" s="234"/>
      <c r="BF412" s="234"/>
      <c r="BG412" s="234"/>
      <c r="BH412" s="234"/>
    </row>
    <row r="413" spans="1:60" ht="24" customHeight="1" x14ac:dyDescent="0.25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234"/>
      <c r="AK413" s="234"/>
      <c r="AL413" s="234"/>
      <c r="AM413" s="234"/>
      <c r="AN413" s="201"/>
      <c r="AO413" s="234"/>
      <c r="AP413" s="234"/>
      <c r="AQ413" s="234"/>
      <c r="AR413" s="234"/>
      <c r="AS413" s="234"/>
      <c r="AT413" s="234"/>
      <c r="AU413" s="234"/>
      <c r="AV413" s="234"/>
      <c r="AW413" s="234"/>
      <c r="AX413" s="234"/>
      <c r="AY413" s="234"/>
      <c r="AZ413" s="234"/>
      <c r="BA413" s="234"/>
      <c r="BB413" s="234"/>
      <c r="BC413" s="234"/>
      <c r="BD413" s="234"/>
      <c r="BE413" s="234"/>
      <c r="BF413" s="234"/>
      <c r="BG413" s="234"/>
      <c r="BH413" s="234"/>
    </row>
    <row r="414" spans="1:60" ht="24" customHeight="1" x14ac:dyDescent="0.25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234"/>
      <c r="AK414" s="234"/>
      <c r="AL414" s="234"/>
      <c r="AM414" s="234"/>
      <c r="AN414" s="201"/>
      <c r="AO414" s="234"/>
      <c r="AP414" s="234"/>
      <c r="AQ414" s="234"/>
      <c r="AR414" s="234"/>
      <c r="AS414" s="234"/>
      <c r="AT414" s="234"/>
      <c r="AU414" s="234"/>
      <c r="AV414" s="234"/>
      <c r="AW414" s="234"/>
      <c r="AX414" s="234"/>
      <c r="AY414" s="234"/>
      <c r="AZ414" s="234"/>
      <c r="BA414" s="234"/>
      <c r="BB414" s="234"/>
      <c r="BC414" s="234"/>
      <c r="BD414" s="234"/>
      <c r="BE414" s="234"/>
      <c r="BF414" s="234"/>
      <c r="BG414" s="234"/>
      <c r="BH414" s="234"/>
    </row>
    <row r="415" spans="1:60" ht="24" customHeight="1" x14ac:dyDescent="0.2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234"/>
      <c r="AK415" s="234"/>
      <c r="AL415" s="234"/>
      <c r="AM415" s="234"/>
      <c r="AN415" s="201"/>
      <c r="AO415" s="234"/>
      <c r="AP415" s="234"/>
      <c r="AQ415" s="234"/>
      <c r="AR415" s="234"/>
      <c r="AS415" s="234"/>
      <c r="AT415" s="234"/>
      <c r="AU415" s="234"/>
      <c r="AV415" s="234"/>
      <c r="AW415" s="234"/>
      <c r="AX415" s="234"/>
      <c r="AY415" s="234"/>
      <c r="AZ415" s="234"/>
      <c r="BA415" s="234"/>
      <c r="BB415" s="234"/>
      <c r="BC415" s="234"/>
      <c r="BD415" s="234"/>
      <c r="BE415" s="234"/>
      <c r="BF415" s="234"/>
      <c r="BG415" s="234"/>
      <c r="BH415" s="234"/>
    </row>
    <row r="416" spans="1:60" ht="24" customHeight="1" x14ac:dyDescent="0.25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234"/>
      <c r="AK416" s="234"/>
      <c r="AL416" s="234"/>
      <c r="AM416" s="234"/>
      <c r="AN416" s="201"/>
      <c r="AO416" s="234"/>
      <c r="AP416" s="234"/>
      <c r="AQ416" s="234"/>
      <c r="AR416" s="234"/>
      <c r="AS416" s="234"/>
      <c r="AT416" s="234"/>
      <c r="AU416" s="234"/>
      <c r="AV416" s="234"/>
      <c r="AW416" s="234"/>
      <c r="AX416" s="234"/>
      <c r="AY416" s="234"/>
      <c r="AZ416" s="234"/>
      <c r="BA416" s="234"/>
      <c r="BB416" s="234"/>
      <c r="BC416" s="234"/>
      <c r="BD416" s="234"/>
      <c r="BE416" s="234"/>
      <c r="BF416" s="234"/>
      <c r="BG416" s="234"/>
      <c r="BH416" s="234"/>
    </row>
    <row r="417" spans="1:60" ht="24" customHeight="1" x14ac:dyDescent="0.25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234"/>
      <c r="AK417" s="234"/>
      <c r="AL417" s="234"/>
      <c r="AM417" s="234"/>
      <c r="AN417" s="201"/>
      <c r="AO417" s="234"/>
      <c r="AP417" s="234"/>
      <c r="AQ417" s="234"/>
      <c r="AR417" s="234"/>
      <c r="AS417" s="234"/>
      <c r="AT417" s="234"/>
      <c r="AU417" s="234"/>
      <c r="AV417" s="234"/>
      <c r="AW417" s="234"/>
      <c r="AX417" s="234"/>
      <c r="AY417" s="234"/>
      <c r="AZ417" s="234"/>
      <c r="BA417" s="234"/>
      <c r="BB417" s="234"/>
      <c r="BC417" s="234"/>
      <c r="BD417" s="234"/>
      <c r="BE417" s="234"/>
      <c r="BF417" s="234"/>
      <c r="BG417" s="234"/>
      <c r="BH417" s="234"/>
    </row>
    <row r="418" spans="1:60" ht="24" customHeight="1" x14ac:dyDescent="0.25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234"/>
      <c r="AK418" s="234"/>
      <c r="AL418" s="234"/>
      <c r="AM418" s="234"/>
      <c r="AN418" s="201"/>
      <c r="AO418" s="234"/>
      <c r="AP418" s="234"/>
      <c r="AQ418" s="234"/>
      <c r="AR418" s="234"/>
      <c r="AS418" s="234"/>
      <c r="AT418" s="234"/>
      <c r="AU418" s="234"/>
      <c r="AV418" s="234"/>
      <c r="AW418" s="234"/>
      <c r="AX418" s="234"/>
      <c r="AY418" s="234"/>
      <c r="AZ418" s="234"/>
      <c r="BA418" s="234"/>
      <c r="BB418" s="234"/>
      <c r="BC418" s="234"/>
      <c r="BD418" s="234"/>
      <c r="BE418" s="234"/>
      <c r="BF418" s="234"/>
      <c r="BG418" s="234"/>
      <c r="BH418" s="234"/>
    </row>
    <row r="419" spans="1:60" ht="24" customHeight="1" x14ac:dyDescent="0.25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234"/>
      <c r="AK419" s="234"/>
      <c r="AL419" s="234"/>
      <c r="AM419" s="234"/>
      <c r="AN419" s="201"/>
      <c r="AO419" s="234"/>
      <c r="AP419" s="234"/>
      <c r="AQ419" s="234"/>
      <c r="AR419" s="234"/>
      <c r="AS419" s="234"/>
      <c r="AT419" s="234"/>
      <c r="AU419" s="234"/>
      <c r="AV419" s="234"/>
      <c r="AW419" s="234"/>
      <c r="AX419" s="234"/>
      <c r="AY419" s="234"/>
      <c r="AZ419" s="234"/>
      <c r="BA419" s="234"/>
      <c r="BB419" s="234"/>
      <c r="BC419" s="234"/>
      <c r="BD419" s="234"/>
      <c r="BE419" s="234"/>
      <c r="BF419" s="234"/>
      <c r="BG419" s="234"/>
      <c r="BH419" s="234"/>
    </row>
    <row r="420" spans="1:60" ht="24" customHeight="1" x14ac:dyDescent="0.25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234"/>
      <c r="AK420" s="234"/>
      <c r="AL420" s="234"/>
      <c r="AM420" s="234"/>
      <c r="AN420" s="201"/>
      <c r="AO420" s="234"/>
      <c r="AP420" s="234"/>
      <c r="AQ420" s="234"/>
      <c r="AR420" s="234"/>
      <c r="AS420" s="234"/>
      <c r="AT420" s="234"/>
      <c r="AU420" s="234"/>
      <c r="AV420" s="234"/>
      <c r="AW420" s="234"/>
      <c r="AX420" s="234"/>
      <c r="AY420" s="234"/>
      <c r="AZ420" s="234"/>
      <c r="BA420" s="234"/>
      <c r="BB420" s="234"/>
      <c r="BC420" s="234"/>
      <c r="BD420" s="234"/>
      <c r="BE420" s="234"/>
      <c r="BF420" s="234"/>
      <c r="BG420" s="234"/>
      <c r="BH420" s="234"/>
    </row>
    <row r="421" spans="1:60" ht="24" customHeight="1" x14ac:dyDescent="0.25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234"/>
      <c r="AK421" s="234"/>
      <c r="AL421" s="234"/>
      <c r="AM421" s="234"/>
      <c r="AN421" s="201"/>
      <c r="AO421" s="234"/>
      <c r="AP421" s="234"/>
      <c r="AQ421" s="234"/>
      <c r="AR421" s="234"/>
      <c r="AS421" s="234"/>
      <c r="AT421" s="234"/>
      <c r="AU421" s="234"/>
      <c r="AV421" s="234"/>
      <c r="AW421" s="234"/>
      <c r="AX421" s="234"/>
      <c r="AY421" s="234"/>
      <c r="AZ421" s="234"/>
      <c r="BA421" s="234"/>
      <c r="BB421" s="234"/>
      <c r="BC421" s="234"/>
      <c r="BD421" s="234"/>
      <c r="BE421" s="234"/>
      <c r="BF421" s="234"/>
      <c r="BG421" s="234"/>
      <c r="BH421" s="234"/>
    </row>
    <row r="422" spans="1:60" ht="24" customHeight="1" x14ac:dyDescent="0.25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234"/>
      <c r="AK422" s="234"/>
      <c r="AL422" s="234"/>
      <c r="AM422" s="234"/>
      <c r="AN422" s="201"/>
      <c r="AO422" s="234"/>
      <c r="AP422" s="234"/>
      <c r="AQ422" s="234"/>
      <c r="AR422" s="234"/>
      <c r="AS422" s="234"/>
      <c r="AT422" s="234"/>
      <c r="AU422" s="234"/>
      <c r="AV422" s="234"/>
      <c r="AW422" s="234"/>
      <c r="AX422" s="234"/>
      <c r="AY422" s="234"/>
      <c r="AZ422" s="234"/>
      <c r="BA422" s="234"/>
      <c r="BB422" s="234"/>
      <c r="BC422" s="234"/>
      <c r="BD422" s="234"/>
      <c r="BE422" s="234"/>
      <c r="BF422" s="234"/>
      <c r="BG422" s="234"/>
      <c r="BH422" s="234"/>
    </row>
    <row r="423" spans="1:60" ht="24" customHeight="1" x14ac:dyDescent="0.25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234"/>
      <c r="AK423" s="234"/>
      <c r="AL423" s="234"/>
      <c r="AM423" s="234"/>
      <c r="AN423" s="201"/>
      <c r="AO423" s="234"/>
      <c r="AP423" s="234"/>
      <c r="AQ423" s="234"/>
      <c r="AR423" s="234"/>
      <c r="AS423" s="234"/>
      <c r="AT423" s="234"/>
      <c r="AU423" s="234"/>
      <c r="AV423" s="234"/>
      <c r="AW423" s="234"/>
      <c r="AX423" s="234"/>
      <c r="AY423" s="234"/>
      <c r="AZ423" s="234"/>
      <c r="BA423" s="234"/>
      <c r="BB423" s="234"/>
      <c r="BC423" s="234"/>
      <c r="BD423" s="234"/>
      <c r="BE423" s="234"/>
      <c r="BF423" s="234"/>
      <c r="BG423" s="234"/>
      <c r="BH423" s="234"/>
    </row>
    <row r="424" spans="1:60" ht="24" customHeight="1" x14ac:dyDescent="0.25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234"/>
      <c r="AK424" s="234"/>
      <c r="AL424" s="234"/>
      <c r="AM424" s="234"/>
      <c r="AN424" s="201"/>
      <c r="AO424" s="234"/>
      <c r="AP424" s="234"/>
      <c r="AQ424" s="234"/>
      <c r="AR424" s="234"/>
      <c r="AS424" s="234"/>
      <c r="AT424" s="234"/>
      <c r="AU424" s="234"/>
      <c r="AV424" s="234"/>
      <c r="AW424" s="234"/>
      <c r="AX424" s="234"/>
      <c r="AY424" s="234"/>
      <c r="AZ424" s="234"/>
      <c r="BA424" s="234"/>
      <c r="BB424" s="234"/>
      <c r="BC424" s="234"/>
      <c r="BD424" s="234"/>
      <c r="BE424" s="234"/>
      <c r="BF424" s="234"/>
      <c r="BG424" s="234"/>
      <c r="BH424" s="234"/>
    </row>
    <row r="425" spans="1:60" ht="24" customHeight="1" x14ac:dyDescent="0.2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234"/>
      <c r="AK425" s="234"/>
      <c r="AL425" s="234"/>
      <c r="AM425" s="234"/>
      <c r="AN425" s="201"/>
      <c r="AO425" s="234"/>
      <c r="AP425" s="234"/>
      <c r="AQ425" s="234"/>
      <c r="AR425" s="234"/>
      <c r="AS425" s="234"/>
      <c r="AT425" s="234"/>
      <c r="AU425" s="234"/>
      <c r="AV425" s="234"/>
      <c r="AW425" s="234"/>
      <c r="AX425" s="234"/>
      <c r="AY425" s="234"/>
      <c r="AZ425" s="234"/>
      <c r="BA425" s="234"/>
      <c r="BB425" s="234"/>
      <c r="BC425" s="234"/>
      <c r="BD425" s="234"/>
      <c r="BE425" s="234"/>
      <c r="BF425" s="234"/>
      <c r="BG425" s="234"/>
      <c r="BH425" s="234"/>
    </row>
    <row r="426" spans="1:60" ht="24" customHeight="1" x14ac:dyDescent="0.25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234"/>
      <c r="AK426" s="234"/>
      <c r="AL426" s="234"/>
      <c r="AM426" s="234"/>
      <c r="AN426" s="201"/>
      <c r="AO426" s="234"/>
      <c r="AP426" s="234"/>
      <c r="AQ426" s="234"/>
      <c r="AR426" s="234"/>
      <c r="AS426" s="234"/>
      <c r="AT426" s="234"/>
      <c r="AU426" s="234"/>
      <c r="AV426" s="234"/>
      <c r="AW426" s="234"/>
      <c r="AX426" s="234"/>
      <c r="AY426" s="234"/>
      <c r="AZ426" s="234"/>
      <c r="BA426" s="234"/>
      <c r="BB426" s="234"/>
      <c r="BC426" s="234"/>
      <c r="BD426" s="234"/>
      <c r="BE426" s="234"/>
      <c r="BF426" s="234"/>
      <c r="BG426" s="234"/>
      <c r="BH426" s="234"/>
    </row>
    <row r="427" spans="1:60" ht="24" customHeight="1" x14ac:dyDescent="0.25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234"/>
      <c r="AK427" s="234"/>
      <c r="AL427" s="234"/>
      <c r="AM427" s="234"/>
      <c r="AN427" s="201"/>
      <c r="AO427" s="234"/>
      <c r="AP427" s="234"/>
      <c r="AQ427" s="234"/>
      <c r="AR427" s="234"/>
      <c r="AS427" s="234"/>
      <c r="AT427" s="234"/>
      <c r="AU427" s="234"/>
      <c r="AV427" s="234"/>
      <c r="AW427" s="234"/>
      <c r="AX427" s="234"/>
      <c r="AY427" s="234"/>
      <c r="AZ427" s="234"/>
      <c r="BA427" s="234"/>
      <c r="BB427" s="234"/>
      <c r="BC427" s="234"/>
      <c r="BD427" s="234"/>
      <c r="BE427" s="234"/>
      <c r="BF427" s="234"/>
      <c r="BG427" s="234"/>
      <c r="BH427" s="234"/>
    </row>
    <row r="428" spans="1:60" ht="24" customHeight="1" x14ac:dyDescent="0.25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234"/>
      <c r="AK428" s="234"/>
      <c r="AL428" s="234"/>
      <c r="AM428" s="234"/>
      <c r="AN428" s="201"/>
      <c r="AO428" s="234"/>
      <c r="AP428" s="234"/>
      <c r="AQ428" s="234"/>
      <c r="AR428" s="234"/>
      <c r="AS428" s="234"/>
      <c r="AT428" s="234"/>
      <c r="AU428" s="234"/>
      <c r="AV428" s="234"/>
      <c r="AW428" s="234"/>
      <c r="AX428" s="234"/>
      <c r="AY428" s="234"/>
      <c r="AZ428" s="234"/>
      <c r="BA428" s="234"/>
      <c r="BB428" s="234"/>
      <c r="BC428" s="234"/>
      <c r="BD428" s="234"/>
      <c r="BE428" s="234"/>
      <c r="BF428" s="234"/>
      <c r="BG428" s="234"/>
      <c r="BH428" s="234"/>
    </row>
    <row r="429" spans="1:60" ht="24" customHeight="1" x14ac:dyDescent="0.25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234"/>
      <c r="AK429" s="234"/>
      <c r="AL429" s="234"/>
      <c r="AM429" s="234"/>
      <c r="AN429" s="201"/>
      <c r="AO429" s="234"/>
      <c r="AP429" s="234"/>
      <c r="AQ429" s="234"/>
      <c r="AR429" s="234"/>
      <c r="AS429" s="234"/>
      <c r="AT429" s="234"/>
      <c r="AU429" s="234"/>
      <c r="AV429" s="234"/>
      <c r="AW429" s="234"/>
      <c r="AX429" s="234"/>
      <c r="AY429" s="234"/>
      <c r="AZ429" s="234"/>
      <c r="BA429" s="234"/>
      <c r="BB429" s="234"/>
      <c r="BC429" s="234"/>
      <c r="BD429" s="234"/>
      <c r="BE429" s="234"/>
      <c r="BF429" s="234"/>
      <c r="BG429" s="234"/>
      <c r="BH429" s="234"/>
    </row>
    <row r="430" spans="1:60" ht="24" customHeight="1" x14ac:dyDescent="0.25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  <c r="AH430" s="234"/>
      <c r="AI430" s="234"/>
      <c r="AJ430" s="234"/>
      <c r="AK430" s="234"/>
      <c r="AL430" s="234"/>
      <c r="AM430" s="234"/>
      <c r="AN430" s="201"/>
      <c r="AO430" s="234"/>
      <c r="AP430" s="234"/>
      <c r="AQ430" s="234"/>
      <c r="AR430" s="234"/>
      <c r="AS430" s="234"/>
      <c r="AT430" s="234"/>
      <c r="AU430" s="234"/>
      <c r="AV430" s="234"/>
      <c r="AW430" s="234"/>
      <c r="AX430" s="234"/>
      <c r="AY430" s="234"/>
      <c r="AZ430" s="234"/>
      <c r="BA430" s="234"/>
      <c r="BB430" s="234"/>
      <c r="BC430" s="234"/>
      <c r="BD430" s="234"/>
      <c r="BE430" s="234"/>
      <c r="BF430" s="234"/>
      <c r="BG430" s="234"/>
      <c r="BH430" s="234"/>
    </row>
    <row r="431" spans="1:60" ht="24" customHeight="1" x14ac:dyDescent="0.25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  <c r="AD431" s="234"/>
      <c r="AE431" s="234"/>
      <c r="AF431" s="234"/>
      <c r="AG431" s="234"/>
      <c r="AH431" s="234"/>
      <c r="AI431" s="234"/>
      <c r="AJ431" s="234"/>
      <c r="AK431" s="234"/>
      <c r="AL431" s="234"/>
      <c r="AM431" s="234"/>
      <c r="AN431" s="201"/>
      <c r="AO431" s="234"/>
      <c r="AP431" s="234"/>
      <c r="AQ431" s="234"/>
      <c r="AR431" s="234"/>
      <c r="AS431" s="234"/>
      <c r="AT431" s="234"/>
      <c r="AU431" s="234"/>
      <c r="AV431" s="234"/>
      <c r="AW431" s="234"/>
      <c r="AX431" s="234"/>
      <c r="AY431" s="234"/>
      <c r="AZ431" s="234"/>
      <c r="BA431" s="234"/>
      <c r="BB431" s="234"/>
      <c r="BC431" s="234"/>
      <c r="BD431" s="234"/>
      <c r="BE431" s="234"/>
      <c r="BF431" s="234"/>
      <c r="BG431" s="234"/>
      <c r="BH431" s="234"/>
    </row>
    <row r="432" spans="1:60" ht="24" customHeight="1" x14ac:dyDescent="0.25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  <c r="AD432" s="234"/>
      <c r="AE432" s="234"/>
      <c r="AF432" s="234"/>
      <c r="AG432" s="234"/>
      <c r="AH432" s="234"/>
      <c r="AI432" s="234"/>
      <c r="AJ432" s="234"/>
      <c r="AK432" s="234"/>
      <c r="AL432" s="234"/>
      <c r="AM432" s="234"/>
      <c r="AN432" s="201"/>
      <c r="AO432" s="234"/>
      <c r="AP432" s="234"/>
      <c r="AQ432" s="234"/>
      <c r="AR432" s="234"/>
      <c r="AS432" s="234"/>
      <c r="AT432" s="234"/>
      <c r="AU432" s="234"/>
      <c r="AV432" s="234"/>
      <c r="AW432" s="234"/>
      <c r="AX432" s="234"/>
      <c r="AY432" s="234"/>
      <c r="AZ432" s="234"/>
      <c r="BA432" s="234"/>
      <c r="BB432" s="234"/>
      <c r="BC432" s="234"/>
      <c r="BD432" s="234"/>
      <c r="BE432" s="234"/>
      <c r="BF432" s="234"/>
      <c r="BG432" s="234"/>
      <c r="BH432" s="234"/>
    </row>
    <row r="433" spans="1:60" ht="24" customHeight="1" x14ac:dyDescent="0.25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4"/>
      <c r="AH433" s="234"/>
      <c r="AI433" s="234"/>
      <c r="AJ433" s="234"/>
      <c r="AK433" s="234"/>
      <c r="AL433" s="234"/>
      <c r="AM433" s="234"/>
      <c r="AN433" s="201"/>
      <c r="AO433" s="234"/>
      <c r="AP433" s="234"/>
      <c r="AQ433" s="234"/>
      <c r="AR433" s="234"/>
      <c r="AS433" s="234"/>
      <c r="AT433" s="234"/>
      <c r="AU433" s="234"/>
      <c r="AV433" s="234"/>
      <c r="AW433" s="234"/>
      <c r="AX433" s="234"/>
      <c r="AY433" s="234"/>
      <c r="AZ433" s="234"/>
      <c r="BA433" s="234"/>
      <c r="BB433" s="234"/>
      <c r="BC433" s="234"/>
      <c r="BD433" s="234"/>
      <c r="BE433" s="234"/>
      <c r="BF433" s="234"/>
      <c r="BG433" s="234"/>
      <c r="BH433" s="234"/>
    </row>
    <row r="434" spans="1:60" ht="24" customHeight="1" x14ac:dyDescent="0.25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  <c r="AD434" s="234"/>
      <c r="AE434" s="234"/>
      <c r="AF434" s="234"/>
      <c r="AG434" s="234"/>
      <c r="AH434" s="234"/>
      <c r="AI434" s="234"/>
      <c r="AJ434" s="234"/>
      <c r="AK434" s="234"/>
      <c r="AL434" s="234"/>
      <c r="AM434" s="234"/>
      <c r="AN434" s="201"/>
      <c r="AO434" s="234"/>
      <c r="AP434" s="234"/>
      <c r="AQ434" s="234"/>
      <c r="AR434" s="234"/>
      <c r="AS434" s="234"/>
      <c r="AT434" s="234"/>
      <c r="AU434" s="234"/>
      <c r="AV434" s="234"/>
      <c r="AW434" s="234"/>
      <c r="AX434" s="234"/>
      <c r="AY434" s="234"/>
      <c r="AZ434" s="234"/>
      <c r="BA434" s="234"/>
      <c r="BB434" s="234"/>
      <c r="BC434" s="234"/>
      <c r="BD434" s="234"/>
      <c r="BE434" s="234"/>
      <c r="BF434" s="234"/>
      <c r="BG434" s="234"/>
      <c r="BH434" s="234"/>
    </row>
    <row r="435" spans="1:60" ht="24" customHeight="1" x14ac:dyDescent="0.2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  <c r="AH435" s="234"/>
      <c r="AI435" s="234"/>
      <c r="AJ435" s="234"/>
      <c r="AK435" s="234"/>
      <c r="AL435" s="234"/>
      <c r="AM435" s="234"/>
      <c r="AN435" s="201"/>
      <c r="AO435" s="234"/>
      <c r="AP435" s="234"/>
      <c r="AQ435" s="234"/>
      <c r="AR435" s="234"/>
      <c r="AS435" s="234"/>
      <c r="AT435" s="234"/>
      <c r="AU435" s="234"/>
      <c r="AV435" s="234"/>
      <c r="AW435" s="234"/>
      <c r="AX435" s="234"/>
      <c r="AY435" s="234"/>
      <c r="AZ435" s="234"/>
      <c r="BA435" s="234"/>
      <c r="BB435" s="234"/>
      <c r="BC435" s="234"/>
      <c r="BD435" s="234"/>
      <c r="BE435" s="234"/>
      <c r="BF435" s="234"/>
      <c r="BG435" s="234"/>
      <c r="BH435" s="234"/>
    </row>
    <row r="436" spans="1:60" ht="24" customHeight="1" x14ac:dyDescent="0.25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  <c r="AH436" s="234"/>
      <c r="AI436" s="234"/>
      <c r="AJ436" s="234"/>
      <c r="AK436" s="234"/>
      <c r="AL436" s="234"/>
      <c r="AM436" s="234"/>
      <c r="AN436" s="201"/>
      <c r="AO436" s="234"/>
      <c r="AP436" s="234"/>
      <c r="AQ436" s="234"/>
      <c r="AR436" s="234"/>
      <c r="AS436" s="234"/>
      <c r="AT436" s="234"/>
      <c r="AU436" s="234"/>
      <c r="AV436" s="234"/>
      <c r="AW436" s="234"/>
      <c r="AX436" s="234"/>
      <c r="AY436" s="234"/>
      <c r="AZ436" s="234"/>
      <c r="BA436" s="234"/>
      <c r="BB436" s="234"/>
      <c r="BC436" s="234"/>
      <c r="BD436" s="234"/>
      <c r="BE436" s="234"/>
      <c r="BF436" s="234"/>
      <c r="BG436" s="234"/>
      <c r="BH436" s="234"/>
    </row>
    <row r="437" spans="1:60" ht="24" customHeight="1" x14ac:dyDescent="0.25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  <c r="AD437" s="234"/>
      <c r="AE437" s="234"/>
      <c r="AF437" s="234"/>
      <c r="AG437" s="234"/>
      <c r="AH437" s="234"/>
      <c r="AI437" s="234"/>
      <c r="AJ437" s="234"/>
      <c r="AK437" s="234"/>
      <c r="AL437" s="234"/>
      <c r="AM437" s="234"/>
      <c r="AN437" s="201"/>
      <c r="AO437" s="234"/>
      <c r="AP437" s="234"/>
      <c r="AQ437" s="234"/>
      <c r="AR437" s="234"/>
      <c r="AS437" s="234"/>
      <c r="AT437" s="234"/>
      <c r="AU437" s="234"/>
      <c r="AV437" s="234"/>
      <c r="AW437" s="234"/>
      <c r="AX437" s="234"/>
      <c r="AY437" s="234"/>
      <c r="AZ437" s="234"/>
      <c r="BA437" s="234"/>
      <c r="BB437" s="234"/>
      <c r="BC437" s="234"/>
      <c r="BD437" s="234"/>
      <c r="BE437" s="234"/>
      <c r="BF437" s="234"/>
      <c r="BG437" s="234"/>
      <c r="BH437" s="234"/>
    </row>
    <row r="438" spans="1:60" ht="24" customHeight="1" x14ac:dyDescent="0.25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  <c r="AD438" s="234"/>
      <c r="AE438" s="234"/>
      <c r="AF438" s="234"/>
      <c r="AG438" s="234"/>
      <c r="AH438" s="234"/>
      <c r="AI438" s="234"/>
      <c r="AJ438" s="234"/>
      <c r="AK438" s="234"/>
      <c r="AL438" s="234"/>
      <c r="AM438" s="234"/>
      <c r="AN438" s="201"/>
      <c r="AO438" s="234"/>
      <c r="AP438" s="234"/>
      <c r="AQ438" s="234"/>
      <c r="AR438" s="234"/>
      <c r="AS438" s="234"/>
      <c r="AT438" s="234"/>
      <c r="AU438" s="234"/>
      <c r="AV438" s="234"/>
      <c r="AW438" s="234"/>
      <c r="AX438" s="234"/>
      <c r="AY438" s="234"/>
      <c r="AZ438" s="234"/>
      <c r="BA438" s="234"/>
      <c r="BB438" s="234"/>
      <c r="BC438" s="234"/>
      <c r="BD438" s="234"/>
      <c r="BE438" s="234"/>
      <c r="BF438" s="234"/>
      <c r="BG438" s="234"/>
      <c r="BH438" s="234"/>
    </row>
    <row r="439" spans="1:60" ht="24" customHeight="1" x14ac:dyDescent="0.25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4"/>
      <c r="AH439" s="234"/>
      <c r="AI439" s="234"/>
      <c r="AJ439" s="234"/>
      <c r="AK439" s="234"/>
      <c r="AL439" s="234"/>
      <c r="AM439" s="234"/>
      <c r="AN439" s="201"/>
      <c r="AO439" s="234"/>
      <c r="AP439" s="234"/>
      <c r="AQ439" s="234"/>
      <c r="AR439" s="234"/>
      <c r="AS439" s="234"/>
      <c r="AT439" s="234"/>
      <c r="AU439" s="234"/>
      <c r="AV439" s="234"/>
      <c r="AW439" s="234"/>
      <c r="AX439" s="234"/>
      <c r="AY439" s="234"/>
      <c r="AZ439" s="234"/>
      <c r="BA439" s="234"/>
      <c r="BB439" s="234"/>
      <c r="BC439" s="234"/>
      <c r="BD439" s="234"/>
      <c r="BE439" s="234"/>
      <c r="BF439" s="234"/>
      <c r="BG439" s="234"/>
      <c r="BH439" s="234"/>
    </row>
    <row r="440" spans="1:60" ht="24" customHeight="1" x14ac:dyDescent="0.25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  <c r="AD440" s="234"/>
      <c r="AE440" s="234"/>
      <c r="AF440" s="234"/>
      <c r="AG440" s="234"/>
      <c r="AH440" s="234"/>
      <c r="AI440" s="234"/>
      <c r="AJ440" s="234"/>
      <c r="AK440" s="234"/>
      <c r="AL440" s="234"/>
      <c r="AM440" s="234"/>
      <c r="AN440" s="201"/>
      <c r="AO440" s="234"/>
      <c r="AP440" s="234"/>
      <c r="AQ440" s="234"/>
      <c r="AR440" s="234"/>
      <c r="AS440" s="234"/>
      <c r="AT440" s="234"/>
      <c r="AU440" s="234"/>
      <c r="AV440" s="234"/>
      <c r="AW440" s="234"/>
      <c r="AX440" s="234"/>
      <c r="AY440" s="234"/>
      <c r="AZ440" s="234"/>
      <c r="BA440" s="234"/>
      <c r="BB440" s="234"/>
      <c r="BC440" s="234"/>
      <c r="BD440" s="234"/>
      <c r="BE440" s="234"/>
      <c r="BF440" s="234"/>
      <c r="BG440" s="234"/>
      <c r="BH440" s="234"/>
    </row>
    <row r="441" spans="1:60" ht="24" customHeight="1" x14ac:dyDescent="0.25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  <c r="AD441" s="234"/>
      <c r="AE441" s="234"/>
      <c r="AF441" s="234"/>
      <c r="AG441" s="234"/>
      <c r="AH441" s="234"/>
      <c r="AI441" s="234"/>
      <c r="AJ441" s="234"/>
      <c r="AK441" s="234"/>
      <c r="AL441" s="234"/>
      <c r="AM441" s="234"/>
      <c r="AN441" s="201"/>
      <c r="AO441" s="234"/>
      <c r="AP441" s="234"/>
      <c r="AQ441" s="234"/>
      <c r="AR441" s="234"/>
      <c r="AS441" s="234"/>
      <c r="AT441" s="234"/>
      <c r="AU441" s="234"/>
      <c r="AV441" s="234"/>
      <c r="AW441" s="234"/>
      <c r="AX441" s="234"/>
      <c r="AY441" s="234"/>
      <c r="AZ441" s="234"/>
      <c r="BA441" s="234"/>
      <c r="BB441" s="234"/>
      <c r="BC441" s="234"/>
      <c r="BD441" s="234"/>
      <c r="BE441" s="234"/>
      <c r="BF441" s="234"/>
      <c r="BG441" s="234"/>
      <c r="BH441" s="234"/>
    </row>
    <row r="442" spans="1:60" ht="24" customHeight="1" x14ac:dyDescent="0.25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  <c r="AD442" s="234"/>
      <c r="AE442" s="234"/>
      <c r="AF442" s="234"/>
      <c r="AG442" s="234"/>
      <c r="AH442" s="234"/>
      <c r="AI442" s="234"/>
      <c r="AJ442" s="234"/>
      <c r="AK442" s="234"/>
      <c r="AL442" s="234"/>
      <c r="AM442" s="234"/>
      <c r="AN442" s="201"/>
      <c r="AO442" s="234"/>
      <c r="AP442" s="234"/>
      <c r="AQ442" s="234"/>
      <c r="AR442" s="234"/>
      <c r="AS442" s="234"/>
      <c r="AT442" s="234"/>
      <c r="AU442" s="234"/>
      <c r="AV442" s="234"/>
      <c r="AW442" s="234"/>
      <c r="AX442" s="234"/>
      <c r="AY442" s="234"/>
      <c r="AZ442" s="234"/>
      <c r="BA442" s="234"/>
      <c r="BB442" s="234"/>
      <c r="BC442" s="234"/>
      <c r="BD442" s="234"/>
      <c r="BE442" s="234"/>
      <c r="BF442" s="234"/>
      <c r="BG442" s="234"/>
      <c r="BH442" s="234"/>
    </row>
    <row r="443" spans="1:60" ht="24" customHeight="1" x14ac:dyDescent="0.25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  <c r="AD443" s="234"/>
      <c r="AE443" s="234"/>
      <c r="AF443" s="234"/>
      <c r="AG443" s="234"/>
      <c r="AH443" s="234"/>
      <c r="AI443" s="234"/>
      <c r="AJ443" s="234"/>
      <c r="AK443" s="234"/>
      <c r="AL443" s="234"/>
      <c r="AM443" s="234"/>
      <c r="AN443" s="201"/>
      <c r="AO443" s="234"/>
      <c r="AP443" s="234"/>
      <c r="AQ443" s="234"/>
      <c r="AR443" s="234"/>
      <c r="AS443" s="234"/>
      <c r="AT443" s="234"/>
      <c r="AU443" s="234"/>
      <c r="AV443" s="234"/>
      <c r="AW443" s="234"/>
      <c r="AX443" s="234"/>
      <c r="AY443" s="234"/>
      <c r="AZ443" s="234"/>
      <c r="BA443" s="234"/>
      <c r="BB443" s="234"/>
      <c r="BC443" s="234"/>
      <c r="BD443" s="234"/>
      <c r="BE443" s="234"/>
      <c r="BF443" s="234"/>
      <c r="BG443" s="234"/>
      <c r="BH443" s="234"/>
    </row>
    <row r="444" spans="1:60" ht="24" customHeight="1" x14ac:dyDescent="0.25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  <c r="AH444" s="234"/>
      <c r="AI444" s="234"/>
      <c r="AJ444" s="234"/>
      <c r="AK444" s="234"/>
      <c r="AL444" s="234"/>
      <c r="AM444" s="234"/>
      <c r="AN444" s="201"/>
      <c r="AO444" s="234"/>
      <c r="AP444" s="234"/>
      <c r="AQ444" s="234"/>
      <c r="AR444" s="234"/>
      <c r="AS444" s="234"/>
      <c r="AT444" s="234"/>
      <c r="AU444" s="234"/>
      <c r="AV444" s="234"/>
      <c r="AW444" s="234"/>
      <c r="AX444" s="234"/>
      <c r="AY444" s="234"/>
      <c r="AZ444" s="234"/>
      <c r="BA444" s="234"/>
      <c r="BB444" s="234"/>
      <c r="BC444" s="234"/>
      <c r="BD444" s="234"/>
      <c r="BE444" s="234"/>
      <c r="BF444" s="234"/>
      <c r="BG444" s="234"/>
      <c r="BH444" s="234"/>
    </row>
    <row r="445" spans="1:60" ht="24" customHeight="1" x14ac:dyDescent="0.2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  <c r="AD445" s="234"/>
      <c r="AE445" s="234"/>
      <c r="AF445" s="234"/>
      <c r="AG445" s="234"/>
      <c r="AH445" s="234"/>
      <c r="AI445" s="234"/>
      <c r="AJ445" s="234"/>
      <c r="AK445" s="234"/>
      <c r="AL445" s="234"/>
      <c r="AM445" s="234"/>
      <c r="AN445" s="201"/>
      <c r="AO445" s="234"/>
      <c r="AP445" s="234"/>
      <c r="AQ445" s="234"/>
      <c r="AR445" s="234"/>
      <c r="AS445" s="234"/>
      <c r="AT445" s="234"/>
      <c r="AU445" s="234"/>
      <c r="AV445" s="234"/>
      <c r="AW445" s="234"/>
      <c r="AX445" s="234"/>
      <c r="AY445" s="234"/>
      <c r="AZ445" s="234"/>
      <c r="BA445" s="234"/>
      <c r="BB445" s="234"/>
      <c r="BC445" s="234"/>
      <c r="BD445" s="234"/>
      <c r="BE445" s="234"/>
      <c r="BF445" s="234"/>
      <c r="BG445" s="234"/>
      <c r="BH445" s="234"/>
    </row>
    <row r="446" spans="1:60" ht="24" customHeight="1" x14ac:dyDescent="0.25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  <c r="AD446" s="234"/>
      <c r="AE446" s="234"/>
      <c r="AF446" s="234"/>
      <c r="AG446" s="234"/>
      <c r="AH446" s="234"/>
      <c r="AI446" s="234"/>
      <c r="AJ446" s="234"/>
      <c r="AK446" s="234"/>
      <c r="AL446" s="234"/>
      <c r="AM446" s="234"/>
      <c r="AN446" s="201"/>
      <c r="AO446" s="234"/>
      <c r="AP446" s="234"/>
      <c r="AQ446" s="234"/>
      <c r="AR446" s="234"/>
      <c r="AS446" s="234"/>
      <c r="AT446" s="234"/>
      <c r="AU446" s="234"/>
      <c r="AV446" s="234"/>
      <c r="AW446" s="234"/>
      <c r="AX446" s="234"/>
      <c r="AY446" s="234"/>
      <c r="AZ446" s="234"/>
      <c r="BA446" s="234"/>
      <c r="BB446" s="234"/>
      <c r="BC446" s="234"/>
      <c r="BD446" s="234"/>
      <c r="BE446" s="234"/>
      <c r="BF446" s="234"/>
      <c r="BG446" s="234"/>
      <c r="BH446" s="234"/>
    </row>
    <row r="447" spans="1:60" ht="24" customHeight="1" x14ac:dyDescent="0.25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  <c r="AD447" s="234"/>
      <c r="AE447" s="234"/>
      <c r="AF447" s="234"/>
      <c r="AG447" s="234"/>
      <c r="AH447" s="234"/>
      <c r="AI447" s="234"/>
      <c r="AJ447" s="234"/>
      <c r="AK447" s="234"/>
      <c r="AL447" s="234"/>
      <c r="AM447" s="234"/>
      <c r="AN447" s="201"/>
      <c r="AO447" s="234"/>
      <c r="AP447" s="234"/>
      <c r="AQ447" s="234"/>
      <c r="AR447" s="234"/>
      <c r="AS447" s="234"/>
      <c r="AT447" s="234"/>
      <c r="AU447" s="234"/>
      <c r="AV447" s="234"/>
      <c r="AW447" s="234"/>
      <c r="AX447" s="234"/>
      <c r="AY447" s="234"/>
      <c r="AZ447" s="234"/>
      <c r="BA447" s="234"/>
      <c r="BB447" s="234"/>
      <c r="BC447" s="234"/>
      <c r="BD447" s="234"/>
      <c r="BE447" s="234"/>
      <c r="BF447" s="234"/>
      <c r="BG447" s="234"/>
      <c r="BH447" s="234"/>
    </row>
    <row r="448" spans="1:60" ht="24" customHeight="1" x14ac:dyDescent="0.25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  <c r="AD448" s="234"/>
      <c r="AE448" s="234"/>
      <c r="AF448" s="234"/>
      <c r="AG448" s="234"/>
      <c r="AH448" s="234"/>
      <c r="AI448" s="234"/>
      <c r="AJ448" s="234"/>
      <c r="AK448" s="234"/>
      <c r="AL448" s="234"/>
      <c r="AM448" s="234"/>
      <c r="AN448" s="201"/>
      <c r="AO448" s="234"/>
      <c r="AP448" s="234"/>
      <c r="AQ448" s="234"/>
      <c r="AR448" s="234"/>
      <c r="AS448" s="234"/>
      <c r="AT448" s="234"/>
      <c r="AU448" s="234"/>
      <c r="AV448" s="234"/>
      <c r="AW448" s="234"/>
      <c r="AX448" s="234"/>
      <c r="AY448" s="234"/>
      <c r="AZ448" s="234"/>
      <c r="BA448" s="234"/>
      <c r="BB448" s="234"/>
      <c r="BC448" s="234"/>
      <c r="BD448" s="234"/>
      <c r="BE448" s="234"/>
      <c r="BF448" s="234"/>
      <c r="BG448" s="234"/>
      <c r="BH448" s="234"/>
    </row>
    <row r="449" spans="1:60" ht="24" customHeight="1" x14ac:dyDescent="0.25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  <c r="AD449" s="234"/>
      <c r="AE449" s="234"/>
      <c r="AF449" s="234"/>
      <c r="AG449" s="234"/>
      <c r="AH449" s="234"/>
      <c r="AI449" s="234"/>
      <c r="AJ449" s="234"/>
      <c r="AK449" s="234"/>
      <c r="AL449" s="234"/>
      <c r="AM449" s="234"/>
      <c r="AN449" s="201"/>
      <c r="AO449" s="234"/>
      <c r="AP449" s="234"/>
      <c r="AQ449" s="234"/>
      <c r="AR449" s="234"/>
      <c r="AS449" s="234"/>
      <c r="AT449" s="234"/>
      <c r="AU449" s="234"/>
      <c r="AV449" s="234"/>
      <c r="AW449" s="234"/>
      <c r="AX449" s="234"/>
      <c r="AY449" s="234"/>
      <c r="AZ449" s="234"/>
      <c r="BA449" s="234"/>
      <c r="BB449" s="234"/>
      <c r="BC449" s="234"/>
      <c r="BD449" s="234"/>
      <c r="BE449" s="234"/>
      <c r="BF449" s="234"/>
      <c r="BG449" s="234"/>
      <c r="BH449" s="234"/>
    </row>
    <row r="450" spans="1:60" ht="24" customHeight="1" x14ac:dyDescent="0.25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  <c r="AD450" s="234"/>
      <c r="AE450" s="234"/>
      <c r="AF450" s="234"/>
      <c r="AG450" s="234"/>
      <c r="AH450" s="234"/>
      <c r="AI450" s="234"/>
      <c r="AJ450" s="234"/>
      <c r="AK450" s="234"/>
      <c r="AL450" s="234"/>
      <c r="AM450" s="234"/>
      <c r="AN450" s="201"/>
      <c r="AO450" s="234"/>
      <c r="AP450" s="234"/>
      <c r="AQ450" s="234"/>
      <c r="AR450" s="234"/>
      <c r="AS450" s="234"/>
      <c r="AT450" s="234"/>
      <c r="AU450" s="234"/>
      <c r="AV450" s="234"/>
      <c r="AW450" s="234"/>
      <c r="AX450" s="234"/>
      <c r="AY450" s="234"/>
      <c r="AZ450" s="234"/>
      <c r="BA450" s="234"/>
      <c r="BB450" s="234"/>
      <c r="BC450" s="234"/>
      <c r="BD450" s="234"/>
      <c r="BE450" s="234"/>
      <c r="BF450" s="234"/>
      <c r="BG450" s="234"/>
      <c r="BH450" s="234"/>
    </row>
    <row r="451" spans="1:60" ht="24" customHeight="1" x14ac:dyDescent="0.25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  <c r="AD451" s="234"/>
      <c r="AE451" s="234"/>
      <c r="AF451" s="234"/>
      <c r="AG451" s="234"/>
      <c r="AH451" s="234"/>
      <c r="AI451" s="234"/>
      <c r="AJ451" s="234"/>
      <c r="AK451" s="234"/>
      <c r="AL451" s="234"/>
      <c r="AM451" s="234"/>
      <c r="AN451" s="201"/>
      <c r="AO451" s="234"/>
      <c r="AP451" s="234"/>
      <c r="AQ451" s="234"/>
      <c r="AR451" s="234"/>
      <c r="AS451" s="234"/>
      <c r="AT451" s="234"/>
      <c r="AU451" s="234"/>
      <c r="AV451" s="234"/>
      <c r="AW451" s="234"/>
      <c r="AX451" s="234"/>
      <c r="AY451" s="234"/>
      <c r="AZ451" s="234"/>
      <c r="BA451" s="234"/>
      <c r="BB451" s="234"/>
      <c r="BC451" s="234"/>
      <c r="BD451" s="234"/>
      <c r="BE451" s="234"/>
      <c r="BF451" s="234"/>
      <c r="BG451" s="234"/>
      <c r="BH451" s="234"/>
    </row>
    <row r="452" spans="1:60" ht="24" customHeight="1" x14ac:dyDescent="0.25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  <c r="AD452" s="234"/>
      <c r="AE452" s="234"/>
      <c r="AF452" s="234"/>
      <c r="AG452" s="234"/>
      <c r="AH452" s="234"/>
      <c r="AI452" s="234"/>
      <c r="AJ452" s="234"/>
      <c r="AK452" s="234"/>
      <c r="AL452" s="234"/>
      <c r="AM452" s="234"/>
      <c r="AN452" s="201"/>
      <c r="AO452" s="234"/>
      <c r="AP452" s="234"/>
      <c r="AQ452" s="234"/>
      <c r="AR452" s="234"/>
      <c r="AS452" s="234"/>
      <c r="AT452" s="234"/>
      <c r="AU452" s="234"/>
      <c r="AV452" s="234"/>
      <c r="AW452" s="234"/>
      <c r="AX452" s="234"/>
      <c r="AY452" s="234"/>
      <c r="AZ452" s="234"/>
      <c r="BA452" s="234"/>
      <c r="BB452" s="234"/>
      <c r="BC452" s="234"/>
      <c r="BD452" s="234"/>
      <c r="BE452" s="234"/>
      <c r="BF452" s="234"/>
      <c r="BG452" s="234"/>
      <c r="BH452" s="234"/>
    </row>
    <row r="453" spans="1:60" ht="24" customHeight="1" x14ac:dyDescent="0.25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  <c r="AD453" s="234"/>
      <c r="AE453" s="234"/>
      <c r="AF453" s="234"/>
      <c r="AG453" s="234"/>
      <c r="AH453" s="234"/>
      <c r="AI453" s="234"/>
      <c r="AJ453" s="234"/>
      <c r="AK453" s="234"/>
      <c r="AL453" s="234"/>
      <c r="AM453" s="234"/>
      <c r="AN453" s="201"/>
      <c r="AO453" s="234"/>
      <c r="AP453" s="234"/>
      <c r="AQ453" s="234"/>
      <c r="AR453" s="234"/>
      <c r="AS453" s="234"/>
      <c r="AT453" s="234"/>
      <c r="AU453" s="234"/>
      <c r="AV453" s="234"/>
      <c r="AW453" s="234"/>
      <c r="AX453" s="234"/>
      <c r="AY453" s="234"/>
      <c r="AZ453" s="234"/>
      <c r="BA453" s="234"/>
      <c r="BB453" s="234"/>
      <c r="BC453" s="234"/>
      <c r="BD453" s="234"/>
      <c r="BE453" s="234"/>
      <c r="BF453" s="234"/>
      <c r="BG453" s="234"/>
      <c r="BH453" s="234"/>
    </row>
    <row r="454" spans="1:60" ht="24" customHeight="1" x14ac:dyDescent="0.25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  <c r="AD454" s="234"/>
      <c r="AE454" s="234"/>
      <c r="AF454" s="234"/>
      <c r="AG454" s="234"/>
      <c r="AH454" s="234"/>
      <c r="AI454" s="234"/>
      <c r="AJ454" s="234"/>
      <c r="AK454" s="234"/>
      <c r="AL454" s="234"/>
      <c r="AM454" s="234"/>
      <c r="AN454" s="201"/>
      <c r="AO454" s="234"/>
      <c r="AP454" s="234"/>
      <c r="AQ454" s="234"/>
      <c r="AR454" s="234"/>
      <c r="AS454" s="234"/>
      <c r="AT454" s="234"/>
      <c r="AU454" s="234"/>
      <c r="AV454" s="234"/>
      <c r="AW454" s="234"/>
      <c r="AX454" s="234"/>
      <c r="AY454" s="234"/>
      <c r="AZ454" s="234"/>
      <c r="BA454" s="234"/>
      <c r="BB454" s="234"/>
      <c r="BC454" s="234"/>
      <c r="BD454" s="234"/>
      <c r="BE454" s="234"/>
      <c r="BF454" s="234"/>
      <c r="BG454" s="234"/>
      <c r="BH454" s="234"/>
    </row>
    <row r="455" spans="1:60" ht="24" customHeight="1" x14ac:dyDescent="0.2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  <c r="AD455" s="234"/>
      <c r="AE455" s="234"/>
      <c r="AF455" s="234"/>
      <c r="AG455" s="234"/>
      <c r="AH455" s="234"/>
      <c r="AI455" s="234"/>
      <c r="AJ455" s="234"/>
      <c r="AK455" s="234"/>
      <c r="AL455" s="234"/>
      <c r="AM455" s="234"/>
      <c r="AN455" s="201"/>
      <c r="AO455" s="234"/>
      <c r="AP455" s="234"/>
      <c r="AQ455" s="234"/>
      <c r="AR455" s="234"/>
      <c r="AS455" s="234"/>
      <c r="AT455" s="234"/>
      <c r="AU455" s="234"/>
      <c r="AV455" s="234"/>
      <c r="AW455" s="234"/>
      <c r="AX455" s="234"/>
      <c r="AY455" s="234"/>
      <c r="AZ455" s="234"/>
      <c r="BA455" s="234"/>
      <c r="BB455" s="234"/>
      <c r="BC455" s="234"/>
      <c r="BD455" s="234"/>
      <c r="BE455" s="234"/>
      <c r="BF455" s="234"/>
      <c r="BG455" s="234"/>
      <c r="BH455" s="234"/>
    </row>
    <row r="456" spans="1:60" ht="24" customHeight="1" x14ac:dyDescent="0.25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  <c r="AD456" s="234"/>
      <c r="AE456" s="234"/>
      <c r="AF456" s="234"/>
      <c r="AG456" s="234"/>
      <c r="AH456" s="234"/>
      <c r="AI456" s="234"/>
      <c r="AJ456" s="234"/>
      <c r="AK456" s="234"/>
      <c r="AL456" s="234"/>
      <c r="AM456" s="234"/>
      <c r="AN456" s="201"/>
      <c r="AO456" s="234"/>
      <c r="AP456" s="234"/>
      <c r="AQ456" s="234"/>
      <c r="AR456" s="234"/>
      <c r="AS456" s="234"/>
      <c r="AT456" s="234"/>
      <c r="AU456" s="234"/>
      <c r="AV456" s="234"/>
      <c r="AW456" s="234"/>
      <c r="AX456" s="234"/>
      <c r="AY456" s="234"/>
      <c r="AZ456" s="234"/>
      <c r="BA456" s="234"/>
      <c r="BB456" s="234"/>
      <c r="BC456" s="234"/>
      <c r="BD456" s="234"/>
      <c r="BE456" s="234"/>
      <c r="BF456" s="234"/>
      <c r="BG456" s="234"/>
      <c r="BH456" s="234"/>
    </row>
    <row r="457" spans="1:60" ht="24" customHeight="1" x14ac:dyDescent="0.25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  <c r="AD457" s="234"/>
      <c r="AE457" s="234"/>
      <c r="AF457" s="234"/>
      <c r="AG457" s="234"/>
      <c r="AH457" s="234"/>
      <c r="AI457" s="234"/>
      <c r="AJ457" s="234"/>
      <c r="AK457" s="234"/>
      <c r="AL457" s="234"/>
      <c r="AM457" s="234"/>
      <c r="AN457" s="201"/>
      <c r="AO457" s="234"/>
      <c r="AP457" s="234"/>
      <c r="AQ457" s="234"/>
      <c r="AR457" s="234"/>
      <c r="AS457" s="234"/>
      <c r="AT457" s="234"/>
      <c r="AU457" s="234"/>
      <c r="AV457" s="234"/>
      <c r="AW457" s="234"/>
      <c r="AX457" s="234"/>
      <c r="AY457" s="234"/>
      <c r="AZ457" s="234"/>
      <c r="BA457" s="234"/>
      <c r="BB457" s="234"/>
      <c r="BC457" s="234"/>
      <c r="BD457" s="234"/>
      <c r="BE457" s="234"/>
      <c r="BF457" s="234"/>
      <c r="BG457" s="234"/>
      <c r="BH457" s="234"/>
    </row>
    <row r="458" spans="1:60" ht="24" customHeight="1" x14ac:dyDescent="0.25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  <c r="AD458" s="234"/>
      <c r="AE458" s="234"/>
      <c r="AF458" s="234"/>
      <c r="AG458" s="234"/>
      <c r="AH458" s="234"/>
      <c r="AI458" s="234"/>
      <c r="AJ458" s="234"/>
      <c r="AK458" s="234"/>
      <c r="AL458" s="234"/>
      <c r="AM458" s="234"/>
      <c r="AN458" s="201"/>
      <c r="AO458" s="234"/>
      <c r="AP458" s="234"/>
      <c r="AQ458" s="234"/>
      <c r="AR458" s="234"/>
      <c r="AS458" s="234"/>
      <c r="AT458" s="234"/>
      <c r="AU458" s="234"/>
      <c r="AV458" s="234"/>
      <c r="AW458" s="234"/>
      <c r="AX458" s="234"/>
      <c r="AY458" s="234"/>
      <c r="AZ458" s="234"/>
      <c r="BA458" s="234"/>
      <c r="BB458" s="234"/>
      <c r="BC458" s="234"/>
      <c r="BD458" s="234"/>
      <c r="BE458" s="234"/>
      <c r="BF458" s="234"/>
      <c r="BG458" s="234"/>
      <c r="BH458" s="234"/>
    </row>
    <row r="459" spans="1:60" ht="24" customHeight="1" x14ac:dyDescent="0.25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  <c r="AD459" s="234"/>
      <c r="AE459" s="234"/>
      <c r="AF459" s="234"/>
      <c r="AG459" s="234"/>
      <c r="AH459" s="234"/>
      <c r="AI459" s="234"/>
      <c r="AJ459" s="234"/>
      <c r="AK459" s="234"/>
      <c r="AL459" s="234"/>
      <c r="AM459" s="234"/>
      <c r="AN459" s="201"/>
      <c r="AO459" s="234"/>
      <c r="AP459" s="234"/>
      <c r="AQ459" s="234"/>
      <c r="AR459" s="234"/>
      <c r="AS459" s="234"/>
      <c r="AT459" s="234"/>
      <c r="AU459" s="234"/>
      <c r="AV459" s="234"/>
      <c r="AW459" s="234"/>
      <c r="AX459" s="234"/>
      <c r="AY459" s="234"/>
      <c r="AZ459" s="234"/>
      <c r="BA459" s="234"/>
      <c r="BB459" s="234"/>
      <c r="BC459" s="234"/>
      <c r="BD459" s="234"/>
      <c r="BE459" s="234"/>
      <c r="BF459" s="234"/>
      <c r="BG459" s="234"/>
      <c r="BH459" s="234"/>
    </row>
    <row r="460" spans="1:60" ht="24" customHeight="1" x14ac:dyDescent="0.25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  <c r="AH460" s="234"/>
      <c r="AI460" s="234"/>
      <c r="AJ460" s="234"/>
      <c r="AK460" s="234"/>
      <c r="AL460" s="234"/>
      <c r="AM460" s="234"/>
      <c r="AN460" s="201"/>
      <c r="AO460" s="234"/>
      <c r="AP460" s="234"/>
      <c r="AQ460" s="234"/>
      <c r="AR460" s="234"/>
      <c r="AS460" s="234"/>
      <c r="AT460" s="234"/>
      <c r="AU460" s="234"/>
      <c r="AV460" s="234"/>
      <c r="AW460" s="234"/>
      <c r="AX460" s="234"/>
      <c r="AY460" s="234"/>
      <c r="AZ460" s="234"/>
      <c r="BA460" s="234"/>
      <c r="BB460" s="234"/>
      <c r="BC460" s="234"/>
      <c r="BD460" s="234"/>
      <c r="BE460" s="234"/>
      <c r="BF460" s="234"/>
      <c r="BG460" s="234"/>
      <c r="BH460" s="234"/>
    </row>
    <row r="461" spans="1:60" ht="24" customHeight="1" x14ac:dyDescent="0.25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  <c r="AH461" s="234"/>
      <c r="AI461" s="234"/>
      <c r="AJ461" s="234"/>
      <c r="AK461" s="234"/>
      <c r="AL461" s="234"/>
      <c r="AM461" s="234"/>
      <c r="AN461" s="201"/>
      <c r="AO461" s="234"/>
      <c r="AP461" s="234"/>
      <c r="AQ461" s="234"/>
      <c r="AR461" s="234"/>
      <c r="AS461" s="234"/>
      <c r="AT461" s="234"/>
      <c r="AU461" s="234"/>
      <c r="AV461" s="234"/>
      <c r="AW461" s="234"/>
      <c r="AX461" s="234"/>
      <c r="AY461" s="234"/>
      <c r="AZ461" s="234"/>
      <c r="BA461" s="234"/>
      <c r="BB461" s="234"/>
      <c r="BC461" s="234"/>
      <c r="BD461" s="234"/>
      <c r="BE461" s="234"/>
      <c r="BF461" s="234"/>
      <c r="BG461" s="234"/>
      <c r="BH461" s="234"/>
    </row>
    <row r="462" spans="1:60" ht="24" customHeight="1" x14ac:dyDescent="0.25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  <c r="AD462" s="234"/>
      <c r="AE462" s="234"/>
      <c r="AF462" s="234"/>
      <c r="AG462" s="234"/>
      <c r="AH462" s="234"/>
      <c r="AI462" s="234"/>
      <c r="AJ462" s="234"/>
      <c r="AK462" s="234"/>
      <c r="AL462" s="234"/>
      <c r="AM462" s="234"/>
      <c r="AN462" s="201"/>
      <c r="AO462" s="234"/>
      <c r="AP462" s="234"/>
      <c r="AQ462" s="234"/>
      <c r="AR462" s="234"/>
      <c r="AS462" s="234"/>
      <c r="AT462" s="234"/>
      <c r="AU462" s="234"/>
      <c r="AV462" s="234"/>
      <c r="AW462" s="234"/>
      <c r="AX462" s="234"/>
      <c r="AY462" s="234"/>
      <c r="AZ462" s="234"/>
      <c r="BA462" s="234"/>
      <c r="BB462" s="234"/>
      <c r="BC462" s="234"/>
      <c r="BD462" s="234"/>
      <c r="BE462" s="234"/>
      <c r="BF462" s="234"/>
      <c r="BG462" s="234"/>
      <c r="BH462" s="234"/>
    </row>
    <row r="463" spans="1:60" ht="24" customHeight="1" x14ac:dyDescent="0.25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  <c r="AD463" s="234"/>
      <c r="AE463" s="234"/>
      <c r="AF463" s="234"/>
      <c r="AG463" s="234"/>
      <c r="AH463" s="234"/>
      <c r="AI463" s="234"/>
      <c r="AJ463" s="234"/>
      <c r="AK463" s="234"/>
      <c r="AL463" s="234"/>
      <c r="AM463" s="234"/>
      <c r="AN463" s="201"/>
      <c r="AO463" s="234"/>
      <c r="AP463" s="234"/>
      <c r="AQ463" s="234"/>
      <c r="AR463" s="234"/>
      <c r="AS463" s="234"/>
      <c r="AT463" s="234"/>
      <c r="AU463" s="234"/>
      <c r="AV463" s="234"/>
      <c r="AW463" s="234"/>
      <c r="AX463" s="234"/>
      <c r="AY463" s="234"/>
      <c r="AZ463" s="234"/>
      <c r="BA463" s="234"/>
      <c r="BB463" s="234"/>
      <c r="BC463" s="234"/>
      <c r="BD463" s="234"/>
      <c r="BE463" s="234"/>
      <c r="BF463" s="234"/>
      <c r="BG463" s="234"/>
      <c r="BH463" s="234"/>
    </row>
    <row r="464" spans="1:60" ht="24" customHeight="1" x14ac:dyDescent="0.25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  <c r="AD464" s="234"/>
      <c r="AE464" s="234"/>
      <c r="AF464" s="234"/>
      <c r="AG464" s="234"/>
      <c r="AH464" s="234"/>
      <c r="AI464" s="234"/>
      <c r="AJ464" s="234"/>
      <c r="AK464" s="234"/>
      <c r="AL464" s="234"/>
      <c r="AM464" s="234"/>
      <c r="AN464" s="201"/>
      <c r="AO464" s="234"/>
      <c r="AP464" s="234"/>
      <c r="AQ464" s="234"/>
      <c r="AR464" s="234"/>
      <c r="AS464" s="234"/>
      <c r="AT464" s="234"/>
      <c r="AU464" s="234"/>
      <c r="AV464" s="234"/>
      <c r="AW464" s="234"/>
      <c r="AX464" s="234"/>
      <c r="AY464" s="234"/>
      <c r="AZ464" s="234"/>
      <c r="BA464" s="234"/>
      <c r="BB464" s="234"/>
      <c r="BC464" s="234"/>
      <c r="BD464" s="234"/>
      <c r="BE464" s="234"/>
      <c r="BF464" s="234"/>
      <c r="BG464" s="234"/>
      <c r="BH464" s="234"/>
    </row>
    <row r="465" spans="1:60" ht="24" customHeight="1" x14ac:dyDescent="0.2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  <c r="AD465" s="234"/>
      <c r="AE465" s="234"/>
      <c r="AF465" s="234"/>
      <c r="AG465" s="234"/>
      <c r="AH465" s="234"/>
      <c r="AI465" s="234"/>
      <c r="AJ465" s="234"/>
      <c r="AK465" s="234"/>
      <c r="AL465" s="234"/>
      <c r="AM465" s="234"/>
      <c r="AN465" s="201"/>
      <c r="AO465" s="234"/>
      <c r="AP465" s="234"/>
      <c r="AQ465" s="234"/>
      <c r="AR465" s="234"/>
      <c r="AS465" s="234"/>
      <c r="AT465" s="234"/>
      <c r="AU465" s="234"/>
      <c r="AV465" s="234"/>
      <c r="AW465" s="234"/>
      <c r="AX465" s="234"/>
      <c r="AY465" s="234"/>
      <c r="AZ465" s="234"/>
      <c r="BA465" s="234"/>
      <c r="BB465" s="234"/>
      <c r="BC465" s="234"/>
      <c r="BD465" s="234"/>
      <c r="BE465" s="234"/>
      <c r="BF465" s="234"/>
      <c r="BG465" s="234"/>
      <c r="BH465" s="234"/>
    </row>
    <row r="466" spans="1:60" ht="24" customHeight="1" x14ac:dyDescent="0.25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  <c r="AD466" s="234"/>
      <c r="AE466" s="234"/>
      <c r="AF466" s="234"/>
      <c r="AG466" s="234"/>
      <c r="AH466" s="234"/>
      <c r="AI466" s="234"/>
      <c r="AJ466" s="234"/>
      <c r="AK466" s="234"/>
      <c r="AL466" s="234"/>
      <c r="AM466" s="234"/>
      <c r="AN466" s="201"/>
      <c r="AO466" s="234"/>
      <c r="AP466" s="234"/>
      <c r="AQ466" s="234"/>
      <c r="AR466" s="234"/>
      <c r="AS466" s="234"/>
      <c r="AT466" s="234"/>
      <c r="AU466" s="234"/>
      <c r="AV466" s="234"/>
      <c r="AW466" s="234"/>
      <c r="AX466" s="234"/>
      <c r="AY466" s="234"/>
      <c r="AZ466" s="234"/>
      <c r="BA466" s="234"/>
      <c r="BB466" s="234"/>
      <c r="BC466" s="234"/>
      <c r="BD466" s="234"/>
      <c r="BE466" s="234"/>
      <c r="BF466" s="234"/>
      <c r="BG466" s="234"/>
      <c r="BH466" s="234"/>
    </row>
    <row r="467" spans="1:60" ht="24" customHeight="1" x14ac:dyDescent="0.25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  <c r="AD467" s="234"/>
      <c r="AE467" s="234"/>
      <c r="AF467" s="234"/>
      <c r="AG467" s="234"/>
      <c r="AH467" s="234"/>
      <c r="AI467" s="234"/>
      <c r="AJ467" s="234"/>
      <c r="AK467" s="234"/>
      <c r="AL467" s="234"/>
      <c r="AM467" s="234"/>
      <c r="AN467" s="201"/>
      <c r="AO467" s="234"/>
      <c r="AP467" s="234"/>
      <c r="AQ467" s="234"/>
      <c r="AR467" s="234"/>
      <c r="AS467" s="234"/>
      <c r="AT467" s="234"/>
      <c r="AU467" s="234"/>
      <c r="AV467" s="234"/>
      <c r="AW467" s="234"/>
      <c r="AX467" s="234"/>
      <c r="AY467" s="234"/>
      <c r="AZ467" s="234"/>
      <c r="BA467" s="234"/>
      <c r="BB467" s="234"/>
      <c r="BC467" s="234"/>
      <c r="BD467" s="234"/>
      <c r="BE467" s="234"/>
      <c r="BF467" s="234"/>
      <c r="BG467" s="234"/>
      <c r="BH467" s="234"/>
    </row>
    <row r="468" spans="1:60" ht="24" customHeight="1" x14ac:dyDescent="0.25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  <c r="AD468" s="234"/>
      <c r="AE468" s="234"/>
      <c r="AF468" s="234"/>
      <c r="AG468" s="234"/>
      <c r="AH468" s="234"/>
      <c r="AI468" s="234"/>
      <c r="AJ468" s="234"/>
      <c r="AK468" s="234"/>
      <c r="AL468" s="234"/>
      <c r="AM468" s="234"/>
      <c r="AN468" s="201"/>
      <c r="AO468" s="234"/>
      <c r="AP468" s="234"/>
      <c r="AQ468" s="234"/>
      <c r="AR468" s="234"/>
      <c r="AS468" s="234"/>
      <c r="AT468" s="234"/>
      <c r="AU468" s="234"/>
      <c r="AV468" s="234"/>
      <c r="AW468" s="234"/>
      <c r="AX468" s="234"/>
      <c r="AY468" s="234"/>
      <c r="AZ468" s="234"/>
      <c r="BA468" s="234"/>
      <c r="BB468" s="234"/>
      <c r="BC468" s="234"/>
      <c r="BD468" s="234"/>
      <c r="BE468" s="234"/>
      <c r="BF468" s="234"/>
      <c r="BG468" s="234"/>
      <c r="BH468" s="234"/>
    </row>
    <row r="469" spans="1:60" ht="24" customHeight="1" x14ac:dyDescent="0.25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  <c r="AD469" s="234"/>
      <c r="AE469" s="234"/>
      <c r="AF469" s="234"/>
      <c r="AG469" s="234"/>
      <c r="AH469" s="234"/>
      <c r="AI469" s="234"/>
      <c r="AJ469" s="234"/>
      <c r="AK469" s="234"/>
      <c r="AL469" s="234"/>
      <c r="AM469" s="234"/>
      <c r="AN469" s="201"/>
      <c r="AO469" s="234"/>
      <c r="AP469" s="234"/>
      <c r="AQ469" s="234"/>
      <c r="AR469" s="234"/>
      <c r="AS469" s="234"/>
      <c r="AT469" s="234"/>
      <c r="AU469" s="234"/>
      <c r="AV469" s="234"/>
      <c r="AW469" s="234"/>
      <c r="AX469" s="234"/>
      <c r="AY469" s="234"/>
      <c r="AZ469" s="234"/>
      <c r="BA469" s="234"/>
      <c r="BB469" s="234"/>
      <c r="BC469" s="234"/>
      <c r="BD469" s="234"/>
      <c r="BE469" s="234"/>
      <c r="BF469" s="234"/>
      <c r="BG469" s="234"/>
      <c r="BH469" s="234"/>
    </row>
    <row r="470" spans="1:60" ht="24" customHeight="1" x14ac:dyDescent="0.25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  <c r="AD470" s="234"/>
      <c r="AE470" s="234"/>
      <c r="AF470" s="234"/>
      <c r="AG470" s="234"/>
      <c r="AH470" s="234"/>
      <c r="AI470" s="234"/>
      <c r="AJ470" s="234"/>
      <c r="AK470" s="234"/>
      <c r="AL470" s="234"/>
      <c r="AM470" s="234"/>
      <c r="AN470" s="201"/>
      <c r="AO470" s="234"/>
      <c r="AP470" s="234"/>
      <c r="AQ470" s="234"/>
      <c r="AR470" s="234"/>
      <c r="AS470" s="234"/>
      <c r="AT470" s="234"/>
      <c r="AU470" s="234"/>
      <c r="AV470" s="234"/>
      <c r="AW470" s="234"/>
      <c r="AX470" s="234"/>
      <c r="AY470" s="234"/>
      <c r="AZ470" s="234"/>
      <c r="BA470" s="234"/>
      <c r="BB470" s="234"/>
      <c r="BC470" s="234"/>
      <c r="BD470" s="234"/>
      <c r="BE470" s="234"/>
      <c r="BF470" s="234"/>
      <c r="BG470" s="234"/>
      <c r="BH470" s="234"/>
    </row>
    <row r="471" spans="1:60" ht="24" customHeight="1" x14ac:dyDescent="0.25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  <c r="AD471" s="234"/>
      <c r="AE471" s="234"/>
      <c r="AF471" s="234"/>
      <c r="AG471" s="234"/>
      <c r="AH471" s="234"/>
      <c r="AI471" s="234"/>
      <c r="AJ471" s="234"/>
      <c r="AK471" s="234"/>
      <c r="AL471" s="234"/>
      <c r="AM471" s="234"/>
      <c r="AN471" s="201"/>
      <c r="AO471" s="234"/>
      <c r="AP471" s="234"/>
      <c r="AQ471" s="234"/>
      <c r="AR471" s="234"/>
      <c r="AS471" s="234"/>
      <c r="AT471" s="234"/>
      <c r="AU471" s="234"/>
      <c r="AV471" s="234"/>
      <c r="AW471" s="234"/>
      <c r="AX471" s="234"/>
      <c r="AY471" s="234"/>
      <c r="AZ471" s="234"/>
      <c r="BA471" s="234"/>
      <c r="BB471" s="234"/>
      <c r="BC471" s="234"/>
      <c r="BD471" s="234"/>
      <c r="BE471" s="234"/>
      <c r="BF471" s="234"/>
      <c r="BG471" s="234"/>
      <c r="BH471" s="234"/>
    </row>
    <row r="472" spans="1:60" ht="24" customHeight="1" x14ac:dyDescent="0.25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  <c r="AD472" s="234"/>
      <c r="AE472" s="234"/>
      <c r="AF472" s="234"/>
      <c r="AG472" s="234"/>
      <c r="AH472" s="234"/>
      <c r="AI472" s="234"/>
      <c r="AJ472" s="234"/>
      <c r="AK472" s="234"/>
      <c r="AL472" s="234"/>
      <c r="AM472" s="234"/>
      <c r="AN472" s="201"/>
      <c r="AO472" s="234"/>
      <c r="AP472" s="234"/>
      <c r="AQ472" s="234"/>
      <c r="AR472" s="234"/>
      <c r="AS472" s="234"/>
      <c r="AT472" s="234"/>
      <c r="AU472" s="234"/>
      <c r="AV472" s="234"/>
      <c r="AW472" s="234"/>
      <c r="AX472" s="234"/>
      <c r="AY472" s="234"/>
      <c r="AZ472" s="234"/>
      <c r="BA472" s="234"/>
      <c r="BB472" s="234"/>
      <c r="BC472" s="234"/>
      <c r="BD472" s="234"/>
      <c r="BE472" s="234"/>
      <c r="BF472" s="234"/>
      <c r="BG472" s="234"/>
      <c r="BH472" s="234"/>
    </row>
    <row r="473" spans="1:60" ht="24" customHeight="1" x14ac:dyDescent="0.25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  <c r="AD473" s="234"/>
      <c r="AE473" s="234"/>
      <c r="AF473" s="234"/>
      <c r="AG473" s="234"/>
      <c r="AH473" s="234"/>
      <c r="AI473" s="234"/>
      <c r="AJ473" s="234"/>
      <c r="AK473" s="234"/>
      <c r="AL473" s="234"/>
      <c r="AM473" s="234"/>
      <c r="AN473" s="201"/>
      <c r="AO473" s="234"/>
      <c r="AP473" s="234"/>
      <c r="AQ473" s="234"/>
      <c r="AR473" s="234"/>
      <c r="AS473" s="234"/>
      <c r="AT473" s="234"/>
      <c r="AU473" s="234"/>
      <c r="AV473" s="234"/>
      <c r="AW473" s="234"/>
      <c r="AX473" s="234"/>
      <c r="AY473" s="234"/>
      <c r="AZ473" s="234"/>
      <c r="BA473" s="234"/>
      <c r="BB473" s="234"/>
      <c r="BC473" s="234"/>
      <c r="BD473" s="234"/>
      <c r="BE473" s="234"/>
      <c r="BF473" s="234"/>
      <c r="BG473" s="234"/>
      <c r="BH473" s="234"/>
    </row>
    <row r="474" spans="1:60" ht="24" customHeight="1" x14ac:dyDescent="0.25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  <c r="AD474" s="234"/>
      <c r="AE474" s="234"/>
      <c r="AF474" s="234"/>
      <c r="AG474" s="234"/>
      <c r="AH474" s="234"/>
      <c r="AI474" s="234"/>
      <c r="AJ474" s="234"/>
      <c r="AK474" s="234"/>
      <c r="AL474" s="234"/>
      <c r="AM474" s="234"/>
      <c r="AN474" s="201"/>
      <c r="AO474" s="234"/>
      <c r="AP474" s="234"/>
      <c r="AQ474" s="234"/>
      <c r="AR474" s="234"/>
      <c r="AS474" s="234"/>
      <c r="AT474" s="234"/>
      <c r="AU474" s="234"/>
      <c r="AV474" s="234"/>
      <c r="AW474" s="234"/>
      <c r="AX474" s="234"/>
      <c r="AY474" s="234"/>
      <c r="AZ474" s="234"/>
      <c r="BA474" s="234"/>
      <c r="BB474" s="234"/>
      <c r="BC474" s="234"/>
      <c r="BD474" s="234"/>
      <c r="BE474" s="234"/>
      <c r="BF474" s="234"/>
      <c r="BG474" s="234"/>
      <c r="BH474" s="234"/>
    </row>
    <row r="475" spans="1:60" ht="24" customHeight="1" x14ac:dyDescent="0.2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  <c r="AD475" s="234"/>
      <c r="AE475" s="234"/>
      <c r="AF475" s="234"/>
      <c r="AG475" s="234"/>
      <c r="AH475" s="234"/>
      <c r="AI475" s="234"/>
      <c r="AJ475" s="234"/>
      <c r="AK475" s="234"/>
      <c r="AL475" s="234"/>
      <c r="AM475" s="234"/>
      <c r="AN475" s="201"/>
      <c r="AO475" s="234"/>
      <c r="AP475" s="234"/>
      <c r="AQ475" s="234"/>
      <c r="AR475" s="234"/>
      <c r="AS475" s="234"/>
      <c r="AT475" s="234"/>
      <c r="AU475" s="234"/>
      <c r="AV475" s="234"/>
      <c r="AW475" s="234"/>
      <c r="AX475" s="234"/>
      <c r="AY475" s="234"/>
      <c r="AZ475" s="234"/>
      <c r="BA475" s="234"/>
      <c r="BB475" s="234"/>
      <c r="BC475" s="234"/>
      <c r="BD475" s="234"/>
      <c r="BE475" s="234"/>
      <c r="BF475" s="234"/>
      <c r="BG475" s="234"/>
      <c r="BH475" s="234"/>
    </row>
    <row r="476" spans="1:60" ht="24" customHeight="1" x14ac:dyDescent="0.25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  <c r="AD476" s="234"/>
      <c r="AE476" s="234"/>
      <c r="AF476" s="234"/>
      <c r="AG476" s="234"/>
      <c r="AH476" s="234"/>
      <c r="AI476" s="234"/>
      <c r="AJ476" s="234"/>
      <c r="AK476" s="234"/>
      <c r="AL476" s="234"/>
      <c r="AM476" s="234"/>
      <c r="AN476" s="201"/>
      <c r="AO476" s="234"/>
      <c r="AP476" s="234"/>
      <c r="AQ476" s="234"/>
      <c r="AR476" s="234"/>
      <c r="AS476" s="234"/>
      <c r="AT476" s="234"/>
      <c r="AU476" s="234"/>
      <c r="AV476" s="234"/>
      <c r="AW476" s="234"/>
      <c r="AX476" s="234"/>
      <c r="AY476" s="234"/>
      <c r="AZ476" s="234"/>
      <c r="BA476" s="234"/>
      <c r="BB476" s="234"/>
      <c r="BC476" s="234"/>
      <c r="BD476" s="234"/>
      <c r="BE476" s="234"/>
      <c r="BF476" s="234"/>
      <c r="BG476" s="234"/>
      <c r="BH476" s="234"/>
    </row>
    <row r="477" spans="1:60" ht="24" customHeight="1" x14ac:dyDescent="0.25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  <c r="AD477" s="234"/>
      <c r="AE477" s="234"/>
      <c r="AF477" s="234"/>
      <c r="AG477" s="234"/>
      <c r="AH477" s="234"/>
      <c r="AI477" s="234"/>
      <c r="AJ477" s="234"/>
      <c r="AK477" s="234"/>
      <c r="AL477" s="234"/>
      <c r="AM477" s="234"/>
      <c r="AN477" s="201"/>
      <c r="AO477" s="234"/>
      <c r="AP477" s="234"/>
      <c r="AQ477" s="234"/>
      <c r="AR477" s="234"/>
      <c r="AS477" s="234"/>
      <c r="AT477" s="234"/>
      <c r="AU477" s="234"/>
      <c r="AV477" s="234"/>
      <c r="AW477" s="234"/>
      <c r="AX477" s="234"/>
      <c r="AY477" s="234"/>
      <c r="AZ477" s="234"/>
      <c r="BA477" s="234"/>
      <c r="BB477" s="234"/>
      <c r="BC477" s="234"/>
      <c r="BD477" s="234"/>
      <c r="BE477" s="234"/>
      <c r="BF477" s="234"/>
      <c r="BG477" s="234"/>
      <c r="BH477" s="234"/>
    </row>
    <row r="478" spans="1:60" ht="24" customHeight="1" x14ac:dyDescent="0.25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  <c r="AD478" s="234"/>
      <c r="AE478" s="234"/>
      <c r="AF478" s="234"/>
      <c r="AG478" s="234"/>
      <c r="AH478" s="234"/>
      <c r="AI478" s="234"/>
      <c r="AJ478" s="234"/>
      <c r="AK478" s="234"/>
      <c r="AL478" s="234"/>
      <c r="AM478" s="234"/>
      <c r="AN478" s="201"/>
      <c r="AO478" s="234"/>
      <c r="AP478" s="234"/>
      <c r="AQ478" s="234"/>
      <c r="AR478" s="234"/>
      <c r="AS478" s="234"/>
      <c r="AT478" s="234"/>
      <c r="AU478" s="234"/>
      <c r="AV478" s="234"/>
      <c r="AW478" s="234"/>
      <c r="AX478" s="234"/>
      <c r="AY478" s="234"/>
      <c r="AZ478" s="234"/>
      <c r="BA478" s="234"/>
      <c r="BB478" s="234"/>
      <c r="BC478" s="234"/>
      <c r="BD478" s="234"/>
      <c r="BE478" s="234"/>
      <c r="BF478" s="234"/>
      <c r="BG478" s="234"/>
      <c r="BH478" s="234"/>
    </row>
    <row r="479" spans="1:60" ht="24" customHeight="1" x14ac:dyDescent="0.25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  <c r="AD479" s="234"/>
      <c r="AE479" s="234"/>
      <c r="AF479" s="234"/>
      <c r="AG479" s="234"/>
      <c r="AH479" s="234"/>
      <c r="AI479" s="234"/>
      <c r="AJ479" s="234"/>
      <c r="AK479" s="234"/>
      <c r="AL479" s="234"/>
      <c r="AM479" s="234"/>
      <c r="AN479" s="201"/>
      <c r="AO479" s="234"/>
      <c r="AP479" s="234"/>
      <c r="AQ479" s="234"/>
      <c r="AR479" s="234"/>
      <c r="AS479" s="234"/>
      <c r="AT479" s="234"/>
      <c r="AU479" s="234"/>
      <c r="AV479" s="234"/>
      <c r="AW479" s="234"/>
      <c r="AX479" s="234"/>
      <c r="AY479" s="234"/>
      <c r="AZ479" s="234"/>
      <c r="BA479" s="234"/>
      <c r="BB479" s="234"/>
      <c r="BC479" s="234"/>
      <c r="BD479" s="234"/>
      <c r="BE479" s="234"/>
      <c r="BF479" s="234"/>
      <c r="BG479" s="234"/>
      <c r="BH479" s="234"/>
    </row>
    <row r="480" spans="1:60" ht="24" customHeight="1" x14ac:dyDescent="0.25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  <c r="AD480" s="234"/>
      <c r="AE480" s="234"/>
      <c r="AF480" s="234"/>
      <c r="AG480" s="234"/>
      <c r="AH480" s="234"/>
      <c r="AI480" s="234"/>
      <c r="AJ480" s="234"/>
      <c r="AK480" s="234"/>
      <c r="AL480" s="234"/>
      <c r="AM480" s="234"/>
      <c r="AN480" s="201"/>
      <c r="AO480" s="234"/>
      <c r="AP480" s="234"/>
      <c r="AQ480" s="234"/>
      <c r="AR480" s="234"/>
      <c r="AS480" s="234"/>
      <c r="AT480" s="234"/>
      <c r="AU480" s="234"/>
      <c r="AV480" s="234"/>
      <c r="AW480" s="234"/>
      <c r="AX480" s="234"/>
      <c r="AY480" s="234"/>
      <c r="AZ480" s="234"/>
      <c r="BA480" s="234"/>
      <c r="BB480" s="234"/>
      <c r="BC480" s="234"/>
      <c r="BD480" s="234"/>
      <c r="BE480" s="234"/>
      <c r="BF480" s="234"/>
      <c r="BG480" s="234"/>
      <c r="BH480" s="234"/>
    </row>
    <row r="481" spans="1:60" ht="24" customHeight="1" x14ac:dyDescent="0.25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  <c r="AD481" s="234"/>
      <c r="AE481" s="234"/>
      <c r="AF481" s="234"/>
      <c r="AG481" s="234"/>
      <c r="AH481" s="234"/>
      <c r="AI481" s="234"/>
      <c r="AJ481" s="234"/>
      <c r="AK481" s="234"/>
      <c r="AL481" s="234"/>
      <c r="AM481" s="234"/>
      <c r="AN481" s="201"/>
      <c r="AO481" s="234"/>
      <c r="AP481" s="234"/>
      <c r="AQ481" s="234"/>
      <c r="AR481" s="234"/>
      <c r="AS481" s="234"/>
      <c r="AT481" s="234"/>
      <c r="AU481" s="234"/>
      <c r="AV481" s="234"/>
      <c r="AW481" s="234"/>
      <c r="AX481" s="234"/>
      <c r="AY481" s="234"/>
      <c r="AZ481" s="234"/>
      <c r="BA481" s="234"/>
      <c r="BB481" s="234"/>
      <c r="BC481" s="234"/>
      <c r="BD481" s="234"/>
      <c r="BE481" s="234"/>
      <c r="BF481" s="234"/>
      <c r="BG481" s="234"/>
      <c r="BH481" s="234"/>
    </row>
    <row r="482" spans="1:60" ht="24" customHeight="1" x14ac:dyDescent="0.25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  <c r="AD482" s="234"/>
      <c r="AE482" s="234"/>
      <c r="AF482" s="234"/>
      <c r="AG482" s="234"/>
      <c r="AH482" s="234"/>
      <c r="AI482" s="234"/>
      <c r="AJ482" s="234"/>
      <c r="AK482" s="234"/>
      <c r="AL482" s="234"/>
      <c r="AM482" s="234"/>
      <c r="AN482" s="201"/>
      <c r="AO482" s="234"/>
      <c r="AP482" s="234"/>
      <c r="AQ482" s="234"/>
      <c r="AR482" s="234"/>
      <c r="AS482" s="234"/>
      <c r="AT482" s="234"/>
      <c r="AU482" s="234"/>
      <c r="AV482" s="234"/>
      <c r="AW482" s="234"/>
      <c r="AX482" s="234"/>
      <c r="AY482" s="234"/>
      <c r="AZ482" s="234"/>
      <c r="BA482" s="234"/>
      <c r="BB482" s="234"/>
      <c r="BC482" s="234"/>
      <c r="BD482" s="234"/>
      <c r="BE482" s="234"/>
      <c r="BF482" s="234"/>
      <c r="BG482" s="234"/>
      <c r="BH482" s="234"/>
    </row>
    <row r="483" spans="1:60" ht="24" customHeight="1" x14ac:dyDescent="0.25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4"/>
      <c r="AH483" s="234"/>
      <c r="AI483" s="234"/>
      <c r="AJ483" s="234"/>
      <c r="AK483" s="234"/>
      <c r="AL483" s="234"/>
      <c r="AM483" s="234"/>
      <c r="AN483" s="201"/>
      <c r="AO483" s="234"/>
      <c r="AP483" s="234"/>
      <c r="AQ483" s="234"/>
      <c r="AR483" s="234"/>
      <c r="AS483" s="234"/>
      <c r="AT483" s="234"/>
      <c r="AU483" s="234"/>
      <c r="AV483" s="234"/>
      <c r="AW483" s="234"/>
      <c r="AX483" s="234"/>
      <c r="AY483" s="234"/>
      <c r="AZ483" s="234"/>
      <c r="BA483" s="234"/>
      <c r="BB483" s="234"/>
      <c r="BC483" s="234"/>
      <c r="BD483" s="234"/>
      <c r="BE483" s="234"/>
      <c r="BF483" s="234"/>
      <c r="BG483" s="234"/>
      <c r="BH483" s="234"/>
    </row>
    <row r="484" spans="1:60" ht="24" customHeight="1" x14ac:dyDescent="0.25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  <c r="AD484" s="234"/>
      <c r="AE484" s="234"/>
      <c r="AF484" s="234"/>
      <c r="AG484" s="234"/>
      <c r="AH484" s="234"/>
      <c r="AI484" s="234"/>
      <c r="AJ484" s="234"/>
      <c r="AK484" s="234"/>
      <c r="AL484" s="234"/>
      <c r="AM484" s="234"/>
      <c r="AN484" s="201"/>
      <c r="AO484" s="234"/>
      <c r="AP484" s="234"/>
      <c r="AQ484" s="234"/>
      <c r="AR484" s="234"/>
      <c r="AS484" s="234"/>
      <c r="AT484" s="234"/>
      <c r="AU484" s="234"/>
      <c r="AV484" s="234"/>
      <c r="AW484" s="234"/>
      <c r="AX484" s="234"/>
      <c r="AY484" s="234"/>
      <c r="AZ484" s="234"/>
      <c r="BA484" s="234"/>
      <c r="BB484" s="234"/>
      <c r="BC484" s="234"/>
      <c r="BD484" s="234"/>
      <c r="BE484" s="234"/>
      <c r="BF484" s="234"/>
      <c r="BG484" s="234"/>
      <c r="BH484" s="234"/>
    </row>
    <row r="485" spans="1:60" ht="24" customHeight="1" x14ac:dyDescent="0.2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  <c r="AD485" s="234"/>
      <c r="AE485" s="234"/>
      <c r="AF485" s="234"/>
      <c r="AG485" s="234"/>
      <c r="AH485" s="234"/>
      <c r="AI485" s="234"/>
      <c r="AJ485" s="234"/>
      <c r="AK485" s="234"/>
      <c r="AL485" s="234"/>
      <c r="AM485" s="234"/>
      <c r="AN485" s="201"/>
      <c r="AO485" s="234"/>
      <c r="AP485" s="234"/>
      <c r="AQ485" s="234"/>
      <c r="AR485" s="234"/>
      <c r="AS485" s="234"/>
      <c r="AT485" s="234"/>
      <c r="AU485" s="234"/>
      <c r="AV485" s="234"/>
      <c r="AW485" s="234"/>
      <c r="AX485" s="234"/>
      <c r="AY485" s="234"/>
      <c r="AZ485" s="234"/>
      <c r="BA485" s="234"/>
      <c r="BB485" s="234"/>
      <c r="BC485" s="234"/>
      <c r="BD485" s="234"/>
      <c r="BE485" s="234"/>
      <c r="BF485" s="234"/>
      <c r="BG485" s="234"/>
      <c r="BH485" s="234"/>
    </row>
    <row r="486" spans="1:60" ht="24" customHeight="1" x14ac:dyDescent="0.25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  <c r="AD486" s="234"/>
      <c r="AE486" s="234"/>
      <c r="AF486" s="234"/>
      <c r="AG486" s="234"/>
      <c r="AH486" s="234"/>
      <c r="AI486" s="234"/>
      <c r="AJ486" s="234"/>
      <c r="AK486" s="234"/>
      <c r="AL486" s="234"/>
      <c r="AM486" s="234"/>
      <c r="AN486" s="201"/>
      <c r="AO486" s="234"/>
      <c r="AP486" s="234"/>
      <c r="AQ486" s="234"/>
      <c r="AR486" s="234"/>
      <c r="AS486" s="234"/>
      <c r="AT486" s="234"/>
      <c r="AU486" s="234"/>
      <c r="AV486" s="234"/>
      <c r="AW486" s="234"/>
      <c r="AX486" s="234"/>
      <c r="AY486" s="234"/>
      <c r="AZ486" s="234"/>
      <c r="BA486" s="234"/>
      <c r="BB486" s="234"/>
      <c r="BC486" s="234"/>
      <c r="BD486" s="234"/>
      <c r="BE486" s="234"/>
      <c r="BF486" s="234"/>
      <c r="BG486" s="234"/>
      <c r="BH486" s="234"/>
    </row>
    <row r="487" spans="1:60" ht="24" customHeight="1" x14ac:dyDescent="0.25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  <c r="AD487" s="234"/>
      <c r="AE487" s="234"/>
      <c r="AF487" s="234"/>
      <c r="AG487" s="234"/>
      <c r="AH487" s="234"/>
      <c r="AI487" s="234"/>
      <c r="AJ487" s="234"/>
      <c r="AK487" s="234"/>
      <c r="AL487" s="234"/>
      <c r="AM487" s="234"/>
      <c r="AN487" s="201"/>
      <c r="AO487" s="234"/>
      <c r="AP487" s="234"/>
      <c r="AQ487" s="234"/>
      <c r="AR487" s="234"/>
      <c r="AS487" s="234"/>
      <c r="AT487" s="234"/>
      <c r="AU487" s="234"/>
      <c r="AV487" s="234"/>
      <c r="AW487" s="234"/>
      <c r="AX487" s="234"/>
      <c r="AY487" s="234"/>
      <c r="AZ487" s="234"/>
      <c r="BA487" s="234"/>
      <c r="BB487" s="234"/>
      <c r="BC487" s="234"/>
      <c r="BD487" s="234"/>
      <c r="BE487" s="234"/>
      <c r="BF487" s="234"/>
      <c r="BG487" s="234"/>
      <c r="BH487" s="234"/>
    </row>
    <row r="488" spans="1:60" ht="24" customHeight="1" x14ac:dyDescent="0.25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  <c r="AD488" s="234"/>
      <c r="AE488" s="234"/>
      <c r="AF488" s="234"/>
      <c r="AG488" s="234"/>
      <c r="AH488" s="234"/>
      <c r="AI488" s="234"/>
      <c r="AJ488" s="234"/>
      <c r="AK488" s="234"/>
      <c r="AL488" s="234"/>
      <c r="AM488" s="234"/>
      <c r="AN488" s="201"/>
      <c r="AO488" s="234"/>
      <c r="AP488" s="234"/>
      <c r="AQ488" s="234"/>
      <c r="AR488" s="234"/>
      <c r="AS488" s="234"/>
      <c r="AT488" s="234"/>
      <c r="AU488" s="234"/>
      <c r="AV488" s="234"/>
      <c r="AW488" s="234"/>
      <c r="AX488" s="234"/>
      <c r="AY488" s="234"/>
      <c r="AZ488" s="234"/>
      <c r="BA488" s="234"/>
      <c r="BB488" s="234"/>
      <c r="BC488" s="234"/>
      <c r="BD488" s="234"/>
      <c r="BE488" s="234"/>
      <c r="BF488" s="234"/>
      <c r="BG488" s="234"/>
      <c r="BH488" s="234"/>
    </row>
    <row r="489" spans="1:60" ht="24" customHeight="1" x14ac:dyDescent="0.25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  <c r="AD489" s="234"/>
      <c r="AE489" s="234"/>
      <c r="AF489" s="234"/>
      <c r="AG489" s="234"/>
      <c r="AH489" s="234"/>
      <c r="AI489" s="234"/>
      <c r="AJ489" s="234"/>
      <c r="AK489" s="234"/>
      <c r="AL489" s="234"/>
      <c r="AM489" s="234"/>
      <c r="AN489" s="201"/>
      <c r="AO489" s="234"/>
      <c r="AP489" s="234"/>
      <c r="AQ489" s="234"/>
      <c r="AR489" s="234"/>
      <c r="AS489" s="234"/>
      <c r="AT489" s="234"/>
      <c r="AU489" s="234"/>
      <c r="AV489" s="234"/>
      <c r="AW489" s="234"/>
      <c r="AX489" s="234"/>
      <c r="AY489" s="234"/>
      <c r="AZ489" s="234"/>
      <c r="BA489" s="234"/>
      <c r="BB489" s="234"/>
      <c r="BC489" s="234"/>
      <c r="BD489" s="234"/>
      <c r="BE489" s="234"/>
      <c r="BF489" s="234"/>
      <c r="BG489" s="234"/>
      <c r="BH489" s="234"/>
    </row>
    <row r="490" spans="1:60" ht="24" customHeight="1" x14ac:dyDescent="0.25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  <c r="AD490" s="234"/>
      <c r="AE490" s="234"/>
      <c r="AF490" s="234"/>
      <c r="AG490" s="234"/>
      <c r="AH490" s="234"/>
      <c r="AI490" s="234"/>
      <c r="AJ490" s="234"/>
      <c r="AK490" s="234"/>
      <c r="AL490" s="234"/>
      <c r="AM490" s="234"/>
      <c r="AN490" s="201"/>
      <c r="AO490" s="234"/>
      <c r="AP490" s="234"/>
      <c r="AQ490" s="234"/>
      <c r="AR490" s="234"/>
      <c r="AS490" s="234"/>
      <c r="AT490" s="234"/>
      <c r="AU490" s="234"/>
      <c r="AV490" s="234"/>
      <c r="AW490" s="234"/>
      <c r="AX490" s="234"/>
      <c r="AY490" s="234"/>
      <c r="AZ490" s="234"/>
      <c r="BA490" s="234"/>
      <c r="BB490" s="234"/>
      <c r="BC490" s="234"/>
      <c r="BD490" s="234"/>
      <c r="BE490" s="234"/>
      <c r="BF490" s="234"/>
      <c r="BG490" s="234"/>
      <c r="BH490" s="234"/>
    </row>
    <row r="491" spans="1:60" ht="24" customHeight="1" x14ac:dyDescent="0.25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  <c r="AD491" s="234"/>
      <c r="AE491" s="234"/>
      <c r="AF491" s="234"/>
      <c r="AG491" s="234"/>
      <c r="AH491" s="234"/>
      <c r="AI491" s="234"/>
      <c r="AJ491" s="234"/>
      <c r="AK491" s="234"/>
      <c r="AL491" s="234"/>
      <c r="AM491" s="234"/>
      <c r="AN491" s="201"/>
      <c r="AO491" s="234"/>
      <c r="AP491" s="234"/>
      <c r="AQ491" s="234"/>
      <c r="AR491" s="234"/>
      <c r="AS491" s="234"/>
      <c r="AT491" s="234"/>
      <c r="AU491" s="234"/>
      <c r="AV491" s="234"/>
      <c r="AW491" s="234"/>
      <c r="AX491" s="234"/>
      <c r="AY491" s="234"/>
      <c r="AZ491" s="234"/>
      <c r="BA491" s="234"/>
      <c r="BB491" s="234"/>
      <c r="BC491" s="234"/>
      <c r="BD491" s="234"/>
      <c r="BE491" s="234"/>
      <c r="BF491" s="234"/>
      <c r="BG491" s="234"/>
      <c r="BH491" s="234"/>
    </row>
    <row r="492" spans="1:60" ht="24" customHeight="1" x14ac:dyDescent="0.25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  <c r="AD492" s="234"/>
      <c r="AE492" s="234"/>
      <c r="AF492" s="234"/>
      <c r="AG492" s="234"/>
      <c r="AH492" s="234"/>
      <c r="AI492" s="234"/>
      <c r="AJ492" s="234"/>
      <c r="AK492" s="234"/>
      <c r="AL492" s="234"/>
      <c r="AM492" s="234"/>
      <c r="AN492" s="201"/>
      <c r="AO492" s="234"/>
      <c r="AP492" s="234"/>
      <c r="AQ492" s="234"/>
      <c r="AR492" s="234"/>
      <c r="AS492" s="234"/>
      <c r="AT492" s="234"/>
      <c r="AU492" s="234"/>
      <c r="AV492" s="234"/>
      <c r="AW492" s="234"/>
      <c r="AX492" s="234"/>
      <c r="AY492" s="234"/>
      <c r="AZ492" s="234"/>
      <c r="BA492" s="234"/>
      <c r="BB492" s="234"/>
      <c r="BC492" s="234"/>
      <c r="BD492" s="234"/>
      <c r="BE492" s="234"/>
      <c r="BF492" s="234"/>
      <c r="BG492" s="234"/>
      <c r="BH492" s="234"/>
    </row>
    <row r="493" spans="1:60" ht="24" customHeight="1" x14ac:dyDescent="0.25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  <c r="AD493" s="234"/>
      <c r="AE493" s="234"/>
      <c r="AF493" s="234"/>
      <c r="AG493" s="234"/>
      <c r="AH493" s="234"/>
      <c r="AI493" s="234"/>
      <c r="AJ493" s="234"/>
      <c r="AK493" s="234"/>
      <c r="AL493" s="234"/>
      <c r="AM493" s="234"/>
      <c r="AN493" s="201"/>
      <c r="AO493" s="234"/>
      <c r="AP493" s="234"/>
      <c r="AQ493" s="234"/>
      <c r="AR493" s="234"/>
      <c r="AS493" s="234"/>
      <c r="AT493" s="234"/>
      <c r="AU493" s="234"/>
      <c r="AV493" s="234"/>
      <c r="AW493" s="234"/>
      <c r="AX493" s="234"/>
      <c r="AY493" s="234"/>
      <c r="AZ493" s="234"/>
      <c r="BA493" s="234"/>
      <c r="BB493" s="234"/>
      <c r="BC493" s="234"/>
      <c r="BD493" s="234"/>
      <c r="BE493" s="234"/>
      <c r="BF493" s="234"/>
      <c r="BG493" s="234"/>
      <c r="BH493" s="234"/>
    </row>
    <row r="494" spans="1:60" ht="24" customHeight="1" x14ac:dyDescent="0.25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  <c r="AD494" s="234"/>
      <c r="AE494" s="234"/>
      <c r="AF494" s="234"/>
      <c r="AG494" s="234"/>
      <c r="AH494" s="234"/>
      <c r="AI494" s="234"/>
      <c r="AJ494" s="234"/>
      <c r="AK494" s="234"/>
      <c r="AL494" s="234"/>
      <c r="AM494" s="234"/>
      <c r="AN494" s="201"/>
      <c r="AO494" s="234"/>
      <c r="AP494" s="234"/>
      <c r="AQ494" s="234"/>
      <c r="AR494" s="234"/>
      <c r="AS494" s="234"/>
      <c r="AT494" s="234"/>
      <c r="AU494" s="234"/>
      <c r="AV494" s="234"/>
      <c r="AW494" s="234"/>
      <c r="AX494" s="234"/>
      <c r="AY494" s="234"/>
      <c r="AZ494" s="234"/>
      <c r="BA494" s="234"/>
      <c r="BB494" s="234"/>
      <c r="BC494" s="234"/>
      <c r="BD494" s="234"/>
      <c r="BE494" s="234"/>
      <c r="BF494" s="234"/>
      <c r="BG494" s="234"/>
      <c r="BH494" s="234"/>
    </row>
    <row r="495" spans="1:60" ht="24" customHeight="1" x14ac:dyDescent="0.2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4"/>
      <c r="AH495" s="234"/>
      <c r="AI495" s="234"/>
      <c r="AJ495" s="234"/>
      <c r="AK495" s="234"/>
      <c r="AL495" s="234"/>
      <c r="AM495" s="234"/>
      <c r="AN495" s="201"/>
      <c r="AO495" s="234"/>
      <c r="AP495" s="234"/>
      <c r="AQ495" s="234"/>
      <c r="AR495" s="234"/>
      <c r="AS495" s="234"/>
      <c r="AT495" s="234"/>
      <c r="AU495" s="234"/>
      <c r="AV495" s="234"/>
      <c r="AW495" s="234"/>
      <c r="AX495" s="234"/>
      <c r="AY495" s="234"/>
      <c r="AZ495" s="234"/>
      <c r="BA495" s="234"/>
      <c r="BB495" s="234"/>
      <c r="BC495" s="234"/>
      <c r="BD495" s="234"/>
      <c r="BE495" s="234"/>
      <c r="BF495" s="234"/>
      <c r="BG495" s="234"/>
      <c r="BH495" s="234"/>
    </row>
    <row r="496" spans="1:60" ht="24" customHeight="1" x14ac:dyDescent="0.25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  <c r="AD496" s="234"/>
      <c r="AE496" s="234"/>
      <c r="AF496" s="234"/>
      <c r="AG496" s="234"/>
      <c r="AH496" s="234"/>
      <c r="AI496" s="234"/>
      <c r="AJ496" s="234"/>
      <c r="AK496" s="234"/>
      <c r="AL496" s="234"/>
      <c r="AM496" s="234"/>
      <c r="AN496" s="201"/>
      <c r="AO496" s="234"/>
      <c r="AP496" s="234"/>
      <c r="AQ496" s="234"/>
      <c r="AR496" s="234"/>
      <c r="AS496" s="234"/>
      <c r="AT496" s="234"/>
      <c r="AU496" s="234"/>
      <c r="AV496" s="234"/>
      <c r="AW496" s="234"/>
      <c r="AX496" s="234"/>
      <c r="AY496" s="234"/>
      <c r="AZ496" s="234"/>
      <c r="BA496" s="234"/>
      <c r="BB496" s="234"/>
      <c r="BC496" s="234"/>
      <c r="BD496" s="234"/>
      <c r="BE496" s="234"/>
      <c r="BF496" s="234"/>
      <c r="BG496" s="234"/>
      <c r="BH496" s="234"/>
    </row>
    <row r="497" spans="1:60" ht="24" customHeight="1" x14ac:dyDescent="0.25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  <c r="AD497" s="234"/>
      <c r="AE497" s="234"/>
      <c r="AF497" s="234"/>
      <c r="AG497" s="234"/>
      <c r="AH497" s="234"/>
      <c r="AI497" s="234"/>
      <c r="AJ497" s="234"/>
      <c r="AK497" s="234"/>
      <c r="AL497" s="234"/>
      <c r="AM497" s="234"/>
      <c r="AN497" s="201"/>
      <c r="AO497" s="234"/>
      <c r="AP497" s="234"/>
      <c r="AQ497" s="234"/>
      <c r="AR497" s="234"/>
      <c r="AS497" s="234"/>
      <c r="AT497" s="234"/>
      <c r="AU497" s="234"/>
      <c r="AV497" s="234"/>
      <c r="AW497" s="234"/>
      <c r="AX497" s="234"/>
      <c r="AY497" s="234"/>
      <c r="AZ497" s="234"/>
      <c r="BA497" s="234"/>
      <c r="BB497" s="234"/>
      <c r="BC497" s="234"/>
      <c r="BD497" s="234"/>
      <c r="BE497" s="234"/>
      <c r="BF497" s="234"/>
      <c r="BG497" s="234"/>
      <c r="BH497" s="234"/>
    </row>
    <row r="498" spans="1:60" ht="24" customHeight="1" x14ac:dyDescent="0.25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  <c r="AD498" s="234"/>
      <c r="AE498" s="234"/>
      <c r="AF498" s="234"/>
      <c r="AG498" s="234"/>
      <c r="AH498" s="234"/>
      <c r="AI498" s="234"/>
      <c r="AJ498" s="234"/>
      <c r="AK498" s="234"/>
      <c r="AL498" s="234"/>
      <c r="AM498" s="234"/>
      <c r="AN498" s="201"/>
      <c r="AO498" s="234"/>
      <c r="AP498" s="234"/>
      <c r="AQ498" s="234"/>
      <c r="AR498" s="234"/>
      <c r="AS498" s="234"/>
      <c r="AT498" s="234"/>
      <c r="AU498" s="234"/>
      <c r="AV498" s="234"/>
      <c r="AW498" s="234"/>
      <c r="AX498" s="234"/>
      <c r="AY498" s="234"/>
      <c r="AZ498" s="234"/>
      <c r="BA498" s="234"/>
      <c r="BB498" s="234"/>
      <c r="BC498" s="234"/>
      <c r="BD498" s="234"/>
      <c r="BE498" s="234"/>
      <c r="BF498" s="234"/>
      <c r="BG498" s="234"/>
      <c r="BH498" s="234"/>
    </row>
    <row r="499" spans="1:60" ht="24" customHeight="1" x14ac:dyDescent="0.25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  <c r="AD499" s="234"/>
      <c r="AE499" s="234"/>
      <c r="AF499" s="234"/>
      <c r="AG499" s="234"/>
      <c r="AH499" s="234"/>
      <c r="AI499" s="234"/>
      <c r="AJ499" s="234"/>
      <c r="AK499" s="234"/>
      <c r="AL499" s="234"/>
      <c r="AM499" s="234"/>
      <c r="AN499" s="201"/>
      <c r="AO499" s="234"/>
      <c r="AP499" s="234"/>
      <c r="AQ499" s="234"/>
      <c r="AR499" s="234"/>
      <c r="AS499" s="234"/>
      <c r="AT499" s="234"/>
      <c r="AU499" s="234"/>
      <c r="AV499" s="234"/>
      <c r="AW499" s="234"/>
      <c r="AX499" s="234"/>
      <c r="AY499" s="234"/>
      <c r="AZ499" s="234"/>
      <c r="BA499" s="234"/>
      <c r="BB499" s="234"/>
      <c r="BC499" s="234"/>
      <c r="BD499" s="234"/>
      <c r="BE499" s="234"/>
      <c r="BF499" s="234"/>
      <c r="BG499" s="234"/>
      <c r="BH499" s="234"/>
    </row>
    <row r="500" spans="1:60" ht="24" customHeight="1" x14ac:dyDescent="0.25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  <c r="AD500" s="234"/>
      <c r="AE500" s="234"/>
      <c r="AF500" s="234"/>
      <c r="AG500" s="234"/>
      <c r="AH500" s="234"/>
      <c r="AI500" s="234"/>
      <c r="AJ500" s="234"/>
      <c r="AK500" s="234"/>
      <c r="AL500" s="234"/>
      <c r="AM500" s="234"/>
      <c r="AN500" s="201"/>
      <c r="AO500" s="234"/>
      <c r="AP500" s="234"/>
      <c r="AQ500" s="234"/>
      <c r="AR500" s="234"/>
      <c r="AS500" s="234"/>
      <c r="AT500" s="234"/>
      <c r="AU500" s="234"/>
      <c r="AV500" s="234"/>
      <c r="AW500" s="234"/>
      <c r="AX500" s="234"/>
      <c r="AY500" s="234"/>
      <c r="AZ500" s="234"/>
      <c r="BA500" s="234"/>
      <c r="BB500" s="234"/>
      <c r="BC500" s="234"/>
      <c r="BD500" s="234"/>
      <c r="BE500" s="234"/>
      <c r="BF500" s="234"/>
      <c r="BG500" s="234"/>
      <c r="BH500" s="234"/>
    </row>
    <row r="501" spans="1:60" ht="24" customHeight="1" x14ac:dyDescent="0.25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  <c r="AD501" s="234"/>
      <c r="AE501" s="234"/>
      <c r="AF501" s="234"/>
      <c r="AG501" s="234"/>
      <c r="AH501" s="234"/>
      <c r="AI501" s="234"/>
      <c r="AJ501" s="234"/>
      <c r="AK501" s="234"/>
      <c r="AL501" s="234"/>
      <c r="AM501" s="234"/>
      <c r="AN501" s="201"/>
      <c r="AO501" s="234"/>
      <c r="AP501" s="234"/>
      <c r="AQ501" s="234"/>
      <c r="AR501" s="234"/>
      <c r="AS501" s="234"/>
      <c r="AT501" s="234"/>
      <c r="AU501" s="234"/>
      <c r="AV501" s="234"/>
      <c r="AW501" s="234"/>
      <c r="AX501" s="234"/>
      <c r="AY501" s="234"/>
      <c r="AZ501" s="234"/>
      <c r="BA501" s="234"/>
      <c r="BB501" s="234"/>
      <c r="BC501" s="234"/>
      <c r="BD501" s="234"/>
      <c r="BE501" s="234"/>
      <c r="BF501" s="234"/>
      <c r="BG501" s="234"/>
      <c r="BH501" s="234"/>
    </row>
    <row r="502" spans="1:60" ht="24" customHeight="1" x14ac:dyDescent="0.25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  <c r="AD502" s="234"/>
      <c r="AE502" s="234"/>
      <c r="AF502" s="234"/>
      <c r="AG502" s="234"/>
      <c r="AH502" s="234"/>
      <c r="AI502" s="234"/>
      <c r="AJ502" s="234"/>
      <c r="AK502" s="234"/>
      <c r="AL502" s="234"/>
      <c r="AM502" s="234"/>
      <c r="AN502" s="201"/>
      <c r="AO502" s="234"/>
      <c r="AP502" s="234"/>
      <c r="AQ502" s="234"/>
      <c r="AR502" s="234"/>
      <c r="AS502" s="234"/>
      <c r="AT502" s="234"/>
      <c r="AU502" s="234"/>
      <c r="AV502" s="234"/>
      <c r="AW502" s="234"/>
      <c r="AX502" s="234"/>
      <c r="AY502" s="234"/>
      <c r="AZ502" s="234"/>
      <c r="BA502" s="234"/>
      <c r="BB502" s="234"/>
      <c r="BC502" s="234"/>
      <c r="BD502" s="234"/>
      <c r="BE502" s="234"/>
      <c r="BF502" s="234"/>
      <c r="BG502" s="234"/>
      <c r="BH502" s="234"/>
    </row>
    <row r="503" spans="1:60" ht="24" customHeight="1" x14ac:dyDescent="0.25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  <c r="AD503" s="234"/>
      <c r="AE503" s="234"/>
      <c r="AF503" s="234"/>
      <c r="AG503" s="234"/>
      <c r="AH503" s="234"/>
      <c r="AI503" s="234"/>
      <c r="AJ503" s="234"/>
      <c r="AK503" s="234"/>
      <c r="AL503" s="234"/>
      <c r="AM503" s="234"/>
      <c r="AN503" s="201"/>
      <c r="AO503" s="234"/>
      <c r="AP503" s="234"/>
      <c r="AQ503" s="234"/>
      <c r="AR503" s="234"/>
      <c r="AS503" s="234"/>
      <c r="AT503" s="234"/>
      <c r="AU503" s="234"/>
      <c r="AV503" s="234"/>
      <c r="AW503" s="234"/>
      <c r="AX503" s="234"/>
      <c r="AY503" s="234"/>
      <c r="AZ503" s="234"/>
      <c r="BA503" s="234"/>
      <c r="BB503" s="234"/>
      <c r="BC503" s="234"/>
      <c r="BD503" s="234"/>
      <c r="BE503" s="234"/>
      <c r="BF503" s="234"/>
      <c r="BG503" s="234"/>
      <c r="BH503" s="234"/>
    </row>
    <row r="504" spans="1:60" ht="24" customHeight="1" x14ac:dyDescent="0.25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  <c r="AD504" s="234"/>
      <c r="AE504" s="234"/>
      <c r="AF504" s="234"/>
      <c r="AG504" s="234"/>
      <c r="AH504" s="234"/>
      <c r="AI504" s="234"/>
      <c r="AJ504" s="234"/>
      <c r="AK504" s="234"/>
      <c r="AL504" s="234"/>
      <c r="AM504" s="234"/>
      <c r="AN504" s="201"/>
      <c r="AO504" s="234"/>
      <c r="AP504" s="234"/>
      <c r="AQ504" s="234"/>
      <c r="AR504" s="234"/>
      <c r="AS504" s="234"/>
      <c r="AT504" s="234"/>
      <c r="AU504" s="234"/>
      <c r="AV504" s="234"/>
      <c r="AW504" s="234"/>
      <c r="AX504" s="234"/>
      <c r="AY504" s="234"/>
      <c r="AZ504" s="234"/>
      <c r="BA504" s="234"/>
      <c r="BB504" s="234"/>
      <c r="BC504" s="234"/>
      <c r="BD504" s="234"/>
      <c r="BE504" s="234"/>
      <c r="BF504" s="234"/>
      <c r="BG504" s="234"/>
      <c r="BH504" s="234"/>
    </row>
    <row r="505" spans="1:60" ht="24" customHeight="1" x14ac:dyDescent="0.2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  <c r="AD505" s="234"/>
      <c r="AE505" s="234"/>
      <c r="AF505" s="234"/>
      <c r="AG505" s="234"/>
      <c r="AH505" s="234"/>
      <c r="AI505" s="234"/>
      <c r="AJ505" s="234"/>
      <c r="AK505" s="234"/>
      <c r="AL505" s="234"/>
      <c r="AM505" s="234"/>
      <c r="AN505" s="201"/>
      <c r="AO505" s="234"/>
      <c r="AP505" s="234"/>
      <c r="AQ505" s="234"/>
      <c r="AR505" s="234"/>
      <c r="AS505" s="234"/>
      <c r="AT505" s="234"/>
      <c r="AU505" s="234"/>
      <c r="AV505" s="234"/>
      <c r="AW505" s="234"/>
      <c r="AX505" s="234"/>
      <c r="AY505" s="234"/>
      <c r="AZ505" s="234"/>
      <c r="BA505" s="234"/>
      <c r="BB505" s="234"/>
      <c r="BC505" s="234"/>
      <c r="BD505" s="234"/>
      <c r="BE505" s="234"/>
      <c r="BF505" s="234"/>
      <c r="BG505" s="234"/>
      <c r="BH505" s="234"/>
    </row>
    <row r="506" spans="1:60" ht="24" customHeight="1" x14ac:dyDescent="0.25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  <c r="AD506" s="234"/>
      <c r="AE506" s="234"/>
      <c r="AF506" s="234"/>
      <c r="AG506" s="234"/>
      <c r="AH506" s="234"/>
      <c r="AI506" s="234"/>
      <c r="AJ506" s="234"/>
      <c r="AK506" s="234"/>
      <c r="AL506" s="234"/>
      <c r="AM506" s="234"/>
      <c r="AN506" s="201"/>
      <c r="AO506" s="234"/>
      <c r="AP506" s="234"/>
      <c r="AQ506" s="234"/>
      <c r="AR506" s="234"/>
      <c r="AS506" s="234"/>
      <c r="AT506" s="234"/>
      <c r="AU506" s="234"/>
      <c r="AV506" s="234"/>
      <c r="AW506" s="234"/>
      <c r="AX506" s="234"/>
      <c r="AY506" s="234"/>
      <c r="AZ506" s="234"/>
      <c r="BA506" s="234"/>
      <c r="BB506" s="234"/>
      <c r="BC506" s="234"/>
      <c r="BD506" s="234"/>
      <c r="BE506" s="234"/>
      <c r="BF506" s="234"/>
      <c r="BG506" s="234"/>
      <c r="BH506" s="234"/>
    </row>
    <row r="507" spans="1:60" ht="24" customHeight="1" x14ac:dyDescent="0.25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  <c r="AD507" s="234"/>
      <c r="AE507" s="234"/>
      <c r="AF507" s="234"/>
      <c r="AG507" s="234"/>
      <c r="AH507" s="234"/>
      <c r="AI507" s="234"/>
      <c r="AJ507" s="234"/>
      <c r="AK507" s="234"/>
      <c r="AL507" s="234"/>
      <c r="AM507" s="234"/>
      <c r="AN507" s="201"/>
      <c r="AO507" s="234"/>
      <c r="AP507" s="234"/>
      <c r="AQ507" s="234"/>
      <c r="AR507" s="234"/>
      <c r="AS507" s="234"/>
      <c r="AT507" s="234"/>
      <c r="AU507" s="234"/>
      <c r="AV507" s="234"/>
      <c r="AW507" s="234"/>
      <c r="AX507" s="234"/>
      <c r="AY507" s="234"/>
      <c r="AZ507" s="234"/>
      <c r="BA507" s="234"/>
      <c r="BB507" s="234"/>
      <c r="BC507" s="234"/>
      <c r="BD507" s="234"/>
      <c r="BE507" s="234"/>
      <c r="BF507" s="234"/>
      <c r="BG507" s="234"/>
      <c r="BH507" s="234"/>
    </row>
    <row r="508" spans="1:60" ht="24" customHeight="1" x14ac:dyDescent="0.25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  <c r="AD508" s="234"/>
      <c r="AE508" s="234"/>
      <c r="AF508" s="234"/>
      <c r="AG508" s="234"/>
      <c r="AH508" s="234"/>
      <c r="AI508" s="234"/>
      <c r="AJ508" s="234"/>
      <c r="AK508" s="234"/>
      <c r="AL508" s="234"/>
      <c r="AM508" s="234"/>
      <c r="AN508" s="201"/>
      <c r="AO508" s="234"/>
      <c r="AP508" s="234"/>
      <c r="AQ508" s="234"/>
      <c r="AR508" s="234"/>
      <c r="AS508" s="234"/>
      <c r="AT508" s="234"/>
      <c r="AU508" s="234"/>
      <c r="AV508" s="234"/>
      <c r="AW508" s="234"/>
      <c r="AX508" s="234"/>
      <c r="AY508" s="234"/>
      <c r="AZ508" s="234"/>
      <c r="BA508" s="234"/>
      <c r="BB508" s="234"/>
      <c r="BC508" s="234"/>
      <c r="BD508" s="234"/>
      <c r="BE508" s="234"/>
      <c r="BF508" s="234"/>
      <c r="BG508" s="234"/>
      <c r="BH508" s="234"/>
    </row>
    <row r="509" spans="1:60" ht="24" customHeight="1" x14ac:dyDescent="0.25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  <c r="AD509" s="234"/>
      <c r="AE509" s="234"/>
      <c r="AF509" s="234"/>
      <c r="AG509" s="234"/>
      <c r="AH509" s="234"/>
      <c r="AI509" s="234"/>
      <c r="AJ509" s="234"/>
      <c r="AK509" s="234"/>
      <c r="AL509" s="234"/>
      <c r="AM509" s="234"/>
      <c r="AN509" s="201"/>
      <c r="AO509" s="234"/>
      <c r="AP509" s="234"/>
      <c r="AQ509" s="234"/>
      <c r="AR509" s="234"/>
      <c r="AS509" s="234"/>
      <c r="AT509" s="234"/>
      <c r="AU509" s="234"/>
      <c r="AV509" s="234"/>
      <c r="AW509" s="234"/>
      <c r="AX509" s="234"/>
      <c r="AY509" s="234"/>
      <c r="AZ509" s="234"/>
      <c r="BA509" s="234"/>
      <c r="BB509" s="234"/>
      <c r="BC509" s="234"/>
      <c r="BD509" s="234"/>
      <c r="BE509" s="234"/>
      <c r="BF509" s="234"/>
      <c r="BG509" s="234"/>
      <c r="BH509" s="234"/>
    </row>
    <row r="510" spans="1:60" ht="24" customHeight="1" x14ac:dyDescent="0.25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  <c r="AD510" s="234"/>
      <c r="AE510" s="234"/>
      <c r="AF510" s="234"/>
      <c r="AG510" s="234"/>
      <c r="AH510" s="234"/>
      <c r="AI510" s="234"/>
      <c r="AJ510" s="234"/>
      <c r="AK510" s="234"/>
      <c r="AL510" s="234"/>
      <c r="AM510" s="234"/>
      <c r="AN510" s="201"/>
      <c r="AO510" s="234"/>
      <c r="AP510" s="234"/>
      <c r="AQ510" s="234"/>
      <c r="AR510" s="234"/>
      <c r="AS510" s="234"/>
      <c r="AT510" s="234"/>
      <c r="AU510" s="234"/>
      <c r="AV510" s="234"/>
      <c r="AW510" s="234"/>
      <c r="AX510" s="234"/>
      <c r="AY510" s="234"/>
      <c r="AZ510" s="234"/>
      <c r="BA510" s="234"/>
      <c r="BB510" s="234"/>
      <c r="BC510" s="234"/>
      <c r="BD510" s="234"/>
      <c r="BE510" s="234"/>
      <c r="BF510" s="234"/>
      <c r="BG510" s="234"/>
      <c r="BH510" s="234"/>
    </row>
    <row r="511" spans="1:60" ht="24" customHeight="1" x14ac:dyDescent="0.25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  <c r="AD511" s="234"/>
      <c r="AE511" s="234"/>
      <c r="AF511" s="234"/>
      <c r="AG511" s="234"/>
      <c r="AH511" s="234"/>
      <c r="AI511" s="234"/>
      <c r="AJ511" s="234"/>
      <c r="AK511" s="234"/>
      <c r="AL511" s="234"/>
      <c r="AM511" s="234"/>
      <c r="AN511" s="201"/>
      <c r="AO511" s="234"/>
      <c r="AP511" s="234"/>
      <c r="AQ511" s="234"/>
      <c r="AR511" s="234"/>
      <c r="AS511" s="234"/>
      <c r="AT511" s="234"/>
      <c r="AU511" s="234"/>
      <c r="AV511" s="234"/>
      <c r="AW511" s="234"/>
      <c r="AX511" s="234"/>
      <c r="AY511" s="234"/>
      <c r="AZ511" s="234"/>
      <c r="BA511" s="234"/>
      <c r="BB511" s="234"/>
      <c r="BC511" s="234"/>
      <c r="BD511" s="234"/>
      <c r="BE511" s="234"/>
      <c r="BF511" s="234"/>
      <c r="BG511" s="234"/>
      <c r="BH511" s="234"/>
    </row>
    <row r="512" spans="1:60" ht="24" customHeight="1" x14ac:dyDescent="0.25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  <c r="AD512" s="234"/>
      <c r="AE512" s="234"/>
      <c r="AF512" s="234"/>
      <c r="AG512" s="234"/>
      <c r="AH512" s="234"/>
      <c r="AI512" s="234"/>
      <c r="AJ512" s="234"/>
      <c r="AK512" s="234"/>
      <c r="AL512" s="234"/>
      <c r="AM512" s="234"/>
      <c r="AN512" s="201"/>
      <c r="AO512" s="234"/>
      <c r="AP512" s="234"/>
      <c r="AQ512" s="234"/>
      <c r="AR512" s="234"/>
      <c r="AS512" s="234"/>
      <c r="AT512" s="234"/>
      <c r="AU512" s="234"/>
      <c r="AV512" s="234"/>
      <c r="AW512" s="234"/>
      <c r="AX512" s="234"/>
      <c r="AY512" s="234"/>
      <c r="AZ512" s="234"/>
      <c r="BA512" s="234"/>
      <c r="BB512" s="234"/>
      <c r="BC512" s="234"/>
      <c r="BD512" s="234"/>
      <c r="BE512" s="234"/>
      <c r="BF512" s="234"/>
      <c r="BG512" s="234"/>
      <c r="BH512" s="234"/>
    </row>
    <row r="513" spans="1:60" ht="24" customHeight="1" x14ac:dyDescent="0.25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  <c r="AD513" s="234"/>
      <c r="AE513" s="234"/>
      <c r="AF513" s="234"/>
      <c r="AG513" s="234"/>
      <c r="AH513" s="234"/>
      <c r="AI513" s="234"/>
      <c r="AJ513" s="234"/>
      <c r="AK513" s="234"/>
      <c r="AL513" s="234"/>
      <c r="AM513" s="234"/>
      <c r="AN513" s="201"/>
      <c r="AO513" s="234"/>
      <c r="AP513" s="234"/>
      <c r="AQ513" s="234"/>
      <c r="AR513" s="234"/>
      <c r="AS513" s="234"/>
      <c r="AT513" s="234"/>
      <c r="AU513" s="234"/>
      <c r="AV513" s="234"/>
      <c r="AW513" s="234"/>
      <c r="AX513" s="234"/>
      <c r="AY513" s="234"/>
      <c r="AZ513" s="234"/>
      <c r="BA513" s="234"/>
      <c r="BB513" s="234"/>
      <c r="BC513" s="234"/>
      <c r="BD513" s="234"/>
      <c r="BE513" s="234"/>
      <c r="BF513" s="234"/>
      <c r="BG513" s="234"/>
      <c r="BH513" s="234"/>
    </row>
    <row r="514" spans="1:60" ht="24" customHeight="1" x14ac:dyDescent="0.25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  <c r="AD514" s="234"/>
      <c r="AE514" s="234"/>
      <c r="AF514" s="234"/>
      <c r="AG514" s="234"/>
      <c r="AH514" s="234"/>
      <c r="AI514" s="234"/>
      <c r="AJ514" s="234"/>
      <c r="AK514" s="234"/>
      <c r="AL514" s="234"/>
      <c r="AM514" s="234"/>
      <c r="AN514" s="201"/>
      <c r="AO514" s="234"/>
      <c r="AP514" s="234"/>
      <c r="AQ514" s="234"/>
      <c r="AR514" s="234"/>
      <c r="AS514" s="234"/>
      <c r="AT514" s="234"/>
      <c r="AU514" s="234"/>
      <c r="AV514" s="234"/>
      <c r="AW514" s="234"/>
      <c r="AX514" s="234"/>
      <c r="AY514" s="234"/>
      <c r="AZ514" s="234"/>
      <c r="BA514" s="234"/>
      <c r="BB514" s="234"/>
      <c r="BC514" s="234"/>
      <c r="BD514" s="234"/>
      <c r="BE514" s="234"/>
      <c r="BF514" s="234"/>
      <c r="BG514" s="234"/>
      <c r="BH514" s="234"/>
    </row>
    <row r="515" spans="1:60" ht="24" customHeight="1" x14ac:dyDescent="0.2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  <c r="AD515" s="234"/>
      <c r="AE515" s="234"/>
      <c r="AF515" s="234"/>
      <c r="AG515" s="234"/>
      <c r="AH515" s="234"/>
      <c r="AI515" s="234"/>
      <c r="AJ515" s="234"/>
      <c r="AK515" s="234"/>
      <c r="AL515" s="234"/>
      <c r="AM515" s="234"/>
      <c r="AN515" s="201"/>
      <c r="AO515" s="234"/>
      <c r="AP515" s="234"/>
      <c r="AQ515" s="234"/>
      <c r="AR515" s="234"/>
      <c r="AS515" s="234"/>
      <c r="AT515" s="234"/>
      <c r="AU515" s="234"/>
      <c r="AV515" s="234"/>
      <c r="AW515" s="234"/>
      <c r="AX515" s="234"/>
      <c r="AY515" s="234"/>
      <c r="AZ515" s="234"/>
      <c r="BA515" s="234"/>
      <c r="BB515" s="234"/>
      <c r="BC515" s="234"/>
      <c r="BD515" s="234"/>
      <c r="BE515" s="234"/>
      <c r="BF515" s="234"/>
      <c r="BG515" s="234"/>
      <c r="BH515" s="234"/>
    </row>
    <row r="516" spans="1:60" ht="24" customHeight="1" x14ac:dyDescent="0.25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  <c r="AD516" s="234"/>
      <c r="AE516" s="234"/>
      <c r="AF516" s="234"/>
      <c r="AG516" s="234"/>
      <c r="AH516" s="234"/>
      <c r="AI516" s="234"/>
      <c r="AJ516" s="234"/>
      <c r="AK516" s="234"/>
      <c r="AL516" s="234"/>
      <c r="AM516" s="234"/>
      <c r="AN516" s="201"/>
      <c r="AO516" s="234"/>
      <c r="AP516" s="234"/>
      <c r="AQ516" s="234"/>
      <c r="AR516" s="234"/>
      <c r="AS516" s="234"/>
      <c r="AT516" s="234"/>
      <c r="AU516" s="234"/>
      <c r="AV516" s="234"/>
      <c r="AW516" s="234"/>
      <c r="AX516" s="234"/>
      <c r="AY516" s="234"/>
      <c r="AZ516" s="234"/>
      <c r="BA516" s="234"/>
      <c r="BB516" s="234"/>
      <c r="BC516" s="234"/>
      <c r="BD516" s="234"/>
      <c r="BE516" s="234"/>
      <c r="BF516" s="234"/>
      <c r="BG516" s="234"/>
      <c r="BH516" s="234"/>
    </row>
    <row r="517" spans="1:60" ht="24" customHeight="1" x14ac:dyDescent="0.25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  <c r="AD517" s="234"/>
      <c r="AE517" s="234"/>
      <c r="AF517" s="234"/>
      <c r="AG517" s="234"/>
      <c r="AH517" s="234"/>
      <c r="AI517" s="234"/>
      <c r="AJ517" s="234"/>
      <c r="AK517" s="234"/>
      <c r="AL517" s="234"/>
      <c r="AM517" s="234"/>
      <c r="AN517" s="201"/>
      <c r="AO517" s="234"/>
      <c r="AP517" s="234"/>
      <c r="AQ517" s="234"/>
      <c r="AR517" s="234"/>
      <c r="AS517" s="234"/>
      <c r="AT517" s="234"/>
      <c r="AU517" s="234"/>
      <c r="AV517" s="234"/>
      <c r="AW517" s="234"/>
      <c r="AX517" s="234"/>
      <c r="AY517" s="234"/>
      <c r="AZ517" s="234"/>
      <c r="BA517" s="234"/>
      <c r="BB517" s="234"/>
      <c r="BC517" s="234"/>
      <c r="BD517" s="234"/>
      <c r="BE517" s="234"/>
      <c r="BF517" s="234"/>
      <c r="BG517" s="234"/>
      <c r="BH517" s="234"/>
    </row>
    <row r="518" spans="1:60" ht="24" customHeight="1" x14ac:dyDescent="0.25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  <c r="AD518" s="234"/>
      <c r="AE518" s="234"/>
      <c r="AF518" s="234"/>
      <c r="AG518" s="234"/>
      <c r="AH518" s="234"/>
      <c r="AI518" s="234"/>
      <c r="AJ518" s="234"/>
      <c r="AK518" s="234"/>
      <c r="AL518" s="234"/>
      <c r="AM518" s="234"/>
      <c r="AN518" s="201"/>
      <c r="AO518" s="234"/>
      <c r="AP518" s="234"/>
      <c r="AQ518" s="234"/>
      <c r="AR518" s="234"/>
      <c r="AS518" s="234"/>
      <c r="AT518" s="234"/>
      <c r="AU518" s="234"/>
      <c r="AV518" s="234"/>
      <c r="AW518" s="234"/>
      <c r="AX518" s="234"/>
      <c r="AY518" s="234"/>
      <c r="AZ518" s="234"/>
      <c r="BA518" s="234"/>
      <c r="BB518" s="234"/>
      <c r="BC518" s="234"/>
      <c r="BD518" s="234"/>
      <c r="BE518" s="234"/>
      <c r="BF518" s="234"/>
      <c r="BG518" s="234"/>
      <c r="BH518" s="234"/>
    </row>
    <row r="519" spans="1:60" ht="24" customHeight="1" x14ac:dyDescent="0.25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  <c r="AD519" s="234"/>
      <c r="AE519" s="234"/>
      <c r="AF519" s="234"/>
      <c r="AG519" s="234"/>
      <c r="AH519" s="234"/>
      <c r="AI519" s="234"/>
      <c r="AJ519" s="234"/>
      <c r="AK519" s="234"/>
      <c r="AL519" s="234"/>
      <c r="AM519" s="234"/>
      <c r="AN519" s="201"/>
      <c r="AO519" s="234"/>
      <c r="AP519" s="234"/>
      <c r="AQ519" s="234"/>
      <c r="AR519" s="234"/>
      <c r="AS519" s="234"/>
      <c r="AT519" s="234"/>
      <c r="AU519" s="234"/>
      <c r="AV519" s="234"/>
      <c r="AW519" s="234"/>
      <c r="AX519" s="234"/>
      <c r="AY519" s="234"/>
      <c r="AZ519" s="234"/>
      <c r="BA519" s="234"/>
      <c r="BB519" s="234"/>
      <c r="BC519" s="234"/>
      <c r="BD519" s="234"/>
      <c r="BE519" s="234"/>
      <c r="BF519" s="234"/>
      <c r="BG519" s="234"/>
      <c r="BH519" s="234"/>
    </row>
    <row r="520" spans="1:60" ht="24" customHeight="1" x14ac:dyDescent="0.25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  <c r="AD520" s="234"/>
      <c r="AE520" s="234"/>
      <c r="AF520" s="234"/>
      <c r="AG520" s="234"/>
      <c r="AH520" s="234"/>
      <c r="AI520" s="234"/>
      <c r="AJ520" s="234"/>
      <c r="AK520" s="234"/>
      <c r="AL520" s="234"/>
      <c r="AM520" s="234"/>
      <c r="AN520" s="201"/>
      <c r="AO520" s="234"/>
      <c r="AP520" s="234"/>
      <c r="AQ520" s="234"/>
      <c r="AR520" s="234"/>
      <c r="AS520" s="234"/>
      <c r="AT520" s="234"/>
      <c r="AU520" s="234"/>
      <c r="AV520" s="234"/>
      <c r="AW520" s="234"/>
      <c r="AX520" s="234"/>
      <c r="AY520" s="234"/>
      <c r="AZ520" s="234"/>
      <c r="BA520" s="234"/>
      <c r="BB520" s="234"/>
      <c r="BC520" s="234"/>
      <c r="BD520" s="234"/>
      <c r="BE520" s="234"/>
      <c r="BF520" s="234"/>
      <c r="BG520" s="234"/>
      <c r="BH520" s="234"/>
    </row>
    <row r="521" spans="1:60" ht="24" customHeight="1" x14ac:dyDescent="0.25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  <c r="AB521" s="234"/>
      <c r="AC521" s="234"/>
      <c r="AD521" s="234"/>
      <c r="AE521" s="234"/>
      <c r="AF521" s="234"/>
      <c r="AG521" s="234"/>
      <c r="AH521" s="234"/>
      <c r="AI521" s="234"/>
      <c r="AJ521" s="234"/>
      <c r="AK521" s="234"/>
      <c r="AL521" s="234"/>
      <c r="AM521" s="234"/>
      <c r="AN521" s="201"/>
      <c r="AO521" s="234"/>
      <c r="AP521" s="234"/>
      <c r="AQ521" s="234"/>
      <c r="AR521" s="234"/>
      <c r="AS521" s="234"/>
      <c r="AT521" s="234"/>
      <c r="AU521" s="234"/>
      <c r="AV521" s="234"/>
      <c r="AW521" s="234"/>
      <c r="AX521" s="234"/>
      <c r="AY521" s="234"/>
      <c r="AZ521" s="234"/>
      <c r="BA521" s="234"/>
      <c r="BB521" s="234"/>
      <c r="BC521" s="234"/>
      <c r="BD521" s="234"/>
      <c r="BE521" s="234"/>
      <c r="BF521" s="234"/>
      <c r="BG521" s="234"/>
      <c r="BH521" s="234"/>
    </row>
    <row r="522" spans="1:60" ht="24" customHeight="1" x14ac:dyDescent="0.25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  <c r="AB522" s="234"/>
      <c r="AC522" s="234"/>
      <c r="AD522" s="234"/>
      <c r="AE522" s="234"/>
      <c r="AF522" s="234"/>
      <c r="AG522" s="234"/>
      <c r="AH522" s="234"/>
      <c r="AI522" s="234"/>
      <c r="AJ522" s="234"/>
      <c r="AK522" s="234"/>
      <c r="AL522" s="234"/>
      <c r="AM522" s="234"/>
      <c r="AN522" s="201"/>
      <c r="AO522" s="234"/>
      <c r="AP522" s="234"/>
      <c r="AQ522" s="234"/>
      <c r="AR522" s="234"/>
      <c r="AS522" s="234"/>
      <c r="AT522" s="234"/>
      <c r="AU522" s="234"/>
      <c r="AV522" s="234"/>
      <c r="AW522" s="234"/>
      <c r="AX522" s="234"/>
      <c r="AY522" s="234"/>
      <c r="AZ522" s="234"/>
      <c r="BA522" s="234"/>
      <c r="BB522" s="234"/>
      <c r="BC522" s="234"/>
      <c r="BD522" s="234"/>
      <c r="BE522" s="234"/>
      <c r="BF522" s="234"/>
      <c r="BG522" s="234"/>
      <c r="BH522" s="234"/>
    </row>
    <row r="523" spans="1:60" ht="24" customHeight="1" x14ac:dyDescent="0.25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  <c r="AB523" s="234"/>
      <c r="AC523" s="234"/>
      <c r="AD523" s="234"/>
      <c r="AE523" s="234"/>
      <c r="AF523" s="234"/>
      <c r="AG523" s="234"/>
      <c r="AH523" s="234"/>
      <c r="AI523" s="234"/>
      <c r="AJ523" s="234"/>
      <c r="AK523" s="234"/>
      <c r="AL523" s="234"/>
      <c r="AM523" s="234"/>
      <c r="AN523" s="201"/>
      <c r="AO523" s="234"/>
      <c r="AP523" s="234"/>
      <c r="AQ523" s="234"/>
      <c r="AR523" s="234"/>
      <c r="AS523" s="234"/>
      <c r="AT523" s="234"/>
      <c r="AU523" s="234"/>
      <c r="AV523" s="234"/>
      <c r="AW523" s="234"/>
      <c r="AX523" s="234"/>
      <c r="AY523" s="234"/>
      <c r="AZ523" s="234"/>
      <c r="BA523" s="234"/>
      <c r="BB523" s="234"/>
      <c r="BC523" s="234"/>
      <c r="BD523" s="234"/>
      <c r="BE523" s="234"/>
      <c r="BF523" s="234"/>
      <c r="BG523" s="234"/>
      <c r="BH523" s="234"/>
    </row>
    <row r="524" spans="1:60" ht="24" customHeight="1" x14ac:dyDescent="0.25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  <c r="AB524" s="234"/>
      <c r="AC524" s="234"/>
      <c r="AD524" s="234"/>
      <c r="AE524" s="234"/>
      <c r="AF524" s="234"/>
      <c r="AG524" s="234"/>
      <c r="AH524" s="234"/>
      <c r="AI524" s="234"/>
      <c r="AJ524" s="234"/>
      <c r="AK524" s="234"/>
      <c r="AL524" s="234"/>
      <c r="AM524" s="234"/>
      <c r="AN524" s="201"/>
      <c r="AO524" s="234"/>
      <c r="AP524" s="234"/>
      <c r="AQ524" s="234"/>
      <c r="AR524" s="234"/>
      <c r="AS524" s="234"/>
      <c r="AT524" s="234"/>
      <c r="AU524" s="234"/>
      <c r="AV524" s="234"/>
      <c r="AW524" s="234"/>
      <c r="AX524" s="234"/>
      <c r="AY524" s="234"/>
      <c r="AZ524" s="234"/>
      <c r="BA524" s="234"/>
      <c r="BB524" s="234"/>
      <c r="BC524" s="234"/>
      <c r="BD524" s="234"/>
      <c r="BE524" s="234"/>
      <c r="BF524" s="234"/>
      <c r="BG524" s="234"/>
      <c r="BH524" s="234"/>
    </row>
    <row r="525" spans="1:60" ht="24" customHeight="1" x14ac:dyDescent="0.2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  <c r="AB525" s="234"/>
      <c r="AC525" s="234"/>
      <c r="AD525" s="234"/>
      <c r="AE525" s="234"/>
      <c r="AF525" s="234"/>
      <c r="AG525" s="234"/>
      <c r="AH525" s="234"/>
      <c r="AI525" s="234"/>
      <c r="AJ525" s="234"/>
      <c r="AK525" s="234"/>
      <c r="AL525" s="234"/>
      <c r="AM525" s="234"/>
      <c r="AN525" s="201"/>
      <c r="AO525" s="234"/>
      <c r="AP525" s="234"/>
      <c r="AQ525" s="234"/>
      <c r="AR525" s="234"/>
      <c r="AS525" s="234"/>
      <c r="AT525" s="234"/>
      <c r="AU525" s="234"/>
      <c r="AV525" s="234"/>
      <c r="AW525" s="234"/>
      <c r="AX525" s="234"/>
      <c r="AY525" s="234"/>
      <c r="AZ525" s="234"/>
      <c r="BA525" s="234"/>
      <c r="BB525" s="234"/>
      <c r="BC525" s="234"/>
      <c r="BD525" s="234"/>
      <c r="BE525" s="234"/>
      <c r="BF525" s="234"/>
      <c r="BG525" s="234"/>
      <c r="BH525" s="234"/>
    </row>
    <row r="526" spans="1:60" ht="24" customHeight="1" x14ac:dyDescent="0.25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  <c r="AB526" s="234"/>
      <c r="AC526" s="234"/>
      <c r="AD526" s="234"/>
      <c r="AE526" s="234"/>
      <c r="AF526" s="234"/>
      <c r="AG526" s="234"/>
      <c r="AH526" s="234"/>
      <c r="AI526" s="234"/>
      <c r="AJ526" s="234"/>
      <c r="AK526" s="234"/>
      <c r="AL526" s="234"/>
      <c r="AM526" s="234"/>
      <c r="AN526" s="201"/>
      <c r="AO526" s="234"/>
      <c r="AP526" s="234"/>
      <c r="AQ526" s="234"/>
      <c r="AR526" s="234"/>
      <c r="AS526" s="234"/>
      <c r="AT526" s="234"/>
      <c r="AU526" s="234"/>
      <c r="AV526" s="234"/>
      <c r="AW526" s="234"/>
      <c r="AX526" s="234"/>
      <c r="AY526" s="234"/>
      <c r="AZ526" s="234"/>
      <c r="BA526" s="234"/>
      <c r="BB526" s="234"/>
      <c r="BC526" s="234"/>
      <c r="BD526" s="234"/>
      <c r="BE526" s="234"/>
      <c r="BF526" s="234"/>
      <c r="BG526" s="234"/>
      <c r="BH526" s="234"/>
    </row>
    <row r="527" spans="1:60" ht="24" customHeight="1" x14ac:dyDescent="0.25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  <c r="AC527" s="234"/>
      <c r="AD527" s="234"/>
      <c r="AE527" s="234"/>
      <c r="AF527" s="234"/>
      <c r="AG527" s="234"/>
      <c r="AH527" s="234"/>
      <c r="AI527" s="234"/>
      <c r="AJ527" s="234"/>
      <c r="AK527" s="234"/>
      <c r="AL527" s="234"/>
      <c r="AM527" s="234"/>
      <c r="AN527" s="201"/>
      <c r="AO527" s="234"/>
      <c r="AP527" s="234"/>
      <c r="AQ527" s="234"/>
      <c r="AR527" s="234"/>
      <c r="AS527" s="234"/>
      <c r="AT527" s="234"/>
      <c r="AU527" s="234"/>
      <c r="AV527" s="234"/>
      <c r="AW527" s="234"/>
      <c r="AX527" s="234"/>
      <c r="AY527" s="234"/>
      <c r="AZ527" s="234"/>
      <c r="BA527" s="234"/>
      <c r="BB527" s="234"/>
      <c r="BC527" s="234"/>
      <c r="BD527" s="234"/>
      <c r="BE527" s="234"/>
      <c r="BF527" s="234"/>
      <c r="BG527" s="234"/>
      <c r="BH527" s="234"/>
    </row>
    <row r="528" spans="1:60" ht="24" customHeight="1" x14ac:dyDescent="0.25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  <c r="AB528" s="234"/>
      <c r="AC528" s="234"/>
      <c r="AD528" s="234"/>
      <c r="AE528" s="234"/>
      <c r="AF528" s="234"/>
      <c r="AG528" s="234"/>
      <c r="AH528" s="234"/>
      <c r="AI528" s="234"/>
      <c r="AJ528" s="234"/>
      <c r="AK528" s="234"/>
      <c r="AL528" s="234"/>
      <c r="AM528" s="234"/>
      <c r="AN528" s="201"/>
      <c r="AO528" s="234"/>
      <c r="AP528" s="234"/>
      <c r="AQ528" s="234"/>
      <c r="AR528" s="234"/>
      <c r="AS528" s="234"/>
      <c r="AT528" s="234"/>
      <c r="AU528" s="234"/>
      <c r="AV528" s="234"/>
      <c r="AW528" s="234"/>
      <c r="AX528" s="234"/>
      <c r="AY528" s="234"/>
      <c r="AZ528" s="234"/>
      <c r="BA528" s="234"/>
      <c r="BB528" s="234"/>
      <c r="BC528" s="234"/>
      <c r="BD528" s="234"/>
      <c r="BE528" s="234"/>
      <c r="BF528" s="234"/>
      <c r="BG528" s="234"/>
      <c r="BH528" s="234"/>
    </row>
    <row r="529" spans="1:60" ht="24" customHeight="1" x14ac:dyDescent="0.25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  <c r="AB529" s="234"/>
      <c r="AC529" s="234"/>
      <c r="AD529" s="234"/>
      <c r="AE529" s="234"/>
      <c r="AF529" s="234"/>
      <c r="AG529" s="234"/>
      <c r="AH529" s="234"/>
      <c r="AI529" s="234"/>
      <c r="AJ529" s="234"/>
      <c r="AK529" s="234"/>
      <c r="AL529" s="234"/>
      <c r="AM529" s="234"/>
      <c r="AN529" s="201"/>
      <c r="AO529" s="234"/>
      <c r="AP529" s="234"/>
      <c r="AQ529" s="234"/>
      <c r="AR529" s="234"/>
      <c r="AS529" s="234"/>
      <c r="AT529" s="234"/>
      <c r="AU529" s="234"/>
      <c r="AV529" s="234"/>
      <c r="AW529" s="234"/>
      <c r="AX529" s="234"/>
      <c r="AY529" s="234"/>
      <c r="AZ529" s="234"/>
      <c r="BA529" s="234"/>
      <c r="BB529" s="234"/>
      <c r="BC529" s="234"/>
      <c r="BD529" s="234"/>
      <c r="BE529" s="234"/>
      <c r="BF529" s="234"/>
      <c r="BG529" s="234"/>
      <c r="BH529" s="234"/>
    </row>
    <row r="530" spans="1:60" ht="24" customHeight="1" x14ac:dyDescent="0.25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  <c r="AB530" s="234"/>
      <c r="AC530" s="234"/>
      <c r="AD530" s="234"/>
      <c r="AE530" s="234"/>
      <c r="AF530" s="234"/>
      <c r="AG530" s="234"/>
      <c r="AH530" s="234"/>
      <c r="AI530" s="234"/>
      <c r="AJ530" s="234"/>
      <c r="AK530" s="234"/>
      <c r="AL530" s="234"/>
      <c r="AM530" s="234"/>
      <c r="AN530" s="201"/>
      <c r="AO530" s="234"/>
      <c r="AP530" s="234"/>
      <c r="AQ530" s="234"/>
      <c r="AR530" s="234"/>
      <c r="AS530" s="234"/>
      <c r="AT530" s="234"/>
      <c r="AU530" s="234"/>
      <c r="AV530" s="234"/>
      <c r="AW530" s="234"/>
      <c r="AX530" s="234"/>
      <c r="AY530" s="234"/>
      <c r="AZ530" s="234"/>
      <c r="BA530" s="234"/>
      <c r="BB530" s="234"/>
      <c r="BC530" s="234"/>
      <c r="BD530" s="234"/>
      <c r="BE530" s="234"/>
      <c r="BF530" s="234"/>
      <c r="BG530" s="234"/>
      <c r="BH530" s="234"/>
    </row>
    <row r="531" spans="1:60" ht="24" customHeight="1" x14ac:dyDescent="0.25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  <c r="AB531" s="234"/>
      <c r="AC531" s="234"/>
      <c r="AD531" s="234"/>
      <c r="AE531" s="234"/>
      <c r="AF531" s="234"/>
      <c r="AG531" s="234"/>
      <c r="AH531" s="234"/>
      <c r="AI531" s="234"/>
      <c r="AJ531" s="234"/>
      <c r="AK531" s="234"/>
      <c r="AL531" s="234"/>
      <c r="AM531" s="234"/>
      <c r="AN531" s="201"/>
      <c r="AO531" s="234"/>
      <c r="AP531" s="234"/>
      <c r="AQ531" s="234"/>
      <c r="AR531" s="234"/>
      <c r="AS531" s="234"/>
      <c r="AT531" s="234"/>
      <c r="AU531" s="234"/>
      <c r="AV531" s="234"/>
      <c r="AW531" s="234"/>
      <c r="AX531" s="234"/>
      <c r="AY531" s="234"/>
      <c r="AZ531" s="234"/>
      <c r="BA531" s="234"/>
      <c r="BB531" s="234"/>
      <c r="BC531" s="234"/>
      <c r="BD531" s="234"/>
      <c r="BE531" s="234"/>
      <c r="BF531" s="234"/>
      <c r="BG531" s="234"/>
      <c r="BH531" s="234"/>
    </row>
    <row r="532" spans="1:60" ht="24" customHeight="1" x14ac:dyDescent="0.25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  <c r="AB532" s="234"/>
      <c r="AC532" s="234"/>
      <c r="AD532" s="234"/>
      <c r="AE532" s="234"/>
      <c r="AF532" s="234"/>
      <c r="AG532" s="234"/>
      <c r="AH532" s="234"/>
      <c r="AI532" s="234"/>
      <c r="AJ532" s="234"/>
      <c r="AK532" s="234"/>
      <c r="AL532" s="234"/>
      <c r="AM532" s="234"/>
      <c r="AN532" s="201"/>
      <c r="AO532" s="234"/>
      <c r="AP532" s="234"/>
      <c r="AQ532" s="234"/>
      <c r="AR532" s="234"/>
      <c r="AS532" s="234"/>
      <c r="AT532" s="234"/>
      <c r="AU532" s="234"/>
      <c r="AV532" s="234"/>
      <c r="AW532" s="234"/>
      <c r="AX532" s="234"/>
      <c r="AY532" s="234"/>
      <c r="AZ532" s="234"/>
      <c r="BA532" s="234"/>
      <c r="BB532" s="234"/>
      <c r="BC532" s="234"/>
      <c r="BD532" s="234"/>
      <c r="BE532" s="234"/>
      <c r="BF532" s="234"/>
      <c r="BG532" s="234"/>
      <c r="BH532" s="234"/>
    </row>
    <row r="533" spans="1:60" ht="24" customHeight="1" x14ac:dyDescent="0.25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  <c r="AB533" s="234"/>
      <c r="AC533" s="234"/>
      <c r="AD533" s="234"/>
      <c r="AE533" s="234"/>
      <c r="AF533" s="234"/>
      <c r="AG533" s="234"/>
      <c r="AH533" s="234"/>
      <c r="AI533" s="234"/>
      <c r="AJ533" s="234"/>
      <c r="AK533" s="234"/>
      <c r="AL533" s="234"/>
      <c r="AM533" s="234"/>
      <c r="AN533" s="201"/>
      <c r="AO533" s="234"/>
      <c r="AP533" s="234"/>
      <c r="AQ533" s="234"/>
      <c r="AR533" s="234"/>
      <c r="AS533" s="234"/>
      <c r="AT533" s="234"/>
      <c r="AU533" s="234"/>
      <c r="AV533" s="234"/>
      <c r="AW533" s="234"/>
      <c r="AX533" s="234"/>
      <c r="AY533" s="234"/>
      <c r="AZ533" s="234"/>
      <c r="BA533" s="234"/>
      <c r="BB533" s="234"/>
      <c r="BC533" s="234"/>
      <c r="BD533" s="234"/>
      <c r="BE533" s="234"/>
      <c r="BF533" s="234"/>
      <c r="BG533" s="234"/>
      <c r="BH533" s="234"/>
    </row>
    <row r="534" spans="1:60" ht="24" customHeight="1" x14ac:dyDescent="0.25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  <c r="AB534" s="234"/>
      <c r="AC534" s="234"/>
      <c r="AD534" s="234"/>
      <c r="AE534" s="234"/>
      <c r="AF534" s="234"/>
      <c r="AG534" s="234"/>
      <c r="AH534" s="234"/>
      <c r="AI534" s="234"/>
      <c r="AJ534" s="234"/>
      <c r="AK534" s="234"/>
      <c r="AL534" s="234"/>
      <c r="AM534" s="234"/>
      <c r="AN534" s="201"/>
      <c r="AO534" s="234"/>
      <c r="AP534" s="234"/>
      <c r="AQ534" s="234"/>
      <c r="AR534" s="234"/>
      <c r="AS534" s="234"/>
      <c r="AT534" s="234"/>
      <c r="AU534" s="234"/>
      <c r="AV534" s="234"/>
      <c r="AW534" s="234"/>
      <c r="AX534" s="234"/>
      <c r="AY534" s="234"/>
      <c r="AZ534" s="234"/>
      <c r="BA534" s="234"/>
      <c r="BB534" s="234"/>
      <c r="BC534" s="234"/>
      <c r="BD534" s="234"/>
      <c r="BE534" s="234"/>
      <c r="BF534" s="234"/>
      <c r="BG534" s="234"/>
      <c r="BH534" s="234"/>
    </row>
    <row r="535" spans="1:60" ht="24" customHeight="1" x14ac:dyDescent="0.2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  <c r="AB535" s="234"/>
      <c r="AC535" s="234"/>
      <c r="AD535" s="234"/>
      <c r="AE535" s="234"/>
      <c r="AF535" s="234"/>
      <c r="AG535" s="234"/>
      <c r="AH535" s="234"/>
      <c r="AI535" s="234"/>
      <c r="AJ535" s="234"/>
      <c r="AK535" s="234"/>
      <c r="AL535" s="234"/>
      <c r="AM535" s="234"/>
      <c r="AN535" s="201"/>
      <c r="AO535" s="234"/>
      <c r="AP535" s="234"/>
      <c r="AQ535" s="234"/>
      <c r="AR535" s="234"/>
      <c r="AS535" s="234"/>
      <c r="AT535" s="234"/>
      <c r="AU535" s="234"/>
      <c r="AV535" s="234"/>
      <c r="AW535" s="234"/>
      <c r="AX535" s="234"/>
      <c r="AY535" s="234"/>
      <c r="AZ535" s="234"/>
      <c r="BA535" s="234"/>
      <c r="BB535" s="234"/>
      <c r="BC535" s="234"/>
      <c r="BD535" s="234"/>
      <c r="BE535" s="234"/>
      <c r="BF535" s="234"/>
      <c r="BG535" s="234"/>
      <c r="BH535" s="234"/>
    </row>
    <row r="536" spans="1:60" ht="24" customHeight="1" x14ac:dyDescent="0.25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  <c r="AB536" s="234"/>
      <c r="AC536" s="234"/>
      <c r="AD536" s="234"/>
      <c r="AE536" s="234"/>
      <c r="AF536" s="234"/>
      <c r="AG536" s="234"/>
      <c r="AH536" s="234"/>
      <c r="AI536" s="234"/>
      <c r="AJ536" s="234"/>
      <c r="AK536" s="234"/>
      <c r="AL536" s="234"/>
      <c r="AM536" s="234"/>
      <c r="AN536" s="201"/>
      <c r="AO536" s="234"/>
      <c r="AP536" s="234"/>
      <c r="AQ536" s="234"/>
      <c r="AR536" s="234"/>
      <c r="AS536" s="234"/>
      <c r="AT536" s="234"/>
      <c r="AU536" s="234"/>
      <c r="AV536" s="234"/>
      <c r="AW536" s="234"/>
      <c r="AX536" s="234"/>
      <c r="AY536" s="234"/>
      <c r="AZ536" s="234"/>
      <c r="BA536" s="234"/>
      <c r="BB536" s="234"/>
      <c r="BC536" s="234"/>
      <c r="BD536" s="234"/>
      <c r="BE536" s="234"/>
      <c r="BF536" s="234"/>
      <c r="BG536" s="234"/>
      <c r="BH536" s="234"/>
    </row>
    <row r="537" spans="1:60" ht="24" customHeight="1" x14ac:dyDescent="0.25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  <c r="AB537" s="234"/>
      <c r="AC537" s="234"/>
      <c r="AD537" s="234"/>
      <c r="AE537" s="234"/>
      <c r="AF537" s="234"/>
      <c r="AG537" s="234"/>
      <c r="AH537" s="234"/>
      <c r="AI537" s="234"/>
      <c r="AJ537" s="234"/>
      <c r="AK537" s="234"/>
      <c r="AL537" s="234"/>
      <c r="AM537" s="234"/>
      <c r="AN537" s="201"/>
      <c r="AO537" s="234"/>
      <c r="AP537" s="234"/>
      <c r="AQ537" s="234"/>
      <c r="AR537" s="234"/>
      <c r="AS537" s="234"/>
      <c r="AT537" s="234"/>
      <c r="AU537" s="234"/>
      <c r="AV537" s="234"/>
      <c r="AW537" s="234"/>
      <c r="AX537" s="234"/>
      <c r="AY537" s="234"/>
      <c r="AZ537" s="234"/>
      <c r="BA537" s="234"/>
      <c r="BB537" s="234"/>
      <c r="BC537" s="234"/>
      <c r="BD537" s="234"/>
      <c r="BE537" s="234"/>
      <c r="BF537" s="234"/>
      <c r="BG537" s="234"/>
      <c r="BH537" s="234"/>
    </row>
    <row r="538" spans="1:60" ht="24" customHeight="1" x14ac:dyDescent="0.25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  <c r="AB538" s="234"/>
      <c r="AC538" s="234"/>
      <c r="AD538" s="234"/>
      <c r="AE538" s="234"/>
      <c r="AF538" s="234"/>
      <c r="AG538" s="234"/>
      <c r="AH538" s="234"/>
      <c r="AI538" s="234"/>
      <c r="AJ538" s="234"/>
      <c r="AK538" s="234"/>
      <c r="AL538" s="234"/>
      <c r="AM538" s="234"/>
      <c r="AN538" s="201"/>
      <c r="AO538" s="234"/>
      <c r="AP538" s="234"/>
      <c r="AQ538" s="234"/>
      <c r="AR538" s="234"/>
      <c r="AS538" s="234"/>
      <c r="AT538" s="234"/>
      <c r="AU538" s="234"/>
      <c r="AV538" s="234"/>
      <c r="AW538" s="234"/>
      <c r="AX538" s="234"/>
      <c r="AY538" s="234"/>
      <c r="AZ538" s="234"/>
      <c r="BA538" s="234"/>
      <c r="BB538" s="234"/>
      <c r="BC538" s="234"/>
      <c r="BD538" s="234"/>
      <c r="BE538" s="234"/>
      <c r="BF538" s="234"/>
      <c r="BG538" s="234"/>
      <c r="BH538" s="234"/>
    </row>
    <row r="539" spans="1:60" ht="24" customHeight="1" x14ac:dyDescent="0.25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  <c r="AB539" s="234"/>
      <c r="AC539" s="234"/>
      <c r="AD539" s="234"/>
      <c r="AE539" s="234"/>
      <c r="AF539" s="234"/>
      <c r="AG539" s="234"/>
      <c r="AH539" s="234"/>
      <c r="AI539" s="234"/>
      <c r="AJ539" s="234"/>
      <c r="AK539" s="234"/>
      <c r="AL539" s="234"/>
      <c r="AM539" s="234"/>
      <c r="AN539" s="201"/>
      <c r="AO539" s="234"/>
      <c r="AP539" s="234"/>
      <c r="AQ539" s="234"/>
      <c r="AR539" s="234"/>
      <c r="AS539" s="234"/>
      <c r="AT539" s="234"/>
      <c r="AU539" s="234"/>
      <c r="AV539" s="234"/>
      <c r="AW539" s="234"/>
      <c r="AX539" s="234"/>
      <c r="AY539" s="234"/>
      <c r="AZ539" s="234"/>
      <c r="BA539" s="234"/>
      <c r="BB539" s="234"/>
      <c r="BC539" s="234"/>
      <c r="BD539" s="234"/>
      <c r="BE539" s="234"/>
      <c r="BF539" s="234"/>
      <c r="BG539" s="234"/>
      <c r="BH539" s="234"/>
    </row>
    <row r="540" spans="1:60" ht="24" customHeight="1" x14ac:dyDescent="0.25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  <c r="AB540" s="234"/>
      <c r="AC540" s="234"/>
      <c r="AD540" s="234"/>
      <c r="AE540" s="234"/>
      <c r="AF540" s="234"/>
      <c r="AG540" s="234"/>
      <c r="AH540" s="234"/>
      <c r="AI540" s="234"/>
      <c r="AJ540" s="234"/>
      <c r="AK540" s="234"/>
      <c r="AL540" s="234"/>
      <c r="AM540" s="234"/>
      <c r="AN540" s="201"/>
      <c r="AO540" s="234"/>
      <c r="AP540" s="234"/>
      <c r="AQ540" s="234"/>
      <c r="AR540" s="234"/>
      <c r="AS540" s="234"/>
      <c r="AT540" s="234"/>
      <c r="AU540" s="234"/>
      <c r="AV540" s="234"/>
      <c r="AW540" s="234"/>
      <c r="AX540" s="234"/>
      <c r="AY540" s="234"/>
      <c r="AZ540" s="234"/>
      <c r="BA540" s="234"/>
      <c r="BB540" s="234"/>
      <c r="BC540" s="234"/>
      <c r="BD540" s="234"/>
      <c r="BE540" s="234"/>
      <c r="BF540" s="234"/>
      <c r="BG540" s="234"/>
      <c r="BH540" s="234"/>
    </row>
    <row r="541" spans="1:60" ht="24" customHeight="1" x14ac:dyDescent="0.25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  <c r="AB541" s="234"/>
      <c r="AC541" s="234"/>
      <c r="AD541" s="234"/>
      <c r="AE541" s="234"/>
      <c r="AF541" s="234"/>
      <c r="AG541" s="234"/>
      <c r="AH541" s="234"/>
      <c r="AI541" s="234"/>
      <c r="AJ541" s="234"/>
      <c r="AK541" s="234"/>
      <c r="AL541" s="234"/>
      <c r="AM541" s="234"/>
      <c r="AN541" s="201"/>
      <c r="AO541" s="234"/>
      <c r="AP541" s="234"/>
      <c r="AQ541" s="234"/>
      <c r="AR541" s="234"/>
      <c r="AS541" s="234"/>
      <c r="AT541" s="234"/>
      <c r="AU541" s="234"/>
      <c r="AV541" s="234"/>
      <c r="AW541" s="234"/>
      <c r="AX541" s="234"/>
      <c r="AY541" s="234"/>
      <c r="AZ541" s="234"/>
      <c r="BA541" s="234"/>
      <c r="BB541" s="234"/>
      <c r="BC541" s="234"/>
      <c r="BD541" s="234"/>
      <c r="BE541" s="234"/>
      <c r="BF541" s="234"/>
      <c r="BG541" s="234"/>
      <c r="BH541" s="234"/>
    </row>
    <row r="542" spans="1:60" ht="24" customHeight="1" x14ac:dyDescent="0.25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  <c r="AB542" s="234"/>
      <c r="AC542" s="234"/>
      <c r="AD542" s="234"/>
      <c r="AE542" s="234"/>
      <c r="AF542" s="234"/>
      <c r="AG542" s="234"/>
      <c r="AH542" s="234"/>
      <c r="AI542" s="234"/>
      <c r="AJ542" s="234"/>
      <c r="AK542" s="234"/>
      <c r="AL542" s="234"/>
      <c r="AM542" s="234"/>
      <c r="AN542" s="201"/>
      <c r="AO542" s="234"/>
      <c r="AP542" s="234"/>
      <c r="AQ542" s="234"/>
      <c r="AR542" s="234"/>
      <c r="AS542" s="234"/>
      <c r="AT542" s="234"/>
      <c r="AU542" s="234"/>
      <c r="AV542" s="234"/>
      <c r="AW542" s="234"/>
      <c r="AX542" s="234"/>
      <c r="AY542" s="234"/>
      <c r="AZ542" s="234"/>
      <c r="BA542" s="234"/>
      <c r="BB542" s="234"/>
      <c r="BC542" s="234"/>
      <c r="BD542" s="234"/>
      <c r="BE542" s="234"/>
      <c r="BF542" s="234"/>
      <c r="BG542" s="234"/>
      <c r="BH542" s="234"/>
    </row>
    <row r="543" spans="1:60" ht="24" customHeight="1" x14ac:dyDescent="0.25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  <c r="AB543" s="234"/>
      <c r="AC543" s="234"/>
      <c r="AD543" s="234"/>
      <c r="AE543" s="234"/>
      <c r="AF543" s="234"/>
      <c r="AG543" s="234"/>
      <c r="AH543" s="234"/>
      <c r="AI543" s="234"/>
      <c r="AJ543" s="234"/>
      <c r="AK543" s="234"/>
      <c r="AL543" s="234"/>
      <c r="AM543" s="234"/>
      <c r="AN543" s="201"/>
      <c r="AO543" s="234"/>
      <c r="AP543" s="234"/>
      <c r="AQ543" s="234"/>
      <c r="AR543" s="234"/>
      <c r="AS543" s="234"/>
      <c r="AT543" s="234"/>
      <c r="AU543" s="234"/>
      <c r="AV543" s="234"/>
      <c r="AW543" s="234"/>
      <c r="AX543" s="234"/>
      <c r="AY543" s="234"/>
      <c r="AZ543" s="234"/>
      <c r="BA543" s="234"/>
      <c r="BB543" s="234"/>
      <c r="BC543" s="234"/>
      <c r="BD543" s="234"/>
      <c r="BE543" s="234"/>
      <c r="BF543" s="234"/>
      <c r="BG543" s="234"/>
      <c r="BH543" s="234"/>
    </row>
    <row r="544" spans="1:60" ht="24" customHeight="1" x14ac:dyDescent="0.25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  <c r="AB544" s="234"/>
      <c r="AC544" s="234"/>
      <c r="AD544" s="234"/>
      <c r="AE544" s="234"/>
      <c r="AF544" s="234"/>
      <c r="AG544" s="234"/>
      <c r="AH544" s="234"/>
      <c r="AI544" s="234"/>
      <c r="AJ544" s="234"/>
      <c r="AK544" s="234"/>
      <c r="AL544" s="234"/>
      <c r="AM544" s="234"/>
      <c r="AN544" s="201"/>
      <c r="AO544" s="234"/>
      <c r="AP544" s="234"/>
      <c r="AQ544" s="234"/>
      <c r="AR544" s="234"/>
      <c r="AS544" s="234"/>
      <c r="AT544" s="234"/>
      <c r="AU544" s="234"/>
      <c r="AV544" s="234"/>
      <c r="AW544" s="234"/>
      <c r="AX544" s="234"/>
      <c r="AY544" s="234"/>
      <c r="AZ544" s="234"/>
      <c r="BA544" s="234"/>
      <c r="BB544" s="234"/>
      <c r="BC544" s="234"/>
      <c r="BD544" s="234"/>
      <c r="BE544" s="234"/>
      <c r="BF544" s="234"/>
      <c r="BG544" s="234"/>
      <c r="BH544" s="234"/>
    </row>
    <row r="545" spans="1:60" ht="24" customHeight="1" x14ac:dyDescent="0.2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  <c r="AB545" s="234"/>
      <c r="AC545" s="234"/>
      <c r="AD545" s="234"/>
      <c r="AE545" s="234"/>
      <c r="AF545" s="234"/>
      <c r="AG545" s="234"/>
      <c r="AH545" s="234"/>
      <c r="AI545" s="234"/>
      <c r="AJ545" s="234"/>
      <c r="AK545" s="234"/>
      <c r="AL545" s="234"/>
      <c r="AM545" s="234"/>
      <c r="AN545" s="201"/>
      <c r="AO545" s="234"/>
      <c r="AP545" s="234"/>
      <c r="AQ545" s="234"/>
      <c r="AR545" s="234"/>
      <c r="AS545" s="234"/>
      <c r="AT545" s="234"/>
      <c r="AU545" s="234"/>
      <c r="AV545" s="234"/>
      <c r="AW545" s="234"/>
      <c r="AX545" s="234"/>
      <c r="AY545" s="234"/>
      <c r="AZ545" s="234"/>
      <c r="BA545" s="234"/>
      <c r="BB545" s="234"/>
      <c r="BC545" s="234"/>
      <c r="BD545" s="234"/>
      <c r="BE545" s="234"/>
      <c r="BF545" s="234"/>
      <c r="BG545" s="234"/>
      <c r="BH545" s="234"/>
    </row>
    <row r="546" spans="1:60" ht="24" customHeight="1" x14ac:dyDescent="0.25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  <c r="AB546" s="234"/>
      <c r="AC546" s="234"/>
      <c r="AD546" s="234"/>
      <c r="AE546" s="234"/>
      <c r="AF546" s="234"/>
      <c r="AG546" s="234"/>
      <c r="AH546" s="234"/>
      <c r="AI546" s="234"/>
      <c r="AJ546" s="234"/>
      <c r="AK546" s="234"/>
      <c r="AL546" s="234"/>
      <c r="AM546" s="234"/>
      <c r="AN546" s="201"/>
      <c r="AO546" s="234"/>
      <c r="AP546" s="234"/>
      <c r="AQ546" s="234"/>
      <c r="AR546" s="234"/>
      <c r="AS546" s="234"/>
      <c r="AT546" s="234"/>
      <c r="AU546" s="234"/>
      <c r="AV546" s="234"/>
      <c r="AW546" s="234"/>
      <c r="AX546" s="234"/>
      <c r="AY546" s="234"/>
      <c r="AZ546" s="234"/>
      <c r="BA546" s="234"/>
      <c r="BB546" s="234"/>
      <c r="BC546" s="234"/>
      <c r="BD546" s="234"/>
      <c r="BE546" s="234"/>
      <c r="BF546" s="234"/>
      <c r="BG546" s="234"/>
      <c r="BH546" s="234"/>
    </row>
    <row r="547" spans="1:60" ht="24" customHeight="1" x14ac:dyDescent="0.25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  <c r="AB547" s="234"/>
      <c r="AC547" s="234"/>
      <c r="AD547" s="234"/>
      <c r="AE547" s="234"/>
      <c r="AF547" s="234"/>
      <c r="AG547" s="234"/>
      <c r="AH547" s="234"/>
      <c r="AI547" s="234"/>
      <c r="AJ547" s="234"/>
      <c r="AK547" s="234"/>
      <c r="AL547" s="234"/>
      <c r="AM547" s="234"/>
      <c r="AN547" s="201"/>
      <c r="AO547" s="234"/>
      <c r="AP547" s="234"/>
      <c r="AQ547" s="234"/>
      <c r="AR547" s="234"/>
      <c r="AS547" s="234"/>
      <c r="AT547" s="234"/>
      <c r="AU547" s="234"/>
      <c r="AV547" s="234"/>
      <c r="AW547" s="234"/>
      <c r="AX547" s="234"/>
      <c r="AY547" s="234"/>
      <c r="AZ547" s="234"/>
      <c r="BA547" s="234"/>
      <c r="BB547" s="234"/>
      <c r="BC547" s="234"/>
      <c r="BD547" s="234"/>
      <c r="BE547" s="234"/>
      <c r="BF547" s="234"/>
      <c r="BG547" s="234"/>
      <c r="BH547" s="234"/>
    </row>
    <row r="548" spans="1:60" ht="24" customHeight="1" x14ac:dyDescent="0.25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  <c r="AB548" s="234"/>
      <c r="AC548" s="234"/>
      <c r="AD548" s="234"/>
      <c r="AE548" s="234"/>
      <c r="AF548" s="234"/>
      <c r="AG548" s="234"/>
      <c r="AH548" s="234"/>
      <c r="AI548" s="234"/>
      <c r="AJ548" s="234"/>
      <c r="AK548" s="234"/>
      <c r="AL548" s="234"/>
      <c r="AM548" s="234"/>
      <c r="AN548" s="201"/>
      <c r="AO548" s="234"/>
      <c r="AP548" s="234"/>
      <c r="AQ548" s="234"/>
      <c r="AR548" s="234"/>
      <c r="AS548" s="234"/>
      <c r="AT548" s="234"/>
      <c r="AU548" s="234"/>
      <c r="AV548" s="234"/>
      <c r="AW548" s="234"/>
      <c r="AX548" s="234"/>
      <c r="AY548" s="234"/>
      <c r="AZ548" s="234"/>
      <c r="BA548" s="234"/>
      <c r="BB548" s="234"/>
      <c r="BC548" s="234"/>
      <c r="BD548" s="234"/>
      <c r="BE548" s="234"/>
      <c r="BF548" s="234"/>
      <c r="BG548" s="234"/>
      <c r="BH548" s="234"/>
    </row>
    <row r="549" spans="1:60" ht="24" customHeight="1" x14ac:dyDescent="0.25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  <c r="AB549" s="234"/>
      <c r="AC549" s="234"/>
      <c r="AD549" s="234"/>
      <c r="AE549" s="234"/>
      <c r="AF549" s="234"/>
      <c r="AG549" s="234"/>
      <c r="AH549" s="234"/>
      <c r="AI549" s="234"/>
      <c r="AJ549" s="234"/>
      <c r="AK549" s="234"/>
      <c r="AL549" s="234"/>
      <c r="AM549" s="234"/>
      <c r="AN549" s="201"/>
      <c r="AO549" s="234"/>
      <c r="AP549" s="234"/>
      <c r="AQ549" s="234"/>
      <c r="AR549" s="234"/>
      <c r="AS549" s="234"/>
      <c r="AT549" s="234"/>
      <c r="AU549" s="234"/>
      <c r="AV549" s="234"/>
      <c r="AW549" s="234"/>
      <c r="AX549" s="234"/>
      <c r="AY549" s="234"/>
      <c r="AZ549" s="234"/>
      <c r="BA549" s="234"/>
      <c r="BB549" s="234"/>
      <c r="BC549" s="234"/>
      <c r="BD549" s="234"/>
      <c r="BE549" s="234"/>
      <c r="BF549" s="234"/>
      <c r="BG549" s="234"/>
      <c r="BH549" s="234"/>
    </row>
    <row r="550" spans="1:60" ht="24" customHeight="1" x14ac:dyDescent="0.25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  <c r="AB550" s="234"/>
      <c r="AC550" s="234"/>
      <c r="AD550" s="234"/>
      <c r="AE550" s="234"/>
      <c r="AF550" s="234"/>
      <c r="AG550" s="234"/>
      <c r="AH550" s="234"/>
      <c r="AI550" s="234"/>
      <c r="AJ550" s="234"/>
      <c r="AK550" s="234"/>
      <c r="AL550" s="234"/>
      <c r="AM550" s="234"/>
      <c r="AN550" s="201"/>
      <c r="AO550" s="234"/>
      <c r="AP550" s="234"/>
      <c r="AQ550" s="234"/>
      <c r="AR550" s="234"/>
      <c r="AS550" s="234"/>
      <c r="AT550" s="234"/>
      <c r="AU550" s="234"/>
      <c r="AV550" s="234"/>
      <c r="AW550" s="234"/>
      <c r="AX550" s="234"/>
      <c r="AY550" s="234"/>
      <c r="AZ550" s="234"/>
      <c r="BA550" s="234"/>
      <c r="BB550" s="234"/>
      <c r="BC550" s="234"/>
      <c r="BD550" s="234"/>
      <c r="BE550" s="234"/>
      <c r="BF550" s="234"/>
      <c r="BG550" s="234"/>
      <c r="BH550" s="234"/>
    </row>
    <row r="551" spans="1:60" ht="24" customHeight="1" x14ac:dyDescent="0.25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  <c r="AB551" s="234"/>
      <c r="AC551" s="234"/>
      <c r="AD551" s="234"/>
      <c r="AE551" s="234"/>
      <c r="AF551" s="234"/>
      <c r="AG551" s="234"/>
      <c r="AH551" s="234"/>
      <c r="AI551" s="234"/>
      <c r="AJ551" s="234"/>
      <c r="AK551" s="234"/>
      <c r="AL551" s="234"/>
      <c r="AM551" s="234"/>
      <c r="AN551" s="201"/>
      <c r="AO551" s="234"/>
      <c r="AP551" s="234"/>
      <c r="AQ551" s="234"/>
      <c r="AR551" s="234"/>
      <c r="AS551" s="234"/>
      <c r="AT551" s="234"/>
      <c r="AU551" s="234"/>
      <c r="AV551" s="234"/>
      <c r="AW551" s="234"/>
      <c r="AX551" s="234"/>
      <c r="AY551" s="234"/>
      <c r="AZ551" s="234"/>
      <c r="BA551" s="234"/>
      <c r="BB551" s="234"/>
      <c r="BC551" s="234"/>
      <c r="BD551" s="234"/>
      <c r="BE551" s="234"/>
      <c r="BF551" s="234"/>
      <c r="BG551" s="234"/>
      <c r="BH551" s="234"/>
    </row>
    <row r="552" spans="1:60" ht="24" customHeight="1" x14ac:dyDescent="0.25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  <c r="AB552" s="234"/>
      <c r="AC552" s="234"/>
      <c r="AD552" s="234"/>
      <c r="AE552" s="234"/>
      <c r="AF552" s="234"/>
      <c r="AG552" s="234"/>
      <c r="AH552" s="234"/>
      <c r="AI552" s="234"/>
      <c r="AJ552" s="234"/>
      <c r="AK552" s="234"/>
      <c r="AL552" s="234"/>
      <c r="AM552" s="234"/>
      <c r="AN552" s="201"/>
      <c r="AO552" s="234"/>
      <c r="AP552" s="234"/>
      <c r="AQ552" s="234"/>
      <c r="AR552" s="234"/>
      <c r="AS552" s="234"/>
      <c r="AT552" s="234"/>
      <c r="AU552" s="234"/>
      <c r="AV552" s="234"/>
      <c r="AW552" s="234"/>
      <c r="AX552" s="234"/>
      <c r="AY552" s="234"/>
      <c r="AZ552" s="234"/>
      <c r="BA552" s="234"/>
      <c r="BB552" s="234"/>
      <c r="BC552" s="234"/>
      <c r="BD552" s="234"/>
      <c r="BE552" s="234"/>
      <c r="BF552" s="234"/>
      <c r="BG552" s="234"/>
      <c r="BH552" s="234"/>
    </row>
    <row r="553" spans="1:60" ht="24" customHeight="1" x14ac:dyDescent="0.25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  <c r="AB553" s="234"/>
      <c r="AC553" s="234"/>
      <c r="AD553" s="234"/>
      <c r="AE553" s="234"/>
      <c r="AF553" s="234"/>
      <c r="AG553" s="234"/>
      <c r="AH553" s="234"/>
      <c r="AI553" s="234"/>
      <c r="AJ553" s="234"/>
      <c r="AK553" s="234"/>
      <c r="AL553" s="234"/>
      <c r="AM553" s="234"/>
      <c r="AN553" s="201"/>
      <c r="AO553" s="234"/>
      <c r="AP553" s="234"/>
      <c r="AQ553" s="234"/>
      <c r="AR553" s="234"/>
      <c r="AS553" s="234"/>
      <c r="AT553" s="234"/>
      <c r="AU553" s="234"/>
      <c r="AV553" s="234"/>
      <c r="AW553" s="234"/>
      <c r="AX553" s="234"/>
      <c r="AY553" s="234"/>
      <c r="AZ553" s="234"/>
      <c r="BA553" s="234"/>
      <c r="BB553" s="234"/>
      <c r="BC553" s="234"/>
      <c r="BD553" s="234"/>
      <c r="BE553" s="234"/>
      <c r="BF553" s="234"/>
      <c r="BG553" s="234"/>
      <c r="BH553" s="234"/>
    </row>
    <row r="554" spans="1:60" ht="24" customHeight="1" x14ac:dyDescent="0.25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  <c r="AB554" s="234"/>
      <c r="AC554" s="234"/>
      <c r="AD554" s="234"/>
      <c r="AE554" s="234"/>
      <c r="AF554" s="234"/>
      <c r="AG554" s="234"/>
      <c r="AH554" s="234"/>
      <c r="AI554" s="234"/>
      <c r="AJ554" s="234"/>
      <c r="AK554" s="234"/>
      <c r="AL554" s="234"/>
      <c r="AM554" s="234"/>
      <c r="AN554" s="201"/>
      <c r="AO554" s="234"/>
      <c r="AP554" s="234"/>
      <c r="AQ554" s="234"/>
      <c r="AR554" s="234"/>
      <c r="AS554" s="234"/>
      <c r="AT554" s="234"/>
      <c r="AU554" s="234"/>
      <c r="AV554" s="234"/>
      <c r="AW554" s="234"/>
      <c r="AX554" s="234"/>
      <c r="AY554" s="234"/>
      <c r="AZ554" s="234"/>
      <c r="BA554" s="234"/>
      <c r="BB554" s="234"/>
      <c r="BC554" s="234"/>
      <c r="BD554" s="234"/>
      <c r="BE554" s="234"/>
      <c r="BF554" s="234"/>
      <c r="BG554" s="234"/>
      <c r="BH554" s="234"/>
    </row>
    <row r="555" spans="1:60" ht="24" customHeight="1" x14ac:dyDescent="0.2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  <c r="AB555" s="234"/>
      <c r="AC555" s="234"/>
      <c r="AD555" s="234"/>
      <c r="AE555" s="234"/>
      <c r="AF555" s="234"/>
      <c r="AG555" s="234"/>
      <c r="AH555" s="234"/>
      <c r="AI555" s="234"/>
      <c r="AJ555" s="234"/>
      <c r="AK555" s="234"/>
      <c r="AL555" s="234"/>
      <c r="AM555" s="234"/>
      <c r="AN555" s="201"/>
      <c r="AO555" s="234"/>
      <c r="AP555" s="234"/>
      <c r="AQ555" s="234"/>
      <c r="AR555" s="234"/>
      <c r="AS555" s="234"/>
      <c r="AT555" s="234"/>
      <c r="AU555" s="234"/>
      <c r="AV555" s="234"/>
      <c r="AW555" s="234"/>
      <c r="AX555" s="234"/>
      <c r="AY555" s="234"/>
      <c r="AZ555" s="234"/>
      <c r="BA555" s="234"/>
      <c r="BB555" s="234"/>
      <c r="BC555" s="234"/>
      <c r="BD555" s="234"/>
      <c r="BE555" s="234"/>
      <c r="BF555" s="234"/>
      <c r="BG555" s="234"/>
      <c r="BH555" s="234"/>
    </row>
    <row r="556" spans="1:60" ht="24" customHeight="1" x14ac:dyDescent="0.25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  <c r="AB556" s="234"/>
      <c r="AC556" s="234"/>
      <c r="AD556" s="234"/>
      <c r="AE556" s="234"/>
      <c r="AF556" s="234"/>
      <c r="AG556" s="234"/>
      <c r="AH556" s="234"/>
      <c r="AI556" s="234"/>
      <c r="AJ556" s="234"/>
      <c r="AK556" s="234"/>
      <c r="AL556" s="234"/>
      <c r="AM556" s="234"/>
      <c r="AN556" s="201"/>
      <c r="AO556" s="234"/>
      <c r="AP556" s="234"/>
      <c r="AQ556" s="234"/>
      <c r="AR556" s="234"/>
      <c r="AS556" s="234"/>
      <c r="AT556" s="234"/>
      <c r="AU556" s="234"/>
      <c r="AV556" s="234"/>
      <c r="AW556" s="234"/>
      <c r="AX556" s="234"/>
      <c r="AY556" s="234"/>
      <c r="AZ556" s="234"/>
      <c r="BA556" s="234"/>
      <c r="BB556" s="234"/>
      <c r="BC556" s="234"/>
      <c r="BD556" s="234"/>
      <c r="BE556" s="234"/>
      <c r="BF556" s="234"/>
      <c r="BG556" s="234"/>
      <c r="BH556" s="234"/>
    </row>
    <row r="557" spans="1:60" ht="24" customHeight="1" x14ac:dyDescent="0.25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  <c r="AC557" s="234"/>
      <c r="AD557" s="234"/>
      <c r="AE557" s="234"/>
      <c r="AF557" s="234"/>
      <c r="AG557" s="234"/>
      <c r="AH557" s="234"/>
      <c r="AI557" s="234"/>
      <c r="AJ557" s="234"/>
      <c r="AK557" s="234"/>
      <c r="AL557" s="234"/>
      <c r="AM557" s="234"/>
      <c r="AN557" s="201"/>
      <c r="AO557" s="234"/>
      <c r="AP557" s="234"/>
      <c r="AQ557" s="234"/>
      <c r="AR557" s="234"/>
      <c r="AS557" s="234"/>
      <c r="AT557" s="234"/>
      <c r="AU557" s="234"/>
      <c r="AV557" s="234"/>
      <c r="AW557" s="234"/>
      <c r="AX557" s="234"/>
      <c r="AY557" s="234"/>
      <c r="AZ557" s="234"/>
      <c r="BA557" s="234"/>
      <c r="BB557" s="234"/>
      <c r="BC557" s="234"/>
      <c r="BD557" s="234"/>
      <c r="BE557" s="234"/>
      <c r="BF557" s="234"/>
      <c r="BG557" s="234"/>
      <c r="BH557" s="234"/>
    </row>
    <row r="558" spans="1:60" ht="24" customHeight="1" x14ac:dyDescent="0.25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  <c r="AB558" s="234"/>
      <c r="AC558" s="234"/>
      <c r="AD558" s="234"/>
      <c r="AE558" s="234"/>
      <c r="AF558" s="234"/>
      <c r="AG558" s="234"/>
      <c r="AH558" s="234"/>
      <c r="AI558" s="234"/>
      <c r="AJ558" s="234"/>
      <c r="AK558" s="234"/>
      <c r="AL558" s="234"/>
      <c r="AM558" s="234"/>
      <c r="AN558" s="201"/>
      <c r="AO558" s="234"/>
      <c r="AP558" s="234"/>
      <c r="AQ558" s="234"/>
      <c r="AR558" s="234"/>
      <c r="AS558" s="234"/>
      <c r="AT558" s="234"/>
      <c r="AU558" s="234"/>
      <c r="AV558" s="234"/>
      <c r="AW558" s="234"/>
      <c r="AX558" s="234"/>
      <c r="AY558" s="234"/>
      <c r="AZ558" s="234"/>
      <c r="BA558" s="234"/>
      <c r="BB558" s="234"/>
      <c r="BC558" s="234"/>
      <c r="BD558" s="234"/>
      <c r="BE558" s="234"/>
      <c r="BF558" s="234"/>
      <c r="BG558" s="234"/>
      <c r="BH558" s="234"/>
    </row>
    <row r="559" spans="1:60" ht="24" customHeight="1" x14ac:dyDescent="0.25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  <c r="AB559" s="234"/>
      <c r="AC559" s="234"/>
      <c r="AD559" s="234"/>
      <c r="AE559" s="234"/>
      <c r="AF559" s="234"/>
      <c r="AG559" s="234"/>
      <c r="AH559" s="234"/>
      <c r="AI559" s="234"/>
      <c r="AJ559" s="234"/>
      <c r="AK559" s="234"/>
      <c r="AL559" s="234"/>
      <c r="AM559" s="234"/>
      <c r="AN559" s="201"/>
      <c r="AO559" s="234"/>
      <c r="AP559" s="234"/>
      <c r="AQ559" s="234"/>
      <c r="AR559" s="234"/>
      <c r="AS559" s="234"/>
      <c r="AT559" s="234"/>
      <c r="AU559" s="234"/>
      <c r="AV559" s="234"/>
      <c r="AW559" s="234"/>
      <c r="AX559" s="234"/>
      <c r="AY559" s="234"/>
      <c r="AZ559" s="234"/>
      <c r="BA559" s="234"/>
      <c r="BB559" s="234"/>
      <c r="BC559" s="234"/>
      <c r="BD559" s="234"/>
      <c r="BE559" s="234"/>
      <c r="BF559" s="234"/>
      <c r="BG559" s="234"/>
      <c r="BH559" s="234"/>
    </row>
    <row r="560" spans="1:60" ht="24" customHeight="1" x14ac:dyDescent="0.25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  <c r="AB560" s="234"/>
      <c r="AC560" s="234"/>
      <c r="AD560" s="234"/>
      <c r="AE560" s="234"/>
      <c r="AF560" s="234"/>
      <c r="AG560" s="234"/>
      <c r="AH560" s="234"/>
      <c r="AI560" s="234"/>
      <c r="AJ560" s="234"/>
      <c r="AK560" s="234"/>
      <c r="AL560" s="234"/>
      <c r="AM560" s="234"/>
      <c r="AN560" s="201"/>
      <c r="AO560" s="234"/>
      <c r="AP560" s="234"/>
      <c r="AQ560" s="234"/>
      <c r="AR560" s="234"/>
      <c r="AS560" s="234"/>
      <c r="AT560" s="234"/>
      <c r="AU560" s="234"/>
      <c r="AV560" s="234"/>
      <c r="AW560" s="234"/>
      <c r="AX560" s="234"/>
      <c r="AY560" s="234"/>
      <c r="AZ560" s="234"/>
      <c r="BA560" s="234"/>
      <c r="BB560" s="234"/>
      <c r="BC560" s="234"/>
      <c r="BD560" s="234"/>
      <c r="BE560" s="234"/>
      <c r="BF560" s="234"/>
      <c r="BG560" s="234"/>
      <c r="BH560" s="234"/>
    </row>
    <row r="561" spans="1:60" ht="24" customHeight="1" x14ac:dyDescent="0.25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  <c r="AB561" s="234"/>
      <c r="AC561" s="234"/>
      <c r="AD561" s="234"/>
      <c r="AE561" s="234"/>
      <c r="AF561" s="234"/>
      <c r="AG561" s="234"/>
      <c r="AH561" s="234"/>
      <c r="AI561" s="234"/>
      <c r="AJ561" s="234"/>
      <c r="AK561" s="234"/>
      <c r="AL561" s="234"/>
      <c r="AM561" s="234"/>
      <c r="AN561" s="201"/>
      <c r="AO561" s="234"/>
      <c r="AP561" s="234"/>
      <c r="AQ561" s="234"/>
      <c r="AR561" s="234"/>
      <c r="AS561" s="234"/>
      <c r="AT561" s="234"/>
      <c r="AU561" s="234"/>
      <c r="AV561" s="234"/>
      <c r="AW561" s="234"/>
      <c r="AX561" s="234"/>
      <c r="AY561" s="234"/>
      <c r="AZ561" s="234"/>
      <c r="BA561" s="234"/>
      <c r="BB561" s="234"/>
      <c r="BC561" s="234"/>
      <c r="BD561" s="234"/>
      <c r="BE561" s="234"/>
      <c r="BF561" s="234"/>
      <c r="BG561" s="234"/>
      <c r="BH561" s="234"/>
    </row>
    <row r="562" spans="1:60" ht="24" customHeight="1" x14ac:dyDescent="0.25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  <c r="AB562" s="234"/>
      <c r="AC562" s="234"/>
      <c r="AD562" s="234"/>
      <c r="AE562" s="234"/>
      <c r="AF562" s="234"/>
      <c r="AG562" s="234"/>
      <c r="AH562" s="234"/>
      <c r="AI562" s="234"/>
      <c r="AJ562" s="234"/>
      <c r="AK562" s="234"/>
      <c r="AL562" s="234"/>
      <c r="AM562" s="234"/>
      <c r="AN562" s="201"/>
      <c r="AO562" s="234"/>
      <c r="AP562" s="234"/>
      <c r="AQ562" s="234"/>
      <c r="AR562" s="234"/>
      <c r="AS562" s="234"/>
      <c r="AT562" s="234"/>
      <c r="AU562" s="234"/>
      <c r="AV562" s="234"/>
      <c r="AW562" s="234"/>
      <c r="AX562" s="234"/>
      <c r="AY562" s="234"/>
      <c r="AZ562" s="234"/>
      <c r="BA562" s="234"/>
      <c r="BB562" s="234"/>
      <c r="BC562" s="234"/>
      <c r="BD562" s="234"/>
      <c r="BE562" s="234"/>
      <c r="BF562" s="234"/>
      <c r="BG562" s="234"/>
      <c r="BH562" s="234"/>
    </row>
    <row r="563" spans="1:60" ht="24" customHeight="1" x14ac:dyDescent="0.25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  <c r="AB563" s="234"/>
      <c r="AC563" s="234"/>
      <c r="AD563" s="234"/>
      <c r="AE563" s="234"/>
      <c r="AF563" s="234"/>
      <c r="AG563" s="234"/>
      <c r="AH563" s="234"/>
      <c r="AI563" s="234"/>
      <c r="AJ563" s="234"/>
      <c r="AK563" s="234"/>
      <c r="AL563" s="234"/>
      <c r="AM563" s="234"/>
      <c r="AN563" s="201"/>
      <c r="AO563" s="234"/>
      <c r="AP563" s="234"/>
      <c r="AQ563" s="234"/>
      <c r="AR563" s="234"/>
      <c r="AS563" s="234"/>
      <c r="AT563" s="234"/>
      <c r="AU563" s="234"/>
      <c r="AV563" s="234"/>
      <c r="AW563" s="234"/>
      <c r="AX563" s="234"/>
      <c r="AY563" s="234"/>
      <c r="AZ563" s="234"/>
      <c r="BA563" s="234"/>
      <c r="BB563" s="234"/>
      <c r="BC563" s="234"/>
      <c r="BD563" s="234"/>
      <c r="BE563" s="234"/>
      <c r="BF563" s="234"/>
      <c r="BG563" s="234"/>
      <c r="BH563" s="234"/>
    </row>
    <row r="564" spans="1:60" ht="24" customHeight="1" x14ac:dyDescent="0.25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  <c r="AB564" s="234"/>
      <c r="AC564" s="234"/>
      <c r="AD564" s="234"/>
      <c r="AE564" s="234"/>
      <c r="AF564" s="234"/>
      <c r="AG564" s="234"/>
      <c r="AH564" s="234"/>
      <c r="AI564" s="234"/>
      <c r="AJ564" s="234"/>
      <c r="AK564" s="234"/>
      <c r="AL564" s="234"/>
      <c r="AM564" s="234"/>
      <c r="AN564" s="201"/>
      <c r="AO564" s="234"/>
      <c r="AP564" s="234"/>
      <c r="AQ564" s="234"/>
      <c r="AR564" s="234"/>
      <c r="AS564" s="234"/>
      <c r="AT564" s="234"/>
      <c r="AU564" s="234"/>
      <c r="AV564" s="234"/>
      <c r="AW564" s="234"/>
      <c r="AX564" s="234"/>
      <c r="AY564" s="234"/>
      <c r="AZ564" s="234"/>
      <c r="BA564" s="234"/>
      <c r="BB564" s="234"/>
      <c r="BC564" s="234"/>
      <c r="BD564" s="234"/>
      <c r="BE564" s="234"/>
      <c r="BF564" s="234"/>
      <c r="BG564" s="234"/>
      <c r="BH564" s="234"/>
    </row>
    <row r="565" spans="1:60" ht="24" customHeight="1" x14ac:dyDescent="0.2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  <c r="AB565" s="234"/>
      <c r="AC565" s="234"/>
      <c r="AD565" s="234"/>
      <c r="AE565" s="234"/>
      <c r="AF565" s="234"/>
      <c r="AG565" s="234"/>
      <c r="AH565" s="234"/>
      <c r="AI565" s="234"/>
      <c r="AJ565" s="234"/>
      <c r="AK565" s="234"/>
      <c r="AL565" s="234"/>
      <c r="AM565" s="234"/>
      <c r="AN565" s="201"/>
      <c r="AO565" s="234"/>
      <c r="AP565" s="234"/>
      <c r="AQ565" s="234"/>
      <c r="AR565" s="234"/>
      <c r="AS565" s="234"/>
      <c r="AT565" s="234"/>
      <c r="AU565" s="234"/>
      <c r="AV565" s="234"/>
      <c r="AW565" s="234"/>
      <c r="AX565" s="234"/>
      <c r="AY565" s="234"/>
      <c r="AZ565" s="234"/>
      <c r="BA565" s="234"/>
      <c r="BB565" s="234"/>
      <c r="BC565" s="234"/>
      <c r="BD565" s="234"/>
      <c r="BE565" s="234"/>
      <c r="BF565" s="234"/>
      <c r="BG565" s="234"/>
      <c r="BH565" s="234"/>
    </row>
    <row r="566" spans="1:60" ht="24" customHeight="1" x14ac:dyDescent="0.25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  <c r="AB566" s="234"/>
      <c r="AC566" s="234"/>
      <c r="AD566" s="234"/>
      <c r="AE566" s="234"/>
      <c r="AF566" s="234"/>
      <c r="AG566" s="234"/>
      <c r="AH566" s="234"/>
      <c r="AI566" s="234"/>
      <c r="AJ566" s="234"/>
      <c r="AK566" s="234"/>
      <c r="AL566" s="234"/>
      <c r="AM566" s="234"/>
      <c r="AN566" s="201"/>
      <c r="AO566" s="234"/>
      <c r="AP566" s="234"/>
      <c r="AQ566" s="234"/>
      <c r="AR566" s="234"/>
      <c r="AS566" s="234"/>
      <c r="AT566" s="234"/>
      <c r="AU566" s="234"/>
      <c r="AV566" s="234"/>
      <c r="AW566" s="234"/>
      <c r="AX566" s="234"/>
      <c r="AY566" s="234"/>
      <c r="AZ566" s="234"/>
      <c r="BA566" s="234"/>
      <c r="BB566" s="234"/>
      <c r="BC566" s="234"/>
      <c r="BD566" s="234"/>
      <c r="BE566" s="234"/>
      <c r="BF566" s="234"/>
      <c r="BG566" s="234"/>
      <c r="BH566" s="234"/>
    </row>
    <row r="567" spans="1:60" ht="24" customHeight="1" x14ac:dyDescent="0.25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  <c r="AB567" s="234"/>
      <c r="AC567" s="234"/>
      <c r="AD567" s="234"/>
      <c r="AE567" s="234"/>
      <c r="AF567" s="234"/>
      <c r="AG567" s="234"/>
      <c r="AH567" s="234"/>
      <c r="AI567" s="234"/>
      <c r="AJ567" s="234"/>
      <c r="AK567" s="234"/>
      <c r="AL567" s="234"/>
      <c r="AM567" s="234"/>
      <c r="AN567" s="201"/>
      <c r="AO567" s="234"/>
      <c r="AP567" s="234"/>
      <c r="AQ567" s="234"/>
      <c r="AR567" s="234"/>
      <c r="AS567" s="234"/>
      <c r="AT567" s="234"/>
      <c r="AU567" s="234"/>
      <c r="AV567" s="234"/>
      <c r="AW567" s="234"/>
      <c r="AX567" s="234"/>
      <c r="AY567" s="234"/>
      <c r="AZ567" s="234"/>
      <c r="BA567" s="234"/>
      <c r="BB567" s="234"/>
      <c r="BC567" s="234"/>
      <c r="BD567" s="234"/>
      <c r="BE567" s="234"/>
      <c r="BF567" s="234"/>
      <c r="BG567" s="234"/>
      <c r="BH567" s="234"/>
    </row>
    <row r="568" spans="1:60" ht="24" customHeight="1" x14ac:dyDescent="0.25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  <c r="AB568" s="234"/>
      <c r="AC568" s="234"/>
      <c r="AD568" s="234"/>
      <c r="AE568" s="234"/>
      <c r="AF568" s="234"/>
      <c r="AG568" s="234"/>
      <c r="AH568" s="234"/>
      <c r="AI568" s="234"/>
      <c r="AJ568" s="234"/>
      <c r="AK568" s="234"/>
      <c r="AL568" s="234"/>
      <c r="AM568" s="234"/>
      <c r="AN568" s="201"/>
      <c r="AO568" s="234"/>
      <c r="AP568" s="234"/>
      <c r="AQ568" s="234"/>
      <c r="AR568" s="234"/>
      <c r="AS568" s="234"/>
      <c r="AT568" s="234"/>
      <c r="AU568" s="234"/>
      <c r="AV568" s="234"/>
      <c r="AW568" s="234"/>
      <c r="AX568" s="234"/>
      <c r="AY568" s="234"/>
      <c r="AZ568" s="234"/>
      <c r="BA568" s="234"/>
      <c r="BB568" s="234"/>
      <c r="BC568" s="234"/>
      <c r="BD568" s="234"/>
      <c r="BE568" s="234"/>
      <c r="BF568" s="234"/>
      <c r="BG568" s="234"/>
      <c r="BH568" s="234"/>
    </row>
    <row r="569" spans="1:60" ht="24" customHeight="1" x14ac:dyDescent="0.25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  <c r="AB569" s="234"/>
      <c r="AC569" s="234"/>
      <c r="AD569" s="234"/>
      <c r="AE569" s="234"/>
      <c r="AF569" s="234"/>
      <c r="AG569" s="234"/>
      <c r="AH569" s="234"/>
      <c r="AI569" s="234"/>
      <c r="AJ569" s="234"/>
      <c r="AK569" s="234"/>
      <c r="AL569" s="234"/>
      <c r="AM569" s="234"/>
      <c r="AN569" s="201"/>
      <c r="AO569" s="234"/>
      <c r="AP569" s="234"/>
      <c r="AQ569" s="234"/>
      <c r="AR569" s="234"/>
      <c r="AS569" s="234"/>
      <c r="AT569" s="234"/>
      <c r="AU569" s="234"/>
      <c r="AV569" s="234"/>
      <c r="AW569" s="234"/>
      <c r="AX569" s="234"/>
      <c r="AY569" s="234"/>
      <c r="AZ569" s="234"/>
      <c r="BA569" s="234"/>
      <c r="BB569" s="234"/>
      <c r="BC569" s="234"/>
      <c r="BD569" s="234"/>
      <c r="BE569" s="234"/>
      <c r="BF569" s="234"/>
      <c r="BG569" s="234"/>
      <c r="BH569" s="234"/>
    </row>
    <row r="570" spans="1:60" ht="24" customHeight="1" x14ac:dyDescent="0.25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  <c r="AB570" s="234"/>
      <c r="AC570" s="234"/>
      <c r="AD570" s="234"/>
      <c r="AE570" s="234"/>
      <c r="AF570" s="234"/>
      <c r="AG570" s="234"/>
      <c r="AH570" s="234"/>
      <c r="AI570" s="234"/>
      <c r="AJ570" s="234"/>
      <c r="AK570" s="234"/>
      <c r="AL570" s="234"/>
      <c r="AM570" s="234"/>
      <c r="AN570" s="201"/>
      <c r="AO570" s="234"/>
      <c r="AP570" s="234"/>
      <c r="AQ570" s="234"/>
      <c r="AR570" s="234"/>
      <c r="AS570" s="234"/>
      <c r="AT570" s="234"/>
      <c r="AU570" s="234"/>
      <c r="AV570" s="234"/>
      <c r="AW570" s="234"/>
      <c r="AX570" s="234"/>
      <c r="AY570" s="234"/>
      <c r="AZ570" s="234"/>
      <c r="BA570" s="234"/>
      <c r="BB570" s="234"/>
      <c r="BC570" s="234"/>
      <c r="BD570" s="234"/>
      <c r="BE570" s="234"/>
      <c r="BF570" s="234"/>
      <c r="BG570" s="234"/>
      <c r="BH570" s="234"/>
    </row>
    <row r="571" spans="1:60" ht="24" customHeight="1" x14ac:dyDescent="0.25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  <c r="AC571" s="234"/>
      <c r="AD571" s="234"/>
      <c r="AE571" s="234"/>
      <c r="AF571" s="234"/>
      <c r="AG571" s="234"/>
      <c r="AH571" s="234"/>
      <c r="AI571" s="234"/>
      <c r="AJ571" s="234"/>
      <c r="AK571" s="234"/>
      <c r="AL571" s="234"/>
      <c r="AM571" s="234"/>
      <c r="AN571" s="201"/>
      <c r="AO571" s="234"/>
      <c r="AP571" s="234"/>
      <c r="AQ571" s="234"/>
      <c r="AR571" s="234"/>
      <c r="AS571" s="234"/>
      <c r="AT571" s="234"/>
      <c r="AU571" s="234"/>
      <c r="AV571" s="234"/>
      <c r="AW571" s="234"/>
      <c r="AX571" s="234"/>
      <c r="AY571" s="234"/>
      <c r="AZ571" s="234"/>
      <c r="BA571" s="234"/>
      <c r="BB571" s="234"/>
      <c r="BC571" s="234"/>
      <c r="BD571" s="234"/>
      <c r="BE571" s="234"/>
      <c r="BF571" s="234"/>
      <c r="BG571" s="234"/>
      <c r="BH571" s="234"/>
    </row>
    <row r="572" spans="1:60" ht="24" customHeight="1" x14ac:dyDescent="0.25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  <c r="AB572" s="234"/>
      <c r="AC572" s="234"/>
      <c r="AD572" s="234"/>
      <c r="AE572" s="234"/>
      <c r="AF572" s="234"/>
      <c r="AG572" s="234"/>
      <c r="AH572" s="234"/>
      <c r="AI572" s="234"/>
      <c r="AJ572" s="234"/>
      <c r="AK572" s="234"/>
      <c r="AL572" s="234"/>
      <c r="AM572" s="234"/>
      <c r="AN572" s="201"/>
      <c r="AO572" s="234"/>
      <c r="AP572" s="234"/>
      <c r="AQ572" s="234"/>
      <c r="AR572" s="234"/>
      <c r="AS572" s="234"/>
      <c r="AT572" s="234"/>
      <c r="AU572" s="234"/>
      <c r="AV572" s="234"/>
      <c r="AW572" s="234"/>
      <c r="AX572" s="234"/>
      <c r="AY572" s="234"/>
      <c r="AZ572" s="234"/>
      <c r="BA572" s="234"/>
      <c r="BB572" s="234"/>
      <c r="BC572" s="234"/>
      <c r="BD572" s="234"/>
      <c r="BE572" s="234"/>
      <c r="BF572" s="234"/>
      <c r="BG572" s="234"/>
      <c r="BH572" s="234"/>
    </row>
    <row r="573" spans="1:60" ht="24" customHeight="1" x14ac:dyDescent="0.25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  <c r="AB573" s="234"/>
      <c r="AC573" s="234"/>
      <c r="AD573" s="234"/>
      <c r="AE573" s="234"/>
      <c r="AF573" s="234"/>
      <c r="AG573" s="234"/>
      <c r="AH573" s="234"/>
      <c r="AI573" s="234"/>
      <c r="AJ573" s="234"/>
      <c r="AK573" s="234"/>
      <c r="AL573" s="234"/>
      <c r="AM573" s="234"/>
      <c r="AN573" s="201"/>
      <c r="AO573" s="234"/>
      <c r="AP573" s="234"/>
      <c r="AQ573" s="234"/>
      <c r="AR573" s="234"/>
      <c r="AS573" s="234"/>
      <c r="AT573" s="234"/>
      <c r="AU573" s="234"/>
      <c r="AV573" s="234"/>
      <c r="AW573" s="234"/>
      <c r="AX573" s="234"/>
      <c r="AY573" s="234"/>
      <c r="AZ573" s="234"/>
      <c r="BA573" s="234"/>
      <c r="BB573" s="234"/>
      <c r="BC573" s="234"/>
      <c r="BD573" s="234"/>
      <c r="BE573" s="234"/>
      <c r="BF573" s="234"/>
      <c r="BG573" s="234"/>
      <c r="BH573" s="234"/>
    </row>
    <row r="574" spans="1:60" ht="24" customHeight="1" x14ac:dyDescent="0.25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  <c r="AB574" s="234"/>
      <c r="AC574" s="234"/>
      <c r="AD574" s="234"/>
      <c r="AE574" s="234"/>
      <c r="AF574" s="234"/>
      <c r="AG574" s="234"/>
      <c r="AH574" s="234"/>
      <c r="AI574" s="234"/>
      <c r="AJ574" s="234"/>
      <c r="AK574" s="234"/>
      <c r="AL574" s="234"/>
      <c r="AM574" s="234"/>
      <c r="AN574" s="201"/>
      <c r="AO574" s="234"/>
      <c r="AP574" s="234"/>
      <c r="AQ574" s="234"/>
      <c r="AR574" s="234"/>
      <c r="AS574" s="234"/>
      <c r="AT574" s="234"/>
      <c r="AU574" s="234"/>
      <c r="AV574" s="234"/>
      <c r="AW574" s="234"/>
      <c r="AX574" s="234"/>
      <c r="AY574" s="234"/>
      <c r="AZ574" s="234"/>
      <c r="BA574" s="234"/>
      <c r="BB574" s="234"/>
      <c r="BC574" s="234"/>
      <c r="BD574" s="234"/>
      <c r="BE574" s="234"/>
      <c r="BF574" s="234"/>
      <c r="BG574" s="234"/>
      <c r="BH574" s="234"/>
    </row>
    <row r="575" spans="1:60" ht="24" customHeight="1" x14ac:dyDescent="0.2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  <c r="AB575" s="234"/>
      <c r="AC575" s="234"/>
      <c r="AD575" s="234"/>
      <c r="AE575" s="234"/>
      <c r="AF575" s="234"/>
      <c r="AG575" s="234"/>
      <c r="AH575" s="234"/>
      <c r="AI575" s="234"/>
      <c r="AJ575" s="234"/>
      <c r="AK575" s="234"/>
      <c r="AL575" s="234"/>
      <c r="AM575" s="234"/>
      <c r="AN575" s="201"/>
      <c r="AO575" s="234"/>
      <c r="AP575" s="234"/>
      <c r="AQ575" s="234"/>
      <c r="AR575" s="234"/>
      <c r="AS575" s="234"/>
      <c r="AT575" s="234"/>
      <c r="AU575" s="234"/>
      <c r="AV575" s="234"/>
      <c r="AW575" s="234"/>
      <c r="AX575" s="234"/>
      <c r="AY575" s="234"/>
      <c r="AZ575" s="234"/>
      <c r="BA575" s="234"/>
      <c r="BB575" s="234"/>
      <c r="BC575" s="234"/>
      <c r="BD575" s="234"/>
      <c r="BE575" s="234"/>
      <c r="BF575" s="234"/>
      <c r="BG575" s="234"/>
      <c r="BH575" s="234"/>
    </row>
    <row r="576" spans="1:60" ht="24" customHeight="1" x14ac:dyDescent="0.25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  <c r="AB576" s="234"/>
      <c r="AC576" s="234"/>
      <c r="AD576" s="234"/>
      <c r="AE576" s="234"/>
      <c r="AF576" s="234"/>
      <c r="AG576" s="234"/>
      <c r="AH576" s="234"/>
      <c r="AI576" s="234"/>
      <c r="AJ576" s="234"/>
      <c r="AK576" s="234"/>
      <c r="AL576" s="234"/>
      <c r="AM576" s="234"/>
      <c r="AN576" s="201"/>
      <c r="AO576" s="234"/>
      <c r="AP576" s="234"/>
      <c r="AQ576" s="234"/>
      <c r="AR576" s="234"/>
      <c r="AS576" s="234"/>
      <c r="AT576" s="234"/>
      <c r="AU576" s="234"/>
      <c r="AV576" s="234"/>
      <c r="AW576" s="234"/>
      <c r="AX576" s="234"/>
      <c r="AY576" s="234"/>
      <c r="AZ576" s="234"/>
      <c r="BA576" s="234"/>
      <c r="BB576" s="234"/>
      <c r="BC576" s="234"/>
      <c r="BD576" s="234"/>
      <c r="BE576" s="234"/>
      <c r="BF576" s="234"/>
      <c r="BG576" s="234"/>
      <c r="BH576" s="234"/>
    </row>
    <row r="577" spans="1:60" ht="24" customHeight="1" x14ac:dyDescent="0.25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  <c r="AB577" s="234"/>
      <c r="AC577" s="234"/>
      <c r="AD577" s="234"/>
      <c r="AE577" s="234"/>
      <c r="AF577" s="234"/>
      <c r="AG577" s="234"/>
      <c r="AH577" s="234"/>
      <c r="AI577" s="234"/>
      <c r="AJ577" s="234"/>
      <c r="AK577" s="234"/>
      <c r="AL577" s="234"/>
      <c r="AM577" s="234"/>
      <c r="AN577" s="201"/>
      <c r="AO577" s="234"/>
      <c r="AP577" s="234"/>
      <c r="AQ577" s="234"/>
      <c r="AR577" s="234"/>
      <c r="AS577" s="234"/>
      <c r="AT577" s="234"/>
      <c r="AU577" s="234"/>
      <c r="AV577" s="234"/>
      <c r="AW577" s="234"/>
      <c r="AX577" s="234"/>
      <c r="AY577" s="234"/>
      <c r="AZ577" s="234"/>
      <c r="BA577" s="234"/>
      <c r="BB577" s="234"/>
      <c r="BC577" s="234"/>
      <c r="BD577" s="234"/>
      <c r="BE577" s="234"/>
      <c r="BF577" s="234"/>
      <c r="BG577" s="234"/>
      <c r="BH577" s="234"/>
    </row>
    <row r="578" spans="1:60" ht="24" customHeight="1" x14ac:dyDescent="0.25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  <c r="AB578" s="234"/>
      <c r="AC578" s="234"/>
      <c r="AD578" s="234"/>
      <c r="AE578" s="234"/>
      <c r="AF578" s="234"/>
      <c r="AG578" s="234"/>
      <c r="AH578" s="234"/>
      <c r="AI578" s="234"/>
      <c r="AJ578" s="234"/>
      <c r="AK578" s="234"/>
      <c r="AL578" s="234"/>
      <c r="AM578" s="234"/>
      <c r="AN578" s="201"/>
      <c r="AO578" s="234"/>
      <c r="AP578" s="234"/>
      <c r="AQ578" s="234"/>
      <c r="AR578" s="234"/>
      <c r="AS578" s="234"/>
      <c r="AT578" s="234"/>
      <c r="AU578" s="234"/>
      <c r="AV578" s="234"/>
      <c r="AW578" s="234"/>
      <c r="AX578" s="234"/>
      <c r="AY578" s="234"/>
      <c r="AZ578" s="234"/>
      <c r="BA578" s="234"/>
      <c r="BB578" s="234"/>
      <c r="BC578" s="234"/>
      <c r="BD578" s="234"/>
      <c r="BE578" s="234"/>
      <c r="BF578" s="234"/>
      <c r="BG578" s="234"/>
      <c r="BH578" s="234"/>
    </row>
    <row r="579" spans="1:60" ht="24" customHeight="1" x14ac:dyDescent="0.25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  <c r="AB579" s="234"/>
      <c r="AC579" s="234"/>
      <c r="AD579" s="234"/>
      <c r="AE579" s="234"/>
      <c r="AF579" s="234"/>
      <c r="AG579" s="234"/>
      <c r="AH579" s="234"/>
      <c r="AI579" s="234"/>
      <c r="AJ579" s="234"/>
      <c r="AK579" s="234"/>
      <c r="AL579" s="234"/>
      <c r="AM579" s="234"/>
      <c r="AN579" s="201"/>
      <c r="AO579" s="234"/>
      <c r="AP579" s="234"/>
      <c r="AQ579" s="234"/>
      <c r="AR579" s="234"/>
      <c r="AS579" s="234"/>
      <c r="AT579" s="234"/>
      <c r="AU579" s="234"/>
      <c r="AV579" s="234"/>
      <c r="AW579" s="234"/>
      <c r="AX579" s="234"/>
      <c r="AY579" s="234"/>
      <c r="AZ579" s="234"/>
      <c r="BA579" s="234"/>
      <c r="BB579" s="234"/>
      <c r="BC579" s="234"/>
      <c r="BD579" s="234"/>
      <c r="BE579" s="234"/>
      <c r="BF579" s="234"/>
      <c r="BG579" s="234"/>
      <c r="BH579" s="234"/>
    </row>
    <row r="580" spans="1:60" ht="24" customHeight="1" x14ac:dyDescent="0.25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  <c r="AB580" s="234"/>
      <c r="AC580" s="234"/>
      <c r="AD580" s="234"/>
      <c r="AE580" s="234"/>
      <c r="AF580" s="234"/>
      <c r="AG580" s="234"/>
      <c r="AH580" s="234"/>
      <c r="AI580" s="234"/>
      <c r="AJ580" s="234"/>
      <c r="AK580" s="234"/>
      <c r="AL580" s="234"/>
      <c r="AM580" s="234"/>
      <c r="AN580" s="201"/>
      <c r="AO580" s="234"/>
      <c r="AP580" s="234"/>
      <c r="AQ580" s="234"/>
      <c r="AR580" s="234"/>
      <c r="AS580" s="234"/>
      <c r="AT580" s="234"/>
      <c r="AU580" s="234"/>
      <c r="AV580" s="234"/>
      <c r="AW580" s="234"/>
      <c r="AX580" s="234"/>
      <c r="AY580" s="234"/>
      <c r="AZ580" s="234"/>
      <c r="BA580" s="234"/>
      <c r="BB580" s="234"/>
      <c r="BC580" s="234"/>
      <c r="BD580" s="234"/>
      <c r="BE580" s="234"/>
      <c r="BF580" s="234"/>
      <c r="BG580" s="234"/>
      <c r="BH580" s="234"/>
    </row>
    <row r="581" spans="1:60" ht="24" customHeight="1" x14ac:dyDescent="0.25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  <c r="AB581" s="234"/>
      <c r="AC581" s="234"/>
      <c r="AD581" s="234"/>
      <c r="AE581" s="234"/>
      <c r="AF581" s="234"/>
      <c r="AG581" s="234"/>
      <c r="AH581" s="234"/>
      <c r="AI581" s="234"/>
      <c r="AJ581" s="234"/>
      <c r="AK581" s="234"/>
      <c r="AL581" s="234"/>
      <c r="AM581" s="234"/>
      <c r="AN581" s="201"/>
      <c r="AO581" s="234"/>
      <c r="AP581" s="234"/>
      <c r="AQ581" s="234"/>
      <c r="AR581" s="234"/>
      <c r="AS581" s="234"/>
      <c r="AT581" s="234"/>
      <c r="AU581" s="234"/>
      <c r="AV581" s="234"/>
      <c r="AW581" s="234"/>
      <c r="AX581" s="234"/>
      <c r="AY581" s="234"/>
      <c r="AZ581" s="234"/>
      <c r="BA581" s="234"/>
      <c r="BB581" s="234"/>
      <c r="BC581" s="234"/>
      <c r="BD581" s="234"/>
      <c r="BE581" s="234"/>
      <c r="BF581" s="234"/>
      <c r="BG581" s="234"/>
      <c r="BH581" s="234"/>
    </row>
    <row r="582" spans="1:60" ht="24" customHeight="1" x14ac:dyDescent="0.25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  <c r="AB582" s="234"/>
      <c r="AC582" s="234"/>
      <c r="AD582" s="234"/>
      <c r="AE582" s="234"/>
      <c r="AF582" s="234"/>
      <c r="AG582" s="234"/>
      <c r="AH582" s="234"/>
      <c r="AI582" s="234"/>
      <c r="AJ582" s="234"/>
      <c r="AK582" s="234"/>
      <c r="AL582" s="234"/>
      <c r="AM582" s="234"/>
      <c r="AN582" s="201"/>
      <c r="AO582" s="234"/>
      <c r="AP582" s="234"/>
      <c r="AQ582" s="234"/>
      <c r="AR582" s="234"/>
      <c r="AS582" s="234"/>
      <c r="AT582" s="234"/>
      <c r="AU582" s="234"/>
      <c r="AV582" s="234"/>
      <c r="AW582" s="234"/>
      <c r="AX582" s="234"/>
      <c r="AY582" s="234"/>
      <c r="AZ582" s="234"/>
      <c r="BA582" s="234"/>
      <c r="BB582" s="234"/>
      <c r="BC582" s="234"/>
      <c r="BD582" s="234"/>
      <c r="BE582" s="234"/>
      <c r="BF582" s="234"/>
      <c r="BG582" s="234"/>
      <c r="BH582" s="234"/>
    </row>
    <row r="583" spans="1:60" ht="24" customHeight="1" x14ac:dyDescent="0.25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  <c r="AB583" s="234"/>
      <c r="AC583" s="234"/>
      <c r="AD583" s="234"/>
      <c r="AE583" s="234"/>
      <c r="AF583" s="234"/>
      <c r="AG583" s="234"/>
      <c r="AH583" s="234"/>
      <c r="AI583" s="234"/>
      <c r="AJ583" s="234"/>
      <c r="AK583" s="234"/>
      <c r="AL583" s="234"/>
      <c r="AM583" s="234"/>
      <c r="AN583" s="201"/>
      <c r="AO583" s="234"/>
      <c r="AP583" s="234"/>
      <c r="AQ583" s="234"/>
      <c r="AR583" s="234"/>
      <c r="AS583" s="234"/>
      <c r="AT583" s="234"/>
      <c r="AU583" s="234"/>
      <c r="AV583" s="234"/>
      <c r="AW583" s="234"/>
      <c r="AX583" s="234"/>
      <c r="AY583" s="234"/>
      <c r="AZ583" s="234"/>
      <c r="BA583" s="234"/>
      <c r="BB583" s="234"/>
      <c r="BC583" s="234"/>
      <c r="BD583" s="234"/>
      <c r="BE583" s="234"/>
      <c r="BF583" s="234"/>
      <c r="BG583" s="234"/>
      <c r="BH583" s="234"/>
    </row>
    <row r="584" spans="1:60" ht="24" customHeight="1" x14ac:dyDescent="0.25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  <c r="AB584" s="234"/>
      <c r="AC584" s="234"/>
      <c r="AD584" s="234"/>
      <c r="AE584" s="234"/>
      <c r="AF584" s="234"/>
      <c r="AG584" s="234"/>
      <c r="AH584" s="234"/>
      <c r="AI584" s="234"/>
      <c r="AJ584" s="234"/>
      <c r="AK584" s="234"/>
      <c r="AL584" s="234"/>
      <c r="AM584" s="234"/>
      <c r="AN584" s="201"/>
      <c r="AO584" s="234"/>
      <c r="AP584" s="234"/>
      <c r="AQ584" s="234"/>
      <c r="AR584" s="234"/>
      <c r="AS584" s="234"/>
      <c r="AT584" s="234"/>
      <c r="AU584" s="234"/>
      <c r="AV584" s="234"/>
      <c r="AW584" s="234"/>
      <c r="AX584" s="234"/>
      <c r="AY584" s="234"/>
      <c r="AZ584" s="234"/>
      <c r="BA584" s="234"/>
      <c r="BB584" s="234"/>
      <c r="BC584" s="234"/>
      <c r="BD584" s="234"/>
      <c r="BE584" s="234"/>
      <c r="BF584" s="234"/>
      <c r="BG584" s="234"/>
      <c r="BH584" s="234"/>
    </row>
    <row r="585" spans="1:60" ht="24" customHeight="1" x14ac:dyDescent="0.2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  <c r="AB585" s="234"/>
      <c r="AC585" s="234"/>
      <c r="AD585" s="234"/>
      <c r="AE585" s="234"/>
      <c r="AF585" s="234"/>
      <c r="AG585" s="234"/>
      <c r="AH585" s="234"/>
      <c r="AI585" s="234"/>
      <c r="AJ585" s="234"/>
      <c r="AK585" s="234"/>
      <c r="AL585" s="234"/>
      <c r="AM585" s="234"/>
      <c r="AN585" s="201"/>
      <c r="AO585" s="234"/>
      <c r="AP585" s="234"/>
      <c r="AQ585" s="234"/>
      <c r="AR585" s="234"/>
      <c r="AS585" s="234"/>
      <c r="AT585" s="234"/>
      <c r="AU585" s="234"/>
      <c r="AV585" s="234"/>
      <c r="AW585" s="234"/>
      <c r="AX585" s="234"/>
      <c r="AY585" s="234"/>
      <c r="AZ585" s="234"/>
      <c r="BA585" s="234"/>
      <c r="BB585" s="234"/>
      <c r="BC585" s="234"/>
      <c r="BD585" s="234"/>
      <c r="BE585" s="234"/>
      <c r="BF585" s="234"/>
      <c r="BG585" s="234"/>
      <c r="BH585" s="234"/>
    </row>
    <row r="586" spans="1:60" ht="24" customHeight="1" x14ac:dyDescent="0.25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  <c r="AB586" s="234"/>
      <c r="AC586" s="234"/>
      <c r="AD586" s="234"/>
      <c r="AE586" s="234"/>
      <c r="AF586" s="234"/>
      <c r="AG586" s="234"/>
      <c r="AH586" s="234"/>
      <c r="AI586" s="234"/>
      <c r="AJ586" s="234"/>
      <c r="AK586" s="234"/>
      <c r="AL586" s="234"/>
      <c r="AM586" s="234"/>
      <c r="AN586" s="201"/>
      <c r="AO586" s="234"/>
      <c r="AP586" s="234"/>
      <c r="AQ586" s="234"/>
      <c r="AR586" s="234"/>
      <c r="AS586" s="234"/>
      <c r="AT586" s="234"/>
      <c r="AU586" s="234"/>
      <c r="AV586" s="234"/>
      <c r="AW586" s="234"/>
      <c r="AX586" s="234"/>
      <c r="AY586" s="234"/>
      <c r="AZ586" s="234"/>
      <c r="BA586" s="234"/>
      <c r="BB586" s="234"/>
      <c r="BC586" s="234"/>
      <c r="BD586" s="234"/>
      <c r="BE586" s="234"/>
      <c r="BF586" s="234"/>
      <c r="BG586" s="234"/>
      <c r="BH586" s="234"/>
    </row>
    <row r="587" spans="1:60" ht="24" customHeight="1" x14ac:dyDescent="0.25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  <c r="AB587" s="234"/>
      <c r="AC587" s="234"/>
      <c r="AD587" s="234"/>
      <c r="AE587" s="234"/>
      <c r="AF587" s="234"/>
      <c r="AG587" s="234"/>
      <c r="AH587" s="234"/>
      <c r="AI587" s="234"/>
      <c r="AJ587" s="234"/>
      <c r="AK587" s="234"/>
      <c r="AL587" s="234"/>
      <c r="AM587" s="234"/>
      <c r="AN587" s="201"/>
      <c r="AO587" s="234"/>
      <c r="AP587" s="234"/>
      <c r="AQ587" s="234"/>
      <c r="AR587" s="234"/>
      <c r="AS587" s="234"/>
      <c r="AT587" s="234"/>
      <c r="AU587" s="234"/>
      <c r="AV587" s="234"/>
      <c r="AW587" s="234"/>
      <c r="AX587" s="234"/>
      <c r="AY587" s="234"/>
      <c r="AZ587" s="234"/>
      <c r="BA587" s="234"/>
      <c r="BB587" s="234"/>
      <c r="BC587" s="234"/>
      <c r="BD587" s="234"/>
      <c r="BE587" s="234"/>
      <c r="BF587" s="234"/>
      <c r="BG587" s="234"/>
      <c r="BH587" s="234"/>
    </row>
    <row r="588" spans="1:60" ht="24" customHeight="1" x14ac:dyDescent="0.25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  <c r="AB588" s="234"/>
      <c r="AC588" s="234"/>
      <c r="AD588" s="234"/>
      <c r="AE588" s="234"/>
      <c r="AF588" s="234"/>
      <c r="AG588" s="234"/>
      <c r="AH588" s="234"/>
      <c r="AI588" s="234"/>
      <c r="AJ588" s="234"/>
      <c r="AK588" s="234"/>
      <c r="AL588" s="234"/>
      <c r="AM588" s="234"/>
      <c r="AN588" s="201"/>
      <c r="AO588" s="234"/>
      <c r="AP588" s="234"/>
      <c r="AQ588" s="234"/>
      <c r="AR588" s="234"/>
      <c r="AS588" s="234"/>
      <c r="AT588" s="234"/>
      <c r="AU588" s="234"/>
      <c r="AV588" s="234"/>
      <c r="AW588" s="234"/>
      <c r="AX588" s="234"/>
      <c r="AY588" s="234"/>
      <c r="AZ588" s="234"/>
      <c r="BA588" s="234"/>
      <c r="BB588" s="234"/>
      <c r="BC588" s="234"/>
      <c r="BD588" s="234"/>
      <c r="BE588" s="234"/>
      <c r="BF588" s="234"/>
      <c r="BG588" s="234"/>
      <c r="BH588" s="234"/>
    </row>
    <row r="589" spans="1:60" ht="24" customHeight="1" x14ac:dyDescent="0.25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  <c r="AB589" s="234"/>
      <c r="AC589" s="234"/>
      <c r="AD589" s="234"/>
      <c r="AE589" s="234"/>
      <c r="AF589" s="234"/>
      <c r="AG589" s="234"/>
      <c r="AH589" s="234"/>
      <c r="AI589" s="234"/>
      <c r="AJ589" s="234"/>
      <c r="AK589" s="234"/>
      <c r="AL589" s="234"/>
      <c r="AM589" s="234"/>
      <c r="AN589" s="201"/>
      <c r="AO589" s="234"/>
      <c r="AP589" s="234"/>
      <c r="AQ589" s="234"/>
      <c r="AR589" s="234"/>
      <c r="AS589" s="234"/>
      <c r="AT589" s="234"/>
      <c r="AU589" s="234"/>
      <c r="AV589" s="234"/>
      <c r="AW589" s="234"/>
      <c r="AX589" s="234"/>
      <c r="AY589" s="234"/>
      <c r="AZ589" s="234"/>
      <c r="BA589" s="234"/>
      <c r="BB589" s="234"/>
      <c r="BC589" s="234"/>
      <c r="BD589" s="234"/>
      <c r="BE589" s="234"/>
      <c r="BF589" s="234"/>
      <c r="BG589" s="234"/>
      <c r="BH589" s="234"/>
    </row>
    <row r="590" spans="1:60" ht="24" customHeight="1" x14ac:dyDescent="0.25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  <c r="AB590" s="234"/>
      <c r="AC590" s="234"/>
      <c r="AD590" s="234"/>
      <c r="AE590" s="234"/>
      <c r="AF590" s="234"/>
      <c r="AG590" s="234"/>
      <c r="AH590" s="234"/>
      <c r="AI590" s="234"/>
      <c r="AJ590" s="234"/>
      <c r="AK590" s="234"/>
      <c r="AL590" s="234"/>
      <c r="AM590" s="234"/>
      <c r="AN590" s="201"/>
      <c r="AO590" s="234"/>
      <c r="AP590" s="234"/>
      <c r="AQ590" s="234"/>
      <c r="AR590" s="234"/>
      <c r="AS590" s="234"/>
      <c r="AT590" s="234"/>
      <c r="AU590" s="234"/>
      <c r="AV590" s="234"/>
      <c r="AW590" s="234"/>
      <c r="AX590" s="234"/>
      <c r="AY590" s="234"/>
      <c r="AZ590" s="234"/>
      <c r="BA590" s="234"/>
      <c r="BB590" s="234"/>
      <c r="BC590" s="234"/>
      <c r="BD590" s="234"/>
      <c r="BE590" s="234"/>
      <c r="BF590" s="234"/>
      <c r="BG590" s="234"/>
      <c r="BH590" s="234"/>
    </row>
    <row r="591" spans="1:60" ht="24" customHeight="1" x14ac:dyDescent="0.25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  <c r="AB591" s="234"/>
      <c r="AC591" s="234"/>
      <c r="AD591" s="234"/>
      <c r="AE591" s="234"/>
      <c r="AF591" s="234"/>
      <c r="AG591" s="234"/>
      <c r="AH591" s="234"/>
      <c r="AI591" s="234"/>
      <c r="AJ591" s="234"/>
      <c r="AK591" s="234"/>
      <c r="AL591" s="234"/>
      <c r="AM591" s="234"/>
      <c r="AN591" s="201"/>
      <c r="AO591" s="234"/>
      <c r="AP591" s="234"/>
      <c r="AQ591" s="234"/>
      <c r="AR591" s="234"/>
      <c r="AS591" s="234"/>
      <c r="AT591" s="234"/>
      <c r="AU591" s="234"/>
      <c r="AV591" s="234"/>
      <c r="AW591" s="234"/>
      <c r="AX591" s="234"/>
      <c r="AY591" s="234"/>
      <c r="AZ591" s="234"/>
      <c r="BA591" s="234"/>
      <c r="BB591" s="234"/>
      <c r="BC591" s="234"/>
      <c r="BD591" s="234"/>
      <c r="BE591" s="234"/>
      <c r="BF591" s="234"/>
      <c r="BG591" s="234"/>
      <c r="BH591" s="234"/>
    </row>
    <row r="592" spans="1:60" ht="24" customHeight="1" x14ac:dyDescent="0.25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  <c r="AB592" s="234"/>
      <c r="AC592" s="234"/>
      <c r="AD592" s="234"/>
      <c r="AE592" s="234"/>
      <c r="AF592" s="234"/>
      <c r="AG592" s="234"/>
      <c r="AH592" s="234"/>
      <c r="AI592" s="234"/>
      <c r="AJ592" s="234"/>
      <c r="AK592" s="234"/>
      <c r="AL592" s="234"/>
      <c r="AM592" s="234"/>
      <c r="AN592" s="201"/>
      <c r="AO592" s="234"/>
      <c r="AP592" s="234"/>
      <c r="AQ592" s="234"/>
      <c r="AR592" s="234"/>
      <c r="AS592" s="234"/>
      <c r="AT592" s="234"/>
      <c r="AU592" s="234"/>
      <c r="AV592" s="234"/>
      <c r="AW592" s="234"/>
      <c r="AX592" s="234"/>
      <c r="AY592" s="234"/>
      <c r="AZ592" s="234"/>
      <c r="BA592" s="234"/>
      <c r="BB592" s="234"/>
      <c r="BC592" s="234"/>
      <c r="BD592" s="234"/>
      <c r="BE592" s="234"/>
      <c r="BF592" s="234"/>
      <c r="BG592" s="234"/>
      <c r="BH592" s="234"/>
    </row>
    <row r="593" spans="1:60" ht="24" customHeight="1" x14ac:dyDescent="0.25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  <c r="AB593" s="234"/>
      <c r="AC593" s="234"/>
      <c r="AD593" s="234"/>
      <c r="AE593" s="234"/>
      <c r="AF593" s="234"/>
      <c r="AG593" s="234"/>
      <c r="AH593" s="234"/>
      <c r="AI593" s="234"/>
      <c r="AJ593" s="234"/>
      <c r="AK593" s="234"/>
      <c r="AL593" s="234"/>
      <c r="AM593" s="234"/>
      <c r="AN593" s="201"/>
      <c r="AO593" s="234"/>
      <c r="AP593" s="234"/>
      <c r="AQ593" s="234"/>
      <c r="AR593" s="234"/>
      <c r="AS593" s="234"/>
      <c r="AT593" s="234"/>
      <c r="AU593" s="234"/>
      <c r="AV593" s="234"/>
      <c r="AW593" s="234"/>
      <c r="AX593" s="234"/>
      <c r="AY593" s="234"/>
      <c r="AZ593" s="234"/>
      <c r="BA593" s="234"/>
      <c r="BB593" s="234"/>
      <c r="BC593" s="234"/>
      <c r="BD593" s="234"/>
      <c r="BE593" s="234"/>
      <c r="BF593" s="234"/>
      <c r="BG593" s="234"/>
      <c r="BH593" s="234"/>
    </row>
    <row r="594" spans="1:60" ht="24" customHeight="1" x14ac:dyDescent="0.25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  <c r="AB594" s="234"/>
      <c r="AC594" s="234"/>
      <c r="AD594" s="234"/>
      <c r="AE594" s="234"/>
      <c r="AF594" s="234"/>
      <c r="AG594" s="234"/>
      <c r="AH594" s="234"/>
      <c r="AI594" s="234"/>
      <c r="AJ594" s="234"/>
      <c r="AK594" s="234"/>
      <c r="AL594" s="234"/>
      <c r="AM594" s="234"/>
      <c r="AN594" s="201"/>
      <c r="AO594" s="234"/>
      <c r="AP594" s="234"/>
      <c r="AQ594" s="234"/>
      <c r="AR594" s="234"/>
      <c r="AS594" s="234"/>
      <c r="AT594" s="234"/>
      <c r="AU594" s="234"/>
      <c r="AV594" s="234"/>
      <c r="AW594" s="234"/>
      <c r="AX594" s="234"/>
      <c r="AY594" s="234"/>
      <c r="AZ594" s="234"/>
      <c r="BA594" s="234"/>
      <c r="BB594" s="234"/>
      <c r="BC594" s="234"/>
      <c r="BD594" s="234"/>
      <c r="BE594" s="234"/>
      <c r="BF594" s="234"/>
      <c r="BG594" s="234"/>
      <c r="BH594" s="234"/>
    </row>
    <row r="595" spans="1:60" ht="24" customHeight="1" x14ac:dyDescent="0.2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  <c r="AB595" s="234"/>
      <c r="AC595" s="234"/>
      <c r="AD595" s="234"/>
      <c r="AE595" s="234"/>
      <c r="AF595" s="234"/>
      <c r="AG595" s="234"/>
      <c r="AH595" s="234"/>
      <c r="AI595" s="234"/>
      <c r="AJ595" s="234"/>
      <c r="AK595" s="234"/>
      <c r="AL595" s="234"/>
      <c r="AM595" s="234"/>
      <c r="AN595" s="201"/>
      <c r="AO595" s="234"/>
      <c r="AP595" s="234"/>
      <c r="AQ595" s="234"/>
      <c r="AR595" s="234"/>
      <c r="AS595" s="234"/>
      <c r="AT595" s="234"/>
      <c r="AU595" s="234"/>
      <c r="AV595" s="234"/>
      <c r="AW595" s="234"/>
      <c r="AX595" s="234"/>
      <c r="AY595" s="234"/>
      <c r="AZ595" s="234"/>
      <c r="BA595" s="234"/>
      <c r="BB595" s="234"/>
      <c r="BC595" s="234"/>
      <c r="BD595" s="234"/>
      <c r="BE595" s="234"/>
      <c r="BF595" s="234"/>
      <c r="BG595" s="234"/>
      <c r="BH595" s="234"/>
    </row>
    <row r="596" spans="1:60" ht="24" customHeight="1" x14ac:dyDescent="0.25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  <c r="AB596" s="234"/>
      <c r="AC596" s="234"/>
      <c r="AD596" s="234"/>
      <c r="AE596" s="234"/>
      <c r="AF596" s="234"/>
      <c r="AG596" s="234"/>
      <c r="AH596" s="234"/>
      <c r="AI596" s="234"/>
      <c r="AJ596" s="234"/>
      <c r="AK596" s="234"/>
      <c r="AL596" s="234"/>
      <c r="AM596" s="234"/>
      <c r="AN596" s="201"/>
      <c r="AO596" s="234"/>
      <c r="AP596" s="234"/>
      <c r="AQ596" s="234"/>
      <c r="AR596" s="234"/>
      <c r="AS596" s="234"/>
      <c r="AT596" s="234"/>
      <c r="AU596" s="234"/>
      <c r="AV596" s="234"/>
      <c r="AW596" s="234"/>
      <c r="AX596" s="234"/>
      <c r="AY596" s="234"/>
      <c r="AZ596" s="234"/>
      <c r="BA596" s="234"/>
      <c r="BB596" s="234"/>
      <c r="BC596" s="234"/>
      <c r="BD596" s="234"/>
      <c r="BE596" s="234"/>
      <c r="BF596" s="234"/>
      <c r="BG596" s="234"/>
      <c r="BH596" s="234"/>
    </row>
    <row r="597" spans="1:60" ht="24" customHeight="1" x14ac:dyDescent="0.25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  <c r="AB597" s="234"/>
      <c r="AC597" s="234"/>
      <c r="AD597" s="234"/>
      <c r="AE597" s="234"/>
      <c r="AF597" s="234"/>
      <c r="AG597" s="234"/>
      <c r="AH597" s="234"/>
      <c r="AI597" s="234"/>
      <c r="AJ597" s="234"/>
      <c r="AK597" s="234"/>
      <c r="AL597" s="234"/>
      <c r="AM597" s="234"/>
      <c r="AN597" s="201"/>
      <c r="AO597" s="234"/>
      <c r="AP597" s="234"/>
      <c r="AQ597" s="234"/>
      <c r="AR597" s="234"/>
      <c r="AS597" s="234"/>
      <c r="AT597" s="234"/>
      <c r="AU597" s="234"/>
      <c r="AV597" s="234"/>
      <c r="AW597" s="234"/>
      <c r="AX597" s="234"/>
      <c r="AY597" s="234"/>
      <c r="AZ597" s="234"/>
      <c r="BA597" s="234"/>
      <c r="BB597" s="234"/>
      <c r="BC597" s="234"/>
      <c r="BD597" s="234"/>
      <c r="BE597" s="234"/>
      <c r="BF597" s="234"/>
      <c r="BG597" s="234"/>
      <c r="BH597" s="234"/>
    </row>
    <row r="598" spans="1:60" ht="24" customHeight="1" x14ac:dyDescent="0.25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  <c r="AB598" s="234"/>
      <c r="AC598" s="234"/>
      <c r="AD598" s="234"/>
      <c r="AE598" s="234"/>
      <c r="AF598" s="234"/>
      <c r="AG598" s="234"/>
      <c r="AH598" s="234"/>
      <c r="AI598" s="234"/>
      <c r="AJ598" s="234"/>
      <c r="AK598" s="234"/>
      <c r="AL598" s="234"/>
      <c r="AM598" s="234"/>
      <c r="AN598" s="201"/>
      <c r="AO598" s="234"/>
      <c r="AP598" s="234"/>
      <c r="AQ598" s="234"/>
      <c r="AR598" s="234"/>
      <c r="AS598" s="234"/>
      <c r="AT598" s="234"/>
      <c r="AU598" s="234"/>
      <c r="AV598" s="234"/>
      <c r="AW598" s="234"/>
      <c r="AX598" s="234"/>
      <c r="AY598" s="234"/>
      <c r="AZ598" s="234"/>
      <c r="BA598" s="234"/>
      <c r="BB598" s="234"/>
      <c r="BC598" s="234"/>
      <c r="BD598" s="234"/>
      <c r="BE598" s="234"/>
      <c r="BF598" s="234"/>
      <c r="BG598" s="234"/>
      <c r="BH598" s="234"/>
    </row>
    <row r="599" spans="1:60" ht="24" customHeight="1" x14ac:dyDescent="0.25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  <c r="AB599" s="234"/>
      <c r="AC599" s="234"/>
      <c r="AD599" s="234"/>
      <c r="AE599" s="234"/>
      <c r="AF599" s="234"/>
      <c r="AG599" s="234"/>
      <c r="AH599" s="234"/>
      <c r="AI599" s="234"/>
      <c r="AJ599" s="234"/>
      <c r="AK599" s="234"/>
      <c r="AL599" s="234"/>
      <c r="AM599" s="234"/>
      <c r="AN599" s="201"/>
      <c r="AO599" s="234"/>
      <c r="AP599" s="234"/>
      <c r="AQ599" s="234"/>
      <c r="AR599" s="234"/>
      <c r="AS599" s="234"/>
      <c r="AT599" s="234"/>
      <c r="AU599" s="234"/>
      <c r="AV599" s="234"/>
      <c r="AW599" s="234"/>
      <c r="AX599" s="234"/>
      <c r="AY599" s="234"/>
      <c r="AZ599" s="234"/>
      <c r="BA599" s="234"/>
      <c r="BB599" s="234"/>
      <c r="BC599" s="234"/>
      <c r="BD599" s="234"/>
      <c r="BE599" s="234"/>
      <c r="BF599" s="234"/>
      <c r="BG599" s="234"/>
      <c r="BH599" s="234"/>
    </row>
    <row r="600" spans="1:60" ht="24" customHeight="1" x14ac:dyDescent="0.25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  <c r="AB600" s="234"/>
      <c r="AC600" s="234"/>
      <c r="AD600" s="234"/>
      <c r="AE600" s="234"/>
      <c r="AF600" s="234"/>
      <c r="AG600" s="234"/>
      <c r="AH600" s="234"/>
      <c r="AI600" s="234"/>
      <c r="AJ600" s="234"/>
      <c r="AK600" s="234"/>
      <c r="AL600" s="234"/>
      <c r="AM600" s="234"/>
      <c r="AN600" s="201"/>
      <c r="AO600" s="234"/>
      <c r="AP600" s="234"/>
      <c r="AQ600" s="234"/>
      <c r="AR600" s="234"/>
      <c r="AS600" s="234"/>
      <c r="AT600" s="234"/>
      <c r="AU600" s="234"/>
      <c r="AV600" s="234"/>
      <c r="AW600" s="234"/>
      <c r="AX600" s="234"/>
      <c r="AY600" s="234"/>
      <c r="AZ600" s="234"/>
      <c r="BA600" s="234"/>
      <c r="BB600" s="234"/>
      <c r="BC600" s="234"/>
      <c r="BD600" s="234"/>
      <c r="BE600" s="234"/>
      <c r="BF600" s="234"/>
      <c r="BG600" s="234"/>
      <c r="BH600" s="234"/>
    </row>
    <row r="601" spans="1:60" ht="24" customHeight="1" x14ac:dyDescent="0.25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  <c r="AB601" s="234"/>
      <c r="AC601" s="234"/>
      <c r="AD601" s="234"/>
      <c r="AE601" s="234"/>
      <c r="AF601" s="234"/>
      <c r="AG601" s="234"/>
      <c r="AH601" s="234"/>
      <c r="AI601" s="234"/>
      <c r="AJ601" s="234"/>
      <c r="AK601" s="234"/>
      <c r="AL601" s="234"/>
      <c r="AM601" s="234"/>
      <c r="AN601" s="201"/>
      <c r="AO601" s="234"/>
      <c r="AP601" s="234"/>
      <c r="AQ601" s="234"/>
      <c r="AR601" s="234"/>
      <c r="AS601" s="234"/>
      <c r="AT601" s="234"/>
      <c r="AU601" s="234"/>
      <c r="AV601" s="234"/>
      <c r="AW601" s="234"/>
      <c r="AX601" s="234"/>
      <c r="AY601" s="234"/>
      <c r="AZ601" s="234"/>
      <c r="BA601" s="234"/>
      <c r="BB601" s="234"/>
      <c r="BC601" s="234"/>
      <c r="BD601" s="234"/>
      <c r="BE601" s="234"/>
      <c r="BF601" s="234"/>
      <c r="BG601" s="234"/>
      <c r="BH601" s="234"/>
    </row>
    <row r="602" spans="1:60" ht="24" customHeight="1" x14ac:dyDescent="0.25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  <c r="AB602" s="234"/>
      <c r="AC602" s="234"/>
      <c r="AD602" s="234"/>
      <c r="AE602" s="234"/>
      <c r="AF602" s="234"/>
      <c r="AG602" s="234"/>
      <c r="AH602" s="234"/>
      <c r="AI602" s="234"/>
      <c r="AJ602" s="234"/>
      <c r="AK602" s="234"/>
      <c r="AL602" s="234"/>
      <c r="AM602" s="234"/>
      <c r="AN602" s="201"/>
      <c r="AO602" s="234"/>
      <c r="AP602" s="234"/>
      <c r="AQ602" s="234"/>
      <c r="AR602" s="234"/>
      <c r="AS602" s="234"/>
      <c r="AT602" s="234"/>
      <c r="AU602" s="234"/>
      <c r="AV602" s="234"/>
      <c r="AW602" s="234"/>
      <c r="AX602" s="234"/>
      <c r="AY602" s="234"/>
      <c r="AZ602" s="234"/>
      <c r="BA602" s="234"/>
      <c r="BB602" s="234"/>
      <c r="BC602" s="234"/>
      <c r="BD602" s="234"/>
      <c r="BE602" s="234"/>
      <c r="BF602" s="234"/>
      <c r="BG602" s="234"/>
      <c r="BH602" s="234"/>
    </row>
    <row r="603" spans="1:60" ht="24" customHeight="1" x14ac:dyDescent="0.25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  <c r="AB603" s="234"/>
      <c r="AC603" s="234"/>
      <c r="AD603" s="234"/>
      <c r="AE603" s="234"/>
      <c r="AF603" s="234"/>
      <c r="AG603" s="234"/>
      <c r="AH603" s="234"/>
      <c r="AI603" s="234"/>
      <c r="AJ603" s="234"/>
      <c r="AK603" s="234"/>
      <c r="AL603" s="234"/>
      <c r="AM603" s="234"/>
      <c r="AN603" s="201"/>
      <c r="AO603" s="234"/>
      <c r="AP603" s="234"/>
      <c r="AQ603" s="234"/>
      <c r="AR603" s="234"/>
      <c r="AS603" s="234"/>
      <c r="AT603" s="234"/>
      <c r="AU603" s="234"/>
      <c r="AV603" s="234"/>
      <c r="AW603" s="234"/>
      <c r="AX603" s="234"/>
      <c r="AY603" s="234"/>
      <c r="AZ603" s="234"/>
      <c r="BA603" s="234"/>
      <c r="BB603" s="234"/>
      <c r="BC603" s="234"/>
      <c r="BD603" s="234"/>
      <c r="BE603" s="234"/>
      <c r="BF603" s="234"/>
      <c r="BG603" s="234"/>
      <c r="BH603" s="234"/>
    </row>
    <row r="604" spans="1:60" ht="24" customHeight="1" x14ac:dyDescent="0.25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  <c r="AB604" s="234"/>
      <c r="AC604" s="234"/>
      <c r="AD604" s="234"/>
      <c r="AE604" s="234"/>
      <c r="AF604" s="234"/>
      <c r="AG604" s="234"/>
      <c r="AH604" s="234"/>
      <c r="AI604" s="234"/>
      <c r="AJ604" s="234"/>
      <c r="AK604" s="234"/>
      <c r="AL604" s="234"/>
      <c r="AM604" s="234"/>
      <c r="AN604" s="201"/>
      <c r="AO604" s="234"/>
      <c r="AP604" s="234"/>
      <c r="AQ604" s="234"/>
      <c r="AR604" s="234"/>
      <c r="AS604" s="234"/>
      <c r="AT604" s="234"/>
      <c r="AU604" s="234"/>
      <c r="AV604" s="234"/>
      <c r="AW604" s="234"/>
      <c r="AX604" s="234"/>
      <c r="AY604" s="234"/>
      <c r="AZ604" s="234"/>
      <c r="BA604" s="234"/>
      <c r="BB604" s="234"/>
      <c r="BC604" s="234"/>
      <c r="BD604" s="234"/>
      <c r="BE604" s="234"/>
      <c r="BF604" s="234"/>
      <c r="BG604" s="234"/>
      <c r="BH604" s="234"/>
    </row>
    <row r="605" spans="1:60" ht="24" customHeight="1" x14ac:dyDescent="0.2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  <c r="AB605" s="234"/>
      <c r="AC605" s="234"/>
      <c r="AD605" s="234"/>
      <c r="AE605" s="234"/>
      <c r="AF605" s="234"/>
      <c r="AG605" s="234"/>
      <c r="AH605" s="234"/>
      <c r="AI605" s="234"/>
      <c r="AJ605" s="234"/>
      <c r="AK605" s="234"/>
      <c r="AL605" s="234"/>
      <c r="AM605" s="234"/>
      <c r="AN605" s="201"/>
      <c r="AO605" s="234"/>
      <c r="AP605" s="234"/>
      <c r="AQ605" s="234"/>
      <c r="AR605" s="234"/>
      <c r="AS605" s="234"/>
      <c r="AT605" s="234"/>
      <c r="AU605" s="234"/>
      <c r="AV605" s="234"/>
      <c r="AW605" s="234"/>
      <c r="AX605" s="234"/>
      <c r="AY605" s="234"/>
      <c r="AZ605" s="234"/>
      <c r="BA605" s="234"/>
      <c r="BB605" s="234"/>
      <c r="BC605" s="234"/>
      <c r="BD605" s="234"/>
      <c r="BE605" s="234"/>
      <c r="BF605" s="234"/>
      <c r="BG605" s="234"/>
      <c r="BH605" s="234"/>
    </row>
    <row r="606" spans="1:60" ht="24" customHeight="1" x14ac:dyDescent="0.25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  <c r="AB606" s="234"/>
      <c r="AC606" s="234"/>
      <c r="AD606" s="234"/>
      <c r="AE606" s="234"/>
      <c r="AF606" s="234"/>
      <c r="AG606" s="234"/>
      <c r="AH606" s="234"/>
      <c r="AI606" s="234"/>
      <c r="AJ606" s="234"/>
      <c r="AK606" s="234"/>
      <c r="AL606" s="234"/>
      <c r="AM606" s="234"/>
      <c r="AN606" s="201"/>
      <c r="AO606" s="234"/>
      <c r="AP606" s="234"/>
      <c r="AQ606" s="234"/>
      <c r="AR606" s="234"/>
      <c r="AS606" s="234"/>
      <c r="AT606" s="234"/>
      <c r="AU606" s="234"/>
      <c r="AV606" s="234"/>
      <c r="AW606" s="234"/>
      <c r="AX606" s="234"/>
      <c r="AY606" s="234"/>
      <c r="AZ606" s="234"/>
      <c r="BA606" s="234"/>
      <c r="BB606" s="234"/>
      <c r="BC606" s="234"/>
      <c r="BD606" s="234"/>
      <c r="BE606" s="234"/>
      <c r="BF606" s="234"/>
      <c r="BG606" s="234"/>
      <c r="BH606" s="234"/>
    </row>
    <row r="607" spans="1:60" ht="24" customHeight="1" x14ac:dyDescent="0.25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  <c r="AB607" s="234"/>
      <c r="AC607" s="234"/>
      <c r="AD607" s="234"/>
      <c r="AE607" s="234"/>
      <c r="AF607" s="234"/>
      <c r="AG607" s="234"/>
      <c r="AH607" s="234"/>
      <c r="AI607" s="234"/>
      <c r="AJ607" s="234"/>
      <c r="AK607" s="234"/>
      <c r="AL607" s="234"/>
      <c r="AM607" s="234"/>
      <c r="AN607" s="201"/>
      <c r="AO607" s="234"/>
      <c r="AP607" s="234"/>
      <c r="AQ607" s="234"/>
      <c r="AR607" s="234"/>
      <c r="AS607" s="234"/>
      <c r="AT607" s="234"/>
      <c r="AU607" s="234"/>
      <c r="AV607" s="234"/>
      <c r="AW607" s="234"/>
      <c r="AX607" s="234"/>
      <c r="AY607" s="234"/>
      <c r="AZ607" s="234"/>
      <c r="BA607" s="234"/>
      <c r="BB607" s="234"/>
      <c r="BC607" s="234"/>
      <c r="BD607" s="234"/>
      <c r="BE607" s="234"/>
      <c r="BF607" s="234"/>
      <c r="BG607" s="234"/>
      <c r="BH607" s="234"/>
    </row>
    <row r="608" spans="1:60" ht="24" customHeight="1" x14ac:dyDescent="0.25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  <c r="AB608" s="234"/>
      <c r="AC608" s="234"/>
      <c r="AD608" s="234"/>
      <c r="AE608" s="234"/>
      <c r="AF608" s="234"/>
      <c r="AG608" s="234"/>
      <c r="AH608" s="234"/>
      <c r="AI608" s="234"/>
      <c r="AJ608" s="234"/>
      <c r="AK608" s="234"/>
      <c r="AL608" s="234"/>
      <c r="AM608" s="234"/>
      <c r="AN608" s="201"/>
      <c r="AO608" s="234"/>
      <c r="AP608" s="234"/>
      <c r="AQ608" s="234"/>
      <c r="AR608" s="234"/>
      <c r="AS608" s="234"/>
      <c r="AT608" s="234"/>
      <c r="AU608" s="234"/>
      <c r="AV608" s="234"/>
      <c r="AW608" s="234"/>
      <c r="AX608" s="234"/>
      <c r="AY608" s="234"/>
      <c r="AZ608" s="234"/>
      <c r="BA608" s="234"/>
      <c r="BB608" s="234"/>
      <c r="BC608" s="234"/>
      <c r="BD608" s="234"/>
      <c r="BE608" s="234"/>
      <c r="BF608" s="234"/>
      <c r="BG608" s="234"/>
      <c r="BH608" s="234"/>
    </row>
    <row r="609" spans="1:60" ht="24" customHeight="1" x14ac:dyDescent="0.25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  <c r="AB609" s="234"/>
      <c r="AC609" s="234"/>
      <c r="AD609" s="234"/>
      <c r="AE609" s="234"/>
      <c r="AF609" s="234"/>
      <c r="AG609" s="234"/>
      <c r="AH609" s="234"/>
      <c r="AI609" s="234"/>
      <c r="AJ609" s="234"/>
      <c r="AK609" s="234"/>
      <c r="AL609" s="234"/>
      <c r="AM609" s="234"/>
      <c r="AN609" s="201"/>
      <c r="AO609" s="234"/>
      <c r="AP609" s="234"/>
      <c r="AQ609" s="234"/>
      <c r="AR609" s="234"/>
      <c r="AS609" s="234"/>
      <c r="AT609" s="234"/>
      <c r="AU609" s="234"/>
      <c r="AV609" s="234"/>
      <c r="AW609" s="234"/>
      <c r="AX609" s="234"/>
      <c r="AY609" s="234"/>
      <c r="AZ609" s="234"/>
      <c r="BA609" s="234"/>
      <c r="BB609" s="234"/>
      <c r="BC609" s="234"/>
      <c r="BD609" s="234"/>
      <c r="BE609" s="234"/>
      <c r="BF609" s="234"/>
      <c r="BG609" s="234"/>
      <c r="BH609" s="234"/>
    </row>
    <row r="610" spans="1:60" ht="24" customHeight="1" x14ac:dyDescent="0.25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  <c r="AB610" s="234"/>
      <c r="AC610" s="234"/>
      <c r="AD610" s="234"/>
      <c r="AE610" s="234"/>
      <c r="AF610" s="234"/>
      <c r="AG610" s="234"/>
      <c r="AH610" s="234"/>
      <c r="AI610" s="234"/>
      <c r="AJ610" s="234"/>
      <c r="AK610" s="234"/>
      <c r="AL610" s="234"/>
      <c r="AM610" s="234"/>
      <c r="AN610" s="201"/>
      <c r="AO610" s="234"/>
      <c r="AP610" s="234"/>
      <c r="AQ610" s="234"/>
      <c r="AR610" s="234"/>
      <c r="AS610" s="234"/>
      <c r="AT610" s="234"/>
      <c r="AU610" s="234"/>
      <c r="AV610" s="234"/>
      <c r="AW610" s="234"/>
      <c r="AX610" s="234"/>
      <c r="AY610" s="234"/>
      <c r="AZ610" s="234"/>
      <c r="BA610" s="234"/>
      <c r="BB610" s="234"/>
      <c r="BC610" s="234"/>
      <c r="BD610" s="234"/>
      <c r="BE610" s="234"/>
      <c r="BF610" s="234"/>
      <c r="BG610" s="234"/>
      <c r="BH610" s="234"/>
    </row>
    <row r="611" spans="1:60" ht="24" customHeight="1" x14ac:dyDescent="0.25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  <c r="AB611" s="234"/>
      <c r="AC611" s="234"/>
      <c r="AD611" s="234"/>
      <c r="AE611" s="234"/>
      <c r="AF611" s="234"/>
      <c r="AG611" s="234"/>
      <c r="AH611" s="234"/>
      <c r="AI611" s="234"/>
      <c r="AJ611" s="234"/>
      <c r="AK611" s="234"/>
      <c r="AL611" s="234"/>
      <c r="AM611" s="234"/>
      <c r="AN611" s="201"/>
      <c r="AO611" s="234"/>
      <c r="AP611" s="234"/>
      <c r="AQ611" s="234"/>
      <c r="AR611" s="234"/>
      <c r="AS611" s="234"/>
      <c r="AT611" s="234"/>
      <c r="AU611" s="234"/>
      <c r="AV611" s="234"/>
      <c r="AW611" s="234"/>
      <c r="AX611" s="234"/>
      <c r="AY611" s="234"/>
      <c r="AZ611" s="234"/>
      <c r="BA611" s="234"/>
      <c r="BB611" s="234"/>
      <c r="BC611" s="234"/>
      <c r="BD611" s="234"/>
      <c r="BE611" s="234"/>
      <c r="BF611" s="234"/>
      <c r="BG611" s="234"/>
      <c r="BH611" s="234"/>
    </row>
    <row r="612" spans="1:60" ht="24" customHeight="1" x14ac:dyDescent="0.25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  <c r="AC612" s="234"/>
      <c r="AD612" s="234"/>
      <c r="AE612" s="234"/>
      <c r="AF612" s="234"/>
      <c r="AG612" s="234"/>
      <c r="AH612" s="234"/>
      <c r="AI612" s="234"/>
      <c r="AJ612" s="234"/>
      <c r="AK612" s="234"/>
      <c r="AL612" s="234"/>
      <c r="AM612" s="234"/>
      <c r="AN612" s="201"/>
      <c r="AO612" s="234"/>
      <c r="AP612" s="234"/>
      <c r="AQ612" s="234"/>
      <c r="AR612" s="234"/>
      <c r="AS612" s="234"/>
      <c r="AT612" s="234"/>
      <c r="AU612" s="234"/>
      <c r="AV612" s="234"/>
      <c r="AW612" s="234"/>
      <c r="AX612" s="234"/>
      <c r="AY612" s="234"/>
      <c r="AZ612" s="234"/>
      <c r="BA612" s="234"/>
      <c r="BB612" s="234"/>
      <c r="BC612" s="234"/>
      <c r="BD612" s="234"/>
      <c r="BE612" s="234"/>
      <c r="BF612" s="234"/>
      <c r="BG612" s="234"/>
      <c r="BH612" s="234"/>
    </row>
    <row r="613" spans="1:60" ht="24" customHeight="1" x14ac:dyDescent="0.25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  <c r="AB613" s="234"/>
      <c r="AC613" s="234"/>
      <c r="AD613" s="234"/>
      <c r="AE613" s="234"/>
      <c r="AF613" s="234"/>
      <c r="AG613" s="234"/>
      <c r="AH613" s="234"/>
      <c r="AI613" s="234"/>
      <c r="AJ613" s="234"/>
      <c r="AK613" s="234"/>
      <c r="AL613" s="234"/>
      <c r="AM613" s="234"/>
      <c r="AN613" s="201"/>
      <c r="AO613" s="234"/>
      <c r="AP613" s="234"/>
      <c r="AQ613" s="234"/>
      <c r="AR613" s="234"/>
      <c r="AS613" s="234"/>
      <c r="AT613" s="234"/>
      <c r="AU613" s="234"/>
      <c r="AV613" s="234"/>
      <c r="AW613" s="234"/>
      <c r="AX613" s="234"/>
      <c r="AY613" s="234"/>
      <c r="AZ613" s="234"/>
      <c r="BA613" s="234"/>
      <c r="BB613" s="234"/>
      <c r="BC613" s="234"/>
      <c r="BD613" s="234"/>
      <c r="BE613" s="234"/>
      <c r="BF613" s="234"/>
      <c r="BG613" s="234"/>
      <c r="BH613" s="234"/>
    </row>
    <row r="614" spans="1:60" ht="24" customHeight="1" x14ac:dyDescent="0.25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  <c r="AC614" s="234"/>
      <c r="AD614" s="234"/>
      <c r="AE614" s="234"/>
      <c r="AF614" s="234"/>
      <c r="AG614" s="234"/>
      <c r="AH614" s="234"/>
      <c r="AI614" s="234"/>
      <c r="AJ614" s="234"/>
      <c r="AK614" s="234"/>
      <c r="AL614" s="234"/>
      <c r="AM614" s="234"/>
      <c r="AN614" s="201"/>
      <c r="AO614" s="234"/>
      <c r="AP614" s="234"/>
      <c r="AQ614" s="234"/>
      <c r="AR614" s="234"/>
      <c r="AS614" s="234"/>
      <c r="AT614" s="234"/>
      <c r="AU614" s="234"/>
      <c r="AV614" s="234"/>
      <c r="AW614" s="234"/>
      <c r="AX614" s="234"/>
      <c r="AY614" s="234"/>
      <c r="AZ614" s="234"/>
      <c r="BA614" s="234"/>
      <c r="BB614" s="234"/>
      <c r="BC614" s="234"/>
      <c r="BD614" s="234"/>
      <c r="BE614" s="234"/>
      <c r="BF614" s="234"/>
      <c r="BG614" s="234"/>
      <c r="BH614" s="234"/>
    </row>
    <row r="615" spans="1:60" ht="24" customHeight="1" x14ac:dyDescent="0.2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  <c r="AC615" s="234"/>
      <c r="AD615" s="234"/>
      <c r="AE615" s="234"/>
      <c r="AF615" s="234"/>
      <c r="AG615" s="234"/>
      <c r="AH615" s="234"/>
      <c r="AI615" s="234"/>
      <c r="AJ615" s="234"/>
      <c r="AK615" s="234"/>
      <c r="AL615" s="234"/>
      <c r="AM615" s="234"/>
      <c r="AN615" s="201"/>
      <c r="AO615" s="234"/>
      <c r="AP615" s="234"/>
      <c r="AQ615" s="234"/>
      <c r="AR615" s="234"/>
      <c r="AS615" s="234"/>
      <c r="AT615" s="234"/>
      <c r="AU615" s="234"/>
      <c r="AV615" s="234"/>
      <c r="AW615" s="234"/>
      <c r="AX615" s="234"/>
      <c r="AY615" s="234"/>
      <c r="AZ615" s="234"/>
      <c r="BA615" s="234"/>
      <c r="BB615" s="234"/>
      <c r="BC615" s="234"/>
      <c r="BD615" s="234"/>
      <c r="BE615" s="234"/>
      <c r="BF615" s="234"/>
      <c r="BG615" s="234"/>
      <c r="BH615" s="234"/>
    </row>
    <row r="616" spans="1:60" ht="24" customHeight="1" x14ac:dyDescent="0.25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  <c r="AC616" s="234"/>
      <c r="AD616" s="234"/>
      <c r="AE616" s="234"/>
      <c r="AF616" s="234"/>
      <c r="AG616" s="234"/>
      <c r="AH616" s="234"/>
      <c r="AI616" s="234"/>
      <c r="AJ616" s="234"/>
      <c r="AK616" s="234"/>
      <c r="AL616" s="234"/>
      <c r="AM616" s="234"/>
      <c r="AN616" s="201"/>
      <c r="AO616" s="234"/>
      <c r="AP616" s="234"/>
      <c r="AQ616" s="234"/>
      <c r="AR616" s="234"/>
      <c r="AS616" s="234"/>
      <c r="AT616" s="234"/>
      <c r="AU616" s="234"/>
      <c r="AV616" s="234"/>
      <c r="AW616" s="234"/>
      <c r="AX616" s="234"/>
      <c r="AY616" s="234"/>
      <c r="AZ616" s="234"/>
      <c r="BA616" s="234"/>
      <c r="BB616" s="234"/>
      <c r="BC616" s="234"/>
      <c r="BD616" s="234"/>
      <c r="BE616" s="234"/>
      <c r="BF616" s="234"/>
      <c r="BG616" s="234"/>
      <c r="BH616" s="234"/>
    </row>
    <row r="617" spans="1:60" ht="24" customHeight="1" x14ac:dyDescent="0.25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  <c r="AB617" s="234"/>
      <c r="AC617" s="234"/>
      <c r="AD617" s="234"/>
      <c r="AE617" s="234"/>
      <c r="AF617" s="234"/>
      <c r="AG617" s="234"/>
      <c r="AH617" s="234"/>
      <c r="AI617" s="234"/>
      <c r="AJ617" s="234"/>
      <c r="AK617" s="234"/>
      <c r="AL617" s="234"/>
      <c r="AM617" s="234"/>
      <c r="AN617" s="201"/>
      <c r="AO617" s="234"/>
      <c r="AP617" s="234"/>
      <c r="AQ617" s="234"/>
      <c r="AR617" s="234"/>
      <c r="AS617" s="234"/>
      <c r="AT617" s="234"/>
      <c r="AU617" s="234"/>
      <c r="AV617" s="234"/>
      <c r="AW617" s="234"/>
      <c r="AX617" s="234"/>
      <c r="AY617" s="234"/>
      <c r="AZ617" s="234"/>
      <c r="BA617" s="234"/>
      <c r="BB617" s="234"/>
      <c r="BC617" s="234"/>
      <c r="BD617" s="234"/>
      <c r="BE617" s="234"/>
      <c r="BF617" s="234"/>
      <c r="BG617" s="234"/>
      <c r="BH617" s="234"/>
    </row>
    <row r="618" spans="1:60" ht="24" customHeight="1" x14ac:dyDescent="0.25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  <c r="AB618" s="234"/>
      <c r="AC618" s="234"/>
      <c r="AD618" s="234"/>
      <c r="AE618" s="234"/>
      <c r="AF618" s="234"/>
      <c r="AG618" s="234"/>
      <c r="AH618" s="234"/>
      <c r="AI618" s="234"/>
      <c r="AJ618" s="234"/>
      <c r="AK618" s="234"/>
      <c r="AL618" s="234"/>
      <c r="AM618" s="234"/>
      <c r="AN618" s="201"/>
      <c r="AO618" s="234"/>
      <c r="AP618" s="234"/>
      <c r="AQ618" s="234"/>
      <c r="AR618" s="234"/>
      <c r="AS618" s="234"/>
      <c r="AT618" s="234"/>
      <c r="AU618" s="234"/>
      <c r="AV618" s="234"/>
      <c r="AW618" s="234"/>
      <c r="AX618" s="234"/>
      <c r="AY618" s="234"/>
      <c r="AZ618" s="234"/>
      <c r="BA618" s="234"/>
      <c r="BB618" s="234"/>
      <c r="BC618" s="234"/>
      <c r="BD618" s="234"/>
      <c r="BE618" s="234"/>
      <c r="BF618" s="234"/>
      <c r="BG618" s="234"/>
      <c r="BH618" s="234"/>
    </row>
    <row r="619" spans="1:60" ht="24" customHeight="1" x14ac:dyDescent="0.25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  <c r="AC619" s="234"/>
      <c r="AD619" s="234"/>
      <c r="AE619" s="234"/>
      <c r="AF619" s="234"/>
      <c r="AG619" s="234"/>
      <c r="AH619" s="234"/>
      <c r="AI619" s="234"/>
      <c r="AJ619" s="234"/>
      <c r="AK619" s="234"/>
      <c r="AL619" s="234"/>
      <c r="AM619" s="234"/>
      <c r="AN619" s="201"/>
      <c r="AO619" s="234"/>
      <c r="AP619" s="234"/>
      <c r="AQ619" s="234"/>
      <c r="AR619" s="234"/>
      <c r="AS619" s="234"/>
      <c r="AT619" s="234"/>
      <c r="AU619" s="234"/>
      <c r="AV619" s="234"/>
      <c r="AW619" s="234"/>
      <c r="AX619" s="234"/>
      <c r="AY619" s="234"/>
      <c r="AZ619" s="234"/>
      <c r="BA619" s="234"/>
      <c r="BB619" s="234"/>
      <c r="BC619" s="234"/>
      <c r="BD619" s="234"/>
      <c r="BE619" s="234"/>
      <c r="BF619" s="234"/>
      <c r="BG619" s="234"/>
      <c r="BH619" s="234"/>
    </row>
    <row r="620" spans="1:60" ht="24" customHeight="1" x14ac:dyDescent="0.25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  <c r="AB620" s="234"/>
      <c r="AC620" s="234"/>
      <c r="AD620" s="234"/>
      <c r="AE620" s="234"/>
      <c r="AF620" s="234"/>
      <c r="AG620" s="234"/>
      <c r="AH620" s="234"/>
      <c r="AI620" s="234"/>
      <c r="AJ620" s="234"/>
      <c r="AK620" s="234"/>
      <c r="AL620" s="234"/>
      <c r="AM620" s="234"/>
      <c r="AN620" s="201"/>
      <c r="AO620" s="234"/>
      <c r="AP620" s="234"/>
      <c r="AQ620" s="234"/>
      <c r="AR620" s="234"/>
      <c r="AS620" s="234"/>
      <c r="AT620" s="234"/>
      <c r="AU620" s="234"/>
      <c r="AV620" s="234"/>
      <c r="AW620" s="234"/>
      <c r="AX620" s="234"/>
      <c r="AY620" s="234"/>
      <c r="AZ620" s="234"/>
      <c r="BA620" s="234"/>
      <c r="BB620" s="234"/>
      <c r="BC620" s="234"/>
      <c r="BD620" s="234"/>
      <c r="BE620" s="234"/>
      <c r="BF620" s="234"/>
      <c r="BG620" s="234"/>
      <c r="BH620" s="234"/>
    </row>
    <row r="621" spans="1:60" ht="24" customHeight="1" x14ac:dyDescent="0.25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  <c r="AB621" s="234"/>
      <c r="AC621" s="234"/>
      <c r="AD621" s="234"/>
      <c r="AE621" s="234"/>
      <c r="AF621" s="234"/>
      <c r="AG621" s="234"/>
      <c r="AH621" s="234"/>
      <c r="AI621" s="234"/>
      <c r="AJ621" s="234"/>
      <c r="AK621" s="234"/>
      <c r="AL621" s="234"/>
      <c r="AM621" s="234"/>
      <c r="AN621" s="201"/>
      <c r="AO621" s="234"/>
      <c r="AP621" s="234"/>
      <c r="AQ621" s="234"/>
      <c r="AR621" s="234"/>
      <c r="AS621" s="234"/>
      <c r="AT621" s="234"/>
      <c r="AU621" s="234"/>
      <c r="AV621" s="234"/>
      <c r="AW621" s="234"/>
      <c r="AX621" s="234"/>
      <c r="AY621" s="234"/>
      <c r="AZ621" s="234"/>
      <c r="BA621" s="234"/>
      <c r="BB621" s="234"/>
      <c r="BC621" s="234"/>
      <c r="BD621" s="234"/>
      <c r="BE621" s="234"/>
      <c r="BF621" s="234"/>
      <c r="BG621" s="234"/>
      <c r="BH621" s="234"/>
    </row>
    <row r="622" spans="1:60" ht="24" customHeight="1" x14ac:dyDescent="0.25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  <c r="AB622" s="234"/>
      <c r="AC622" s="234"/>
      <c r="AD622" s="234"/>
      <c r="AE622" s="234"/>
      <c r="AF622" s="234"/>
      <c r="AG622" s="234"/>
      <c r="AH622" s="234"/>
      <c r="AI622" s="234"/>
      <c r="AJ622" s="234"/>
      <c r="AK622" s="234"/>
      <c r="AL622" s="234"/>
      <c r="AM622" s="234"/>
      <c r="AN622" s="201"/>
      <c r="AO622" s="234"/>
      <c r="AP622" s="234"/>
      <c r="AQ622" s="234"/>
      <c r="AR622" s="234"/>
      <c r="AS622" s="234"/>
      <c r="AT622" s="234"/>
      <c r="AU622" s="234"/>
      <c r="AV622" s="234"/>
      <c r="AW622" s="234"/>
      <c r="AX622" s="234"/>
      <c r="AY622" s="234"/>
      <c r="AZ622" s="234"/>
      <c r="BA622" s="234"/>
      <c r="BB622" s="234"/>
      <c r="BC622" s="234"/>
      <c r="BD622" s="234"/>
      <c r="BE622" s="234"/>
      <c r="BF622" s="234"/>
      <c r="BG622" s="234"/>
      <c r="BH622" s="234"/>
    </row>
    <row r="623" spans="1:60" ht="24" customHeight="1" x14ac:dyDescent="0.25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  <c r="AB623" s="234"/>
      <c r="AC623" s="234"/>
      <c r="AD623" s="234"/>
      <c r="AE623" s="234"/>
      <c r="AF623" s="234"/>
      <c r="AG623" s="234"/>
      <c r="AH623" s="234"/>
      <c r="AI623" s="234"/>
      <c r="AJ623" s="234"/>
      <c r="AK623" s="234"/>
      <c r="AL623" s="234"/>
      <c r="AM623" s="234"/>
      <c r="AN623" s="201"/>
      <c r="AO623" s="234"/>
      <c r="AP623" s="234"/>
      <c r="AQ623" s="234"/>
      <c r="AR623" s="234"/>
      <c r="AS623" s="234"/>
      <c r="AT623" s="234"/>
      <c r="AU623" s="234"/>
      <c r="AV623" s="234"/>
      <c r="AW623" s="234"/>
      <c r="AX623" s="234"/>
      <c r="AY623" s="234"/>
      <c r="AZ623" s="234"/>
      <c r="BA623" s="234"/>
      <c r="BB623" s="234"/>
      <c r="BC623" s="234"/>
      <c r="BD623" s="234"/>
      <c r="BE623" s="234"/>
      <c r="BF623" s="234"/>
      <c r="BG623" s="234"/>
      <c r="BH623" s="234"/>
    </row>
    <row r="624" spans="1:60" ht="24" customHeight="1" x14ac:dyDescent="0.25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  <c r="AB624" s="234"/>
      <c r="AC624" s="234"/>
      <c r="AD624" s="234"/>
      <c r="AE624" s="234"/>
      <c r="AF624" s="234"/>
      <c r="AG624" s="234"/>
      <c r="AH624" s="234"/>
      <c r="AI624" s="234"/>
      <c r="AJ624" s="234"/>
      <c r="AK624" s="234"/>
      <c r="AL624" s="234"/>
      <c r="AM624" s="234"/>
      <c r="AN624" s="201"/>
      <c r="AO624" s="234"/>
      <c r="AP624" s="234"/>
      <c r="AQ624" s="234"/>
      <c r="AR624" s="234"/>
      <c r="AS624" s="234"/>
      <c r="AT624" s="234"/>
      <c r="AU624" s="234"/>
      <c r="AV624" s="234"/>
      <c r="AW624" s="234"/>
      <c r="AX624" s="234"/>
      <c r="AY624" s="234"/>
      <c r="AZ624" s="234"/>
      <c r="BA624" s="234"/>
      <c r="BB624" s="234"/>
      <c r="BC624" s="234"/>
      <c r="BD624" s="234"/>
      <c r="BE624" s="234"/>
      <c r="BF624" s="234"/>
      <c r="BG624" s="234"/>
      <c r="BH624" s="234"/>
    </row>
    <row r="625" spans="1:60" ht="24" customHeight="1" x14ac:dyDescent="0.2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  <c r="AB625" s="234"/>
      <c r="AC625" s="234"/>
      <c r="AD625" s="234"/>
      <c r="AE625" s="234"/>
      <c r="AF625" s="234"/>
      <c r="AG625" s="234"/>
      <c r="AH625" s="234"/>
      <c r="AI625" s="234"/>
      <c r="AJ625" s="234"/>
      <c r="AK625" s="234"/>
      <c r="AL625" s="234"/>
      <c r="AM625" s="234"/>
      <c r="AN625" s="201"/>
      <c r="AO625" s="234"/>
      <c r="AP625" s="234"/>
      <c r="AQ625" s="234"/>
      <c r="AR625" s="234"/>
      <c r="AS625" s="234"/>
      <c r="AT625" s="234"/>
      <c r="AU625" s="234"/>
      <c r="AV625" s="234"/>
      <c r="AW625" s="234"/>
      <c r="AX625" s="234"/>
      <c r="AY625" s="234"/>
      <c r="AZ625" s="234"/>
      <c r="BA625" s="234"/>
      <c r="BB625" s="234"/>
      <c r="BC625" s="234"/>
      <c r="BD625" s="234"/>
      <c r="BE625" s="234"/>
      <c r="BF625" s="234"/>
      <c r="BG625" s="234"/>
      <c r="BH625" s="234"/>
    </row>
    <row r="626" spans="1:60" ht="24" customHeight="1" x14ac:dyDescent="0.25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  <c r="AB626" s="234"/>
      <c r="AC626" s="234"/>
      <c r="AD626" s="234"/>
      <c r="AE626" s="234"/>
      <c r="AF626" s="234"/>
      <c r="AG626" s="234"/>
      <c r="AH626" s="234"/>
      <c r="AI626" s="234"/>
      <c r="AJ626" s="234"/>
      <c r="AK626" s="234"/>
      <c r="AL626" s="234"/>
      <c r="AM626" s="234"/>
      <c r="AN626" s="201"/>
      <c r="AO626" s="234"/>
      <c r="AP626" s="234"/>
      <c r="AQ626" s="234"/>
      <c r="AR626" s="234"/>
      <c r="AS626" s="234"/>
      <c r="AT626" s="234"/>
      <c r="AU626" s="234"/>
      <c r="AV626" s="234"/>
      <c r="AW626" s="234"/>
      <c r="AX626" s="234"/>
      <c r="AY626" s="234"/>
      <c r="AZ626" s="234"/>
      <c r="BA626" s="234"/>
      <c r="BB626" s="234"/>
      <c r="BC626" s="234"/>
      <c r="BD626" s="234"/>
      <c r="BE626" s="234"/>
      <c r="BF626" s="234"/>
      <c r="BG626" s="234"/>
      <c r="BH626" s="234"/>
    </row>
    <row r="627" spans="1:60" ht="24" customHeight="1" x14ac:dyDescent="0.25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  <c r="AB627" s="234"/>
      <c r="AC627" s="234"/>
      <c r="AD627" s="234"/>
      <c r="AE627" s="234"/>
      <c r="AF627" s="234"/>
      <c r="AG627" s="234"/>
      <c r="AH627" s="234"/>
      <c r="AI627" s="234"/>
      <c r="AJ627" s="234"/>
      <c r="AK627" s="234"/>
      <c r="AL627" s="234"/>
      <c r="AM627" s="234"/>
      <c r="AN627" s="201"/>
      <c r="AO627" s="234"/>
      <c r="AP627" s="234"/>
      <c r="AQ627" s="234"/>
      <c r="AR627" s="234"/>
      <c r="AS627" s="234"/>
      <c r="AT627" s="234"/>
      <c r="AU627" s="234"/>
      <c r="AV627" s="234"/>
      <c r="AW627" s="234"/>
      <c r="AX627" s="234"/>
      <c r="AY627" s="234"/>
      <c r="AZ627" s="234"/>
      <c r="BA627" s="234"/>
      <c r="BB627" s="234"/>
      <c r="BC627" s="234"/>
      <c r="BD627" s="234"/>
      <c r="BE627" s="234"/>
      <c r="BF627" s="234"/>
      <c r="BG627" s="234"/>
      <c r="BH627" s="234"/>
    </row>
    <row r="628" spans="1:60" ht="24" customHeight="1" x14ac:dyDescent="0.25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  <c r="AB628" s="234"/>
      <c r="AC628" s="234"/>
      <c r="AD628" s="234"/>
      <c r="AE628" s="234"/>
      <c r="AF628" s="234"/>
      <c r="AG628" s="234"/>
      <c r="AH628" s="234"/>
      <c r="AI628" s="234"/>
      <c r="AJ628" s="234"/>
      <c r="AK628" s="234"/>
      <c r="AL628" s="234"/>
      <c r="AM628" s="234"/>
      <c r="AN628" s="201"/>
      <c r="AO628" s="234"/>
      <c r="AP628" s="234"/>
      <c r="AQ628" s="234"/>
      <c r="AR628" s="234"/>
      <c r="AS628" s="234"/>
      <c r="AT628" s="234"/>
      <c r="AU628" s="234"/>
      <c r="AV628" s="234"/>
      <c r="AW628" s="234"/>
      <c r="AX628" s="234"/>
      <c r="AY628" s="234"/>
      <c r="AZ628" s="234"/>
      <c r="BA628" s="234"/>
      <c r="BB628" s="234"/>
      <c r="BC628" s="234"/>
      <c r="BD628" s="234"/>
      <c r="BE628" s="234"/>
      <c r="BF628" s="234"/>
      <c r="BG628" s="234"/>
      <c r="BH628" s="234"/>
    </row>
    <row r="629" spans="1:60" ht="24" customHeight="1" x14ac:dyDescent="0.25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  <c r="AB629" s="234"/>
      <c r="AC629" s="234"/>
      <c r="AD629" s="234"/>
      <c r="AE629" s="234"/>
      <c r="AF629" s="234"/>
      <c r="AG629" s="234"/>
      <c r="AH629" s="234"/>
      <c r="AI629" s="234"/>
      <c r="AJ629" s="234"/>
      <c r="AK629" s="234"/>
      <c r="AL629" s="234"/>
      <c r="AM629" s="234"/>
      <c r="AN629" s="201"/>
      <c r="AO629" s="234"/>
      <c r="AP629" s="234"/>
      <c r="AQ629" s="234"/>
      <c r="AR629" s="234"/>
      <c r="AS629" s="234"/>
      <c r="AT629" s="234"/>
      <c r="AU629" s="234"/>
      <c r="AV629" s="234"/>
      <c r="AW629" s="234"/>
      <c r="AX629" s="234"/>
      <c r="AY629" s="234"/>
      <c r="AZ629" s="234"/>
      <c r="BA629" s="234"/>
      <c r="BB629" s="234"/>
      <c r="BC629" s="234"/>
      <c r="BD629" s="234"/>
      <c r="BE629" s="234"/>
      <c r="BF629" s="234"/>
      <c r="BG629" s="234"/>
      <c r="BH629" s="234"/>
    </row>
    <row r="630" spans="1:60" ht="24" customHeight="1" x14ac:dyDescent="0.25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  <c r="AB630" s="234"/>
      <c r="AC630" s="234"/>
      <c r="AD630" s="234"/>
      <c r="AE630" s="234"/>
      <c r="AF630" s="234"/>
      <c r="AG630" s="234"/>
      <c r="AH630" s="234"/>
      <c r="AI630" s="234"/>
      <c r="AJ630" s="234"/>
      <c r="AK630" s="234"/>
      <c r="AL630" s="234"/>
      <c r="AM630" s="234"/>
      <c r="AN630" s="201"/>
      <c r="AO630" s="234"/>
      <c r="AP630" s="234"/>
      <c r="AQ630" s="234"/>
      <c r="AR630" s="234"/>
      <c r="AS630" s="234"/>
      <c r="AT630" s="234"/>
      <c r="AU630" s="234"/>
      <c r="AV630" s="234"/>
      <c r="AW630" s="234"/>
      <c r="AX630" s="234"/>
      <c r="AY630" s="234"/>
      <c r="AZ630" s="234"/>
      <c r="BA630" s="234"/>
      <c r="BB630" s="234"/>
      <c r="BC630" s="234"/>
      <c r="BD630" s="234"/>
      <c r="BE630" s="234"/>
      <c r="BF630" s="234"/>
      <c r="BG630" s="234"/>
      <c r="BH630" s="234"/>
    </row>
    <row r="631" spans="1:60" ht="24" customHeight="1" x14ac:dyDescent="0.25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  <c r="AB631" s="234"/>
      <c r="AC631" s="234"/>
      <c r="AD631" s="234"/>
      <c r="AE631" s="234"/>
      <c r="AF631" s="234"/>
      <c r="AG631" s="234"/>
      <c r="AH631" s="234"/>
      <c r="AI631" s="234"/>
      <c r="AJ631" s="234"/>
      <c r="AK631" s="234"/>
      <c r="AL631" s="234"/>
      <c r="AM631" s="234"/>
      <c r="AN631" s="201"/>
      <c r="AO631" s="234"/>
      <c r="AP631" s="234"/>
      <c r="AQ631" s="234"/>
      <c r="AR631" s="234"/>
      <c r="AS631" s="234"/>
      <c r="AT631" s="234"/>
      <c r="AU631" s="234"/>
      <c r="AV631" s="234"/>
      <c r="AW631" s="234"/>
      <c r="AX631" s="234"/>
      <c r="AY631" s="234"/>
      <c r="AZ631" s="234"/>
      <c r="BA631" s="234"/>
      <c r="BB631" s="234"/>
      <c r="BC631" s="234"/>
      <c r="BD631" s="234"/>
      <c r="BE631" s="234"/>
      <c r="BF631" s="234"/>
      <c r="BG631" s="234"/>
      <c r="BH631" s="234"/>
    </row>
    <row r="632" spans="1:60" ht="24" customHeight="1" x14ac:dyDescent="0.25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  <c r="AB632" s="234"/>
      <c r="AC632" s="234"/>
      <c r="AD632" s="234"/>
      <c r="AE632" s="234"/>
      <c r="AF632" s="234"/>
      <c r="AG632" s="234"/>
      <c r="AH632" s="234"/>
      <c r="AI632" s="234"/>
      <c r="AJ632" s="234"/>
      <c r="AK632" s="234"/>
      <c r="AL632" s="234"/>
      <c r="AM632" s="234"/>
      <c r="AN632" s="201"/>
      <c r="AO632" s="234"/>
      <c r="AP632" s="234"/>
      <c r="AQ632" s="234"/>
      <c r="AR632" s="234"/>
      <c r="AS632" s="234"/>
      <c r="AT632" s="234"/>
      <c r="AU632" s="234"/>
      <c r="AV632" s="234"/>
      <c r="AW632" s="234"/>
      <c r="AX632" s="234"/>
      <c r="AY632" s="234"/>
      <c r="AZ632" s="234"/>
      <c r="BA632" s="234"/>
      <c r="BB632" s="234"/>
      <c r="BC632" s="234"/>
      <c r="BD632" s="234"/>
      <c r="BE632" s="234"/>
      <c r="BF632" s="234"/>
      <c r="BG632" s="234"/>
      <c r="BH632" s="234"/>
    </row>
    <row r="633" spans="1:60" ht="24" customHeight="1" x14ac:dyDescent="0.25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  <c r="AB633" s="234"/>
      <c r="AC633" s="234"/>
      <c r="AD633" s="234"/>
      <c r="AE633" s="234"/>
      <c r="AF633" s="234"/>
      <c r="AG633" s="234"/>
      <c r="AH633" s="234"/>
      <c r="AI633" s="234"/>
      <c r="AJ633" s="234"/>
      <c r="AK633" s="234"/>
      <c r="AL633" s="234"/>
      <c r="AM633" s="234"/>
      <c r="AN633" s="201"/>
      <c r="AO633" s="234"/>
      <c r="AP633" s="234"/>
      <c r="AQ633" s="234"/>
      <c r="AR633" s="234"/>
      <c r="AS633" s="234"/>
      <c r="AT633" s="234"/>
      <c r="AU633" s="234"/>
      <c r="AV633" s="234"/>
      <c r="AW633" s="234"/>
      <c r="AX633" s="234"/>
      <c r="AY633" s="234"/>
      <c r="AZ633" s="234"/>
      <c r="BA633" s="234"/>
      <c r="BB633" s="234"/>
      <c r="BC633" s="234"/>
      <c r="BD633" s="234"/>
      <c r="BE633" s="234"/>
      <c r="BF633" s="234"/>
      <c r="BG633" s="234"/>
      <c r="BH633" s="234"/>
    </row>
    <row r="634" spans="1:60" ht="24" customHeight="1" x14ac:dyDescent="0.25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  <c r="AB634" s="234"/>
      <c r="AC634" s="234"/>
      <c r="AD634" s="234"/>
      <c r="AE634" s="234"/>
      <c r="AF634" s="234"/>
      <c r="AG634" s="234"/>
      <c r="AH634" s="234"/>
      <c r="AI634" s="234"/>
      <c r="AJ634" s="234"/>
      <c r="AK634" s="234"/>
      <c r="AL634" s="234"/>
      <c r="AM634" s="234"/>
      <c r="AN634" s="201"/>
      <c r="AO634" s="234"/>
      <c r="AP634" s="234"/>
      <c r="AQ634" s="234"/>
      <c r="AR634" s="234"/>
      <c r="AS634" s="234"/>
      <c r="AT634" s="234"/>
      <c r="AU634" s="234"/>
      <c r="AV634" s="234"/>
      <c r="AW634" s="234"/>
      <c r="AX634" s="234"/>
      <c r="AY634" s="234"/>
      <c r="AZ634" s="234"/>
      <c r="BA634" s="234"/>
      <c r="BB634" s="234"/>
      <c r="BC634" s="234"/>
      <c r="BD634" s="234"/>
      <c r="BE634" s="234"/>
      <c r="BF634" s="234"/>
      <c r="BG634" s="234"/>
      <c r="BH634" s="234"/>
    </row>
    <row r="635" spans="1:60" ht="24" customHeight="1" x14ac:dyDescent="0.2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  <c r="AB635" s="234"/>
      <c r="AC635" s="234"/>
      <c r="AD635" s="234"/>
      <c r="AE635" s="234"/>
      <c r="AF635" s="234"/>
      <c r="AG635" s="234"/>
      <c r="AH635" s="234"/>
      <c r="AI635" s="234"/>
      <c r="AJ635" s="234"/>
      <c r="AK635" s="234"/>
      <c r="AL635" s="234"/>
      <c r="AM635" s="234"/>
      <c r="AN635" s="201"/>
      <c r="AO635" s="234"/>
      <c r="AP635" s="234"/>
      <c r="AQ635" s="234"/>
      <c r="AR635" s="234"/>
      <c r="AS635" s="234"/>
      <c r="AT635" s="234"/>
      <c r="AU635" s="234"/>
      <c r="AV635" s="234"/>
      <c r="AW635" s="234"/>
      <c r="AX635" s="234"/>
      <c r="AY635" s="234"/>
      <c r="AZ635" s="234"/>
      <c r="BA635" s="234"/>
      <c r="BB635" s="234"/>
      <c r="BC635" s="234"/>
      <c r="BD635" s="234"/>
      <c r="BE635" s="234"/>
      <c r="BF635" s="234"/>
      <c r="BG635" s="234"/>
      <c r="BH635" s="234"/>
    </row>
    <row r="636" spans="1:60" ht="24" customHeight="1" x14ac:dyDescent="0.25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  <c r="AB636" s="234"/>
      <c r="AC636" s="234"/>
      <c r="AD636" s="234"/>
      <c r="AE636" s="234"/>
      <c r="AF636" s="234"/>
      <c r="AG636" s="234"/>
      <c r="AH636" s="234"/>
      <c r="AI636" s="234"/>
      <c r="AJ636" s="234"/>
      <c r="AK636" s="234"/>
      <c r="AL636" s="234"/>
      <c r="AM636" s="234"/>
      <c r="AN636" s="201"/>
      <c r="AO636" s="234"/>
      <c r="AP636" s="234"/>
      <c r="AQ636" s="234"/>
      <c r="AR636" s="234"/>
      <c r="AS636" s="234"/>
      <c r="AT636" s="234"/>
      <c r="AU636" s="234"/>
      <c r="AV636" s="234"/>
      <c r="AW636" s="234"/>
      <c r="AX636" s="234"/>
      <c r="AY636" s="234"/>
      <c r="AZ636" s="234"/>
      <c r="BA636" s="234"/>
      <c r="BB636" s="234"/>
      <c r="BC636" s="234"/>
      <c r="BD636" s="234"/>
      <c r="BE636" s="234"/>
      <c r="BF636" s="234"/>
      <c r="BG636" s="234"/>
      <c r="BH636" s="234"/>
    </row>
    <row r="637" spans="1:60" ht="24" customHeight="1" x14ac:dyDescent="0.25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  <c r="AB637" s="234"/>
      <c r="AC637" s="234"/>
      <c r="AD637" s="234"/>
      <c r="AE637" s="234"/>
      <c r="AF637" s="234"/>
      <c r="AG637" s="234"/>
      <c r="AH637" s="234"/>
      <c r="AI637" s="234"/>
      <c r="AJ637" s="234"/>
      <c r="AK637" s="234"/>
      <c r="AL637" s="234"/>
      <c r="AM637" s="234"/>
      <c r="AN637" s="201"/>
      <c r="AO637" s="234"/>
      <c r="AP637" s="234"/>
      <c r="AQ637" s="234"/>
      <c r="AR637" s="234"/>
      <c r="AS637" s="234"/>
      <c r="AT637" s="234"/>
      <c r="AU637" s="234"/>
      <c r="AV637" s="234"/>
      <c r="AW637" s="234"/>
      <c r="AX637" s="234"/>
      <c r="AY637" s="234"/>
      <c r="AZ637" s="234"/>
      <c r="BA637" s="234"/>
      <c r="BB637" s="234"/>
      <c r="BC637" s="234"/>
      <c r="BD637" s="234"/>
      <c r="BE637" s="234"/>
      <c r="BF637" s="234"/>
      <c r="BG637" s="234"/>
      <c r="BH637" s="234"/>
    </row>
    <row r="638" spans="1:60" ht="24" customHeight="1" x14ac:dyDescent="0.25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  <c r="AB638" s="234"/>
      <c r="AC638" s="234"/>
      <c r="AD638" s="234"/>
      <c r="AE638" s="234"/>
      <c r="AF638" s="234"/>
      <c r="AG638" s="234"/>
      <c r="AH638" s="234"/>
      <c r="AI638" s="234"/>
      <c r="AJ638" s="234"/>
      <c r="AK638" s="234"/>
      <c r="AL638" s="234"/>
      <c r="AM638" s="234"/>
      <c r="AN638" s="201"/>
      <c r="AO638" s="234"/>
      <c r="AP638" s="234"/>
      <c r="AQ638" s="234"/>
      <c r="AR638" s="234"/>
      <c r="AS638" s="234"/>
      <c r="AT638" s="234"/>
      <c r="AU638" s="234"/>
      <c r="AV638" s="234"/>
      <c r="AW638" s="234"/>
      <c r="AX638" s="234"/>
      <c r="AY638" s="234"/>
      <c r="AZ638" s="234"/>
      <c r="BA638" s="234"/>
      <c r="BB638" s="234"/>
      <c r="BC638" s="234"/>
      <c r="BD638" s="234"/>
      <c r="BE638" s="234"/>
      <c r="BF638" s="234"/>
      <c r="BG638" s="234"/>
      <c r="BH638" s="234"/>
    </row>
    <row r="639" spans="1:60" ht="24" customHeight="1" x14ac:dyDescent="0.25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  <c r="AB639" s="234"/>
      <c r="AC639" s="234"/>
      <c r="AD639" s="234"/>
      <c r="AE639" s="234"/>
      <c r="AF639" s="234"/>
      <c r="AG639" s="234"/>
      <c r="AH639" s="234"/>
      <c r="AI639" s="234"/>
      <c r="AJ639" s="234"/>
      <c r="AK639" s="234"/>
      <c r="AL639" s="234"/>
      <c r="AM639" s="234"/>
      <c r="AN639" s="201"/>
      <c r="AO639" s="234"/>
      <c r="AP639" s="234"/>
      <c r="AQ639" s="234"/>
      <c r="AR639" s="234"/>
      <c r="AS639" s="234"/>
      <c r="AT639" s="234"/>
      <c r="AU639" s="234"/>
      <c r="AV639" s="234"/>
      <c r="AW639" s="234"/>
      <c r="AX639" s="234"/>
      <c r="AY639" s="234"/>
      <c r="AZ639" s="234"/>
      <c r="BA639" s="234"/>
      <c r="BB639" s="234"/>
      <c r="BC639" s="234"/>
      <c r="BD639" s="234"/>
      <c r="BE639" s="234"/>
      <c r="BF639" s="234"/>
      <c r="BG639" s="234"/>
      <c r="BH639" s="234"/>
    </row>
    <row r="640" spans="1:60" ht="24" customHeight="1" x14ac:dyDescent="0.25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  <c r="AB640" s="234"/>
      <c r="AC640" s="234"/>
      <c r="AD640" s="234"/>
      <c r="AE640" s="234"/>
      <c r="AF640" s="234"/>
      <c r="AG640" s="234"/>
      <c r="AH640" s="234"/>
      <c r="AI640" s="234"/>
      <c r="AJ640" s="234"/>
      <c r="AK640" s="234"/>
      <c r="AL640" s="234"/>
      <c r="AM640" s="234"/>
      <c r="AN640" s="201"/>
      <c r="AO640" s="234"/>
      <c r="AP640" s="234"/>
      <c r="AQ640" s="234"/>
      <c r="AR640" s="234"/>
      <c r="AS640" s="234"/>
      <c r="AT640" s="234"/>
      <c r="AU640" s="234"/>
      <c r="AV640" s="234"/>
      <c r="AW640" s="234"/>
      <c r="AX640" s="234"/>
      <c r="AY640" s="234"/>
      <c r="AZ640" s="234"/>
      <c r="BA640" s="234"/>
      <c r="BB640" s="234"/>
      <c r="BC640" s="234"/>
      <c r="BD640" s="234"/>
      <c r="BE640" s="234"/>
      <c r="BF640" s="234"/>
      <c r="BG640" s="234"/>
      <c r="BH640" s="234"/>
    </row>
    <row r="641" spans="1:60" ht="24" customHeight="1" x14ac:dyDescent="0.25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  <c r="AB641" s="234"/>
      <c r="AC641" s="234"/>
      <c r="AD641" s="234"/>
      <c r="AE641" s="234"/>
      <c r="AF641" s="234"/>
      <c r="AG641" s="234"/>
      <c r="AH641" s="234"/>
      <c r="AI641" s="234"/>
      <c r="AJ641" s="234"/>
      <c r="AK641" s="234"/>
      <c r="AL641" s="234"/>
      <c r="AM641" s="234"/>
      <c r="AN641" s="201"/>
      <c r="AO641" s="234"/>
      <c r="AP641" s="234"/>
      <c r="AQ641" s="234"/>
      <c r="AR641" s="234"/>
      <c r="AS641" s="234"/>
      <c r="AT641" s="234"/>
      <c r="AU641" s="234"/>
      <c r="AV641" s="234"/>
      <c r="AW641" s="234"/>
      <c r="AX641" s="234"/>
      <c r="AY641" s="234"/>
      <c r="AZ641" s="234"/>
      <c r="BA641" s="234"/>
      <c r="BB641" s="234"/>
      <c r="BC641" s="234"/>
      <c r="BD641" s="234"/>
      <c r="BE641" s="234"/>
      <c r="BF641" s="234"/>
      <c r="BG641" s="234"/>
      <c r="BH641" s="234"/>
    </row>
    <row r="642" spans="1:60" ht="24" customHeight="1" x14ac:dyDescent="0.25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  <c r="AB642" s="234"/>
      <c r="AC642" s="234"/>
      <c r="AD642" s="234"/>
      <c r="AE642" s="234"/>
      <c r="AF642" s="234"/>
      <c r="AG642" s="234"/>
      <c r="AH642" s="234"/>
      <c r="AI642" s="234"/>
      <c r="AJ642" s="234"/>
      <c r="AK642" s="234"/>
      <c r="AL642" s="234"/>
      <c r="AM642" s="234"/>
      <c r="AN642" s="201"/>
      <c r="AO642" s="234"/>
      <c r="AP642" s="234"/>
      <c r="AQ642" s="234"/>
      <c r="AR642" s="234"/>
      <c r="AS642" s="234"/>
      <c r="AT642" s="234"/>
      <c r="AU642" s="234"/>
      <c r="AV642" s="234"/>
      <c r="AW642" s="234"/>
      <c r="AX642" s="234"/>
      <c r="AY642" s="234"/>
      <c r="AZ642" s="234"/>
      <c r="BA642" s="234"/>
      <c r="BB642" s="234"/>
      <c r="BC642" s="234"/>
      <c r="BD642" s="234"/>
      <c r="BE642" s="234"/>
      <c r="BF642" s="234"/>
      <c r="BG642" s="234"/>
      <c r="BH642" s="234"/>
    </row>
    <row r="643" spans="1:60" ht="24" customHeight="1" x14ac:dyDescent="0.25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  <c r="AB643" s="234"/>
      <c r="AC643" s="234"/>
      <c r="AD643" s="234"/>
      <c r="AE643" s="234"/>
      <c r="AF643" s="234"/>
      <c r="AG643" s="234"/>
      <c r="AH643" s="234"/>
      <c r="AI643" s="234"/>
      <c r="AJ643" s="234"/>
      <c r="AK643" s="234"/>
      <c r="AL643" s="234"/>
      <c r="AM643" s="234"/>
      <c r="AN643" s="201"/>
      <c r="AO643" s="234"/>
      <c r="AP643" s="234"/>
      <c r="AQ643" s="234"/>
      <c r="AR643" s="234"/>
      <c r="AS643" s="234"/>
      <c r="AT643" s="234"/>
      <c r="AU643" s="234"/>
      <c r="AV643" s="234"/>
      <c r="AW643" s="234"/>
      <c r="AX643" s="234"/>
      <c r="AY643" s="234"/>
      <c r="AZ643" s="234"/>
      <c r="BA643" s="234"/>
      <c r="BB643" s="234"/>
      <c r="BC643" s="234"/>
      <c r="BD643" s="234"/>
      <c r="BE643" s="234"/>
      <c r="BF643" s="234"/>
      <c r="BG643" s="234"/>
      <c r="BH643" s="234"/>
    </row>
    <row r="644" spans="1:60" ht="24" customHeight="1" x14ac:dyDescent="0.25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  <c r="AB644" s="234"/>
      <c r="AC644" s="234"/>
      <c r="AD644" s="234"/>
      <c r="AE644" s="234"/>
      <c r="AF644" s="234"/>
      <c r="AG644" s="234"/>
      <c r="AH644" s="234"/>
      <c r="AI644" s="234"/>
      <c r="AJ644" s="234"/>
      <c r="AK644" s="234"/>
      <c r="AL644" s="234"/>
      <c r="AM644" s="234"/>
      <c r="AN644" s="201"/>
      <c r="AO644" s="234"/>
      <c r="AP644" s="234"/>
      <c r="AQ644" s="234"/>
      <c r="AR644" s="234"/>
      <c r="AS644" s="234"/>
      <c r="AT644" s="234"/>
      <c r="AU644" s="234"/>
      <c r="AV644" s="234"/>
      <c r="AW644" s="234"/>
      <c r="AX644" s="234"/>
      <c r="AY644" s="234"/>
      <c r="AZ644" s="234"/>
      <c r="BA644" s="234"/>
      <c r="BB644" s="234"/>
      <c r="BC644" s="234"/>
      <c r="BD644" s="234"/>
      <c r="BE644" s="234"/>
      <c r="BF644" s="234"/>
      <c r="BG644" s="234"/>
      <c r="BH644" s="234"/>
    </row>
    <row r="645" spans="1:60" ht="24" customHeight="1" x14ac:dyDescent="0.2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  <c r="AB645" s="234"/>
      <c r="AC645" s="234"/>
      <c r="AD645" s="234"/>
      <c r="AE645" s="234"/>
      <c r="AF645" s="234"/>
      <c r="AG645" s="234"/>
      <c r="AH645" s="234"/>
      <c r="AI645" s="234"/>
      <c r="AJ645" s="234"/>
      <c r="AK645" s="234"/>
      <c r="AL645" s="234"/>
      <c r="AM645" s="234"/>
      <c r="AN645" s="201"/>
      <c r="AO645" s="234"/>
      <c r="AP645" s="234"/>
      <c r="AQ645" s="234"/>
      <c r="AR645" s="234"/>
      <c r="AS645" s="234"/>
      <c r="AT645" s="234"/>
      <c r="AU645" s="234"/>
      <c r="AV645" s="234"/>
      <c r="AW645" s="234"/>
      <c r="AX645" s="234"/>
      <c r="AY645" s="234"/>
      <c r="AZ645" s="234"/>
      <c r="BA645" s="234"/>
      <c r="BB645" s="234"/>
      <c r="BC645" s="234"/>
      <c r="BD645" s="234"/>
      <c r="BE645" s="234"/>
      <c r="BF645" s="234"/>
      <c r="BG645" s="234"/>
      <c r="BH645" s="234"/>
    </row>
    <row r="646" spans="1:60" ht="24" customHeight="1" x14ac:dyDescent="0.25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  <c r="AB646" s="234"/>
      <c r="AC646" s="234"/>
      <c r="AD646" s="234"/>
      <c r="AE646" s="234"/>
      <c r="AF646" s="234"/>
      <c r="AG646" s="234"/>
      <c r="AH646" s="234"/>
      <c r="AI646" s="234"/>
      <c r="AJ646" s="234"/>
      <c r="AK646" s="234"/>
      <c r="AL646" s="234"/>
      <c r="AM646" s="234"/>
      <c r="AN646" s="201"/>
      <c r="AO646" s="234"/>
      <c r="AP646" s="234"/>
      <c r="AQ646" s="234"/>
      <c r="AR646" s="234"/>
      <c r="AS646" s="234"/>
      <c r="AT646" s="234"/>
      <c r="AU646" s="234"/>
      <c r="AV646" s="234"/>
      <c r="AW646" s="234"/>
      <c r="AX646" s="234"/>
      <c r="AY646" s="234"/>
      <c r="AZ646" s="234"/>
      <c r="BA646" s="234"/>
      <c r="BB646" s="234"/>
      <c r="BC646" s="234"/>
      <c r="BD646" s="234"/>
      <c r="BE646" s="234"/>
      <c r="BF646" s="234"/>
      <c r="BG646" s="234"/>
      <c r="BH646" s="234"/>
    </row>
    <row r="647" spans="1:60" ht="24" customHeight="1" x14ac:dyDescent="0.25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  <c r="AB647" s="234"/>
      <c r="AC647" s="234"/>
      <c r="AD647" s="234"/>
      <c r="AE647" s="234"/>
      <c r="AF647" s="234"/>
      <c r="AG647" s="234"/>
      <c r="AH647" s="234"/>
      <c r="AI647" s="234"/>
      <c r="AJ647" s="234"/>
      <c r="AK647" s="234"/>
      <c r="AL647" s="234"/>
      <c r="AM647" s="234"/>
      <c r="AN647" s="201"/>
      <c r="AO647" s="234"/>
      <c r="AP647" s="234"/>
      <c r="AQ647" s="234"/>
      <c r="AR647" s="234"/>
      <c r="AS647" s="234"/>
      <c r="AT647" s="234"/>
      <c r="AU647" s="234"/>
      <c r="AV647" s="234"/>
      <c r="AW647" s="234"/>
      <c r="AX647" s="234"/>
      <c r="AY647" s="234"/>
      <c r="AZ647" s="234"/>
      <c r="BA647" s="234"/>
      <c r="BB647" s="234"/>
      <c r="BC647" s="234"/>
      <c r="BD647" s="234"/>
      <c r="BE647" s="234"/>
      <c r="BF647" s="234"/>
      <c r="BG647" s="234"/>
      <c r="BH647" s="234"/>
    </row>
    <row r="648" spans="1:60" ht="24" customHeight="1" x14ac:dyDescent="0.25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  <c r="AB648" s="234"/>
      <c r="AC648" s="234"/>
      <c r="AD648" s="234"/>
      <c r="AE648" s="234"/>
      <c r="AF648" s="234"/>
      <c r="AG648" s="234"/>
      <c r="AH648" s="234"/>
      <c r="AI648" s="234"/>
      <c r="AJ648" s="234"/>
      <c r="AK648" s="234"/>
      <c r="AL648" s="234"/>
      <c r="AM648" s="234"/>
      <c r="AN648" s="201"/>
      <c r="AO648" s="234"/>
      <c r="AP648" s="234"/>
      <c r="AQ648" s="234"/>
      <c r="AR648" s="234"/>
      <c r="AS648" s="234"/>
      <c r="AT648" s="234"/>
      <c r="AU648" s="234"/>
      <c r="AV648" s="234"/>
      <c r="AW648" s="234"/>
      <c r="AX648" s="234"/>
      <c r="AY648" s="234"/>
      <c r="AZ648" s="234"/>
      <c r="BA648" s="234"/>
      <c r="BB648" s="234"/>
      <c r="BC648" s="234"/>
      <c r="BD648" s="234"/>
      <c r="BE648" s="234"/>
      <c r="BF648" s="234"/>
      <c r="BG648" s="234"/>
      <c r="BH648" s="234"/>
    </row>
    <row r="649" spans="1:60" ht="24" customHeight="1" x14ac:dyDescent="0.25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  <c r="AB649" s="234"/>
      <c r="AC649" s="234"/>
      <c r="AD649" s="234"/>
      <c r="AE649" s="234"/>
      <c r="AF649" s="234"/>
      <c r="AG649" s="234"/>
      <c r="AH649" s="234"/>
      <c r="AI649" s="234"/>
      <c r="AJ649" s="234"/>
      <c r="AK649" s="234"/>
      <c r="AL649" s="234"/>
      <c r="AM649" s="234"/>
      <c r="AN649" s="201"/>
      <c r="AO649" s="234"/>
      <c r="AP649" s="234"/>
      <c r="AQ649" s="234"/>
      <c r="AR649" s="234"/>
      <c r="AS649" s="234"/>
      <c r="AT649" s="234"/>
      <c r="AU649" s="234"/>
      <c r="AV649" s="234"/>
      <c r="AW649" s="234"/>
      <c r="AX649" s="234"/>
      <c r="AY649" s="234"/>
      <c r="AZ649" s="234"/>
      <c r="BA649" s="234"/>
      <c r="BB649" s="234"/>
      <c r="BC649" s="234"/>
      <c r="BD649" s="234"/>
      <c r="BE649" s="234"/>
      <c r="BF649" s="234"/>
      <c r="BG649" s="234"/>
      <c r="BH649" s="234"/>
    </row>
    <row r="650" spans="1:60" ht="24" customHeight="1" x14ac:dyDescent="0.25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  <c r="AB650" s="234"/>
      <c r="AC650" s="234"/>
      <c r="AD650" s="234"/>
      <c r="AE650" s="234"/>
      <c r="AF650" s="234"/>
      <c r="AG650" s="234"/>
      <c r="AH650" s="234"/>
      <c r="AI650" s="234"/>
      <c r="AJ650" s="234"/>
      <c r="AK650" s="234"/>
      <c r="AL650" s="234"/>
      <c r="AM650" s="234"/>
      <c r="AN650" s="201"/>
      <c r="AO650" s="234"/>
      <c r="AP650" s="234"/>
      <c r="AQ650" s="234"/>
      <c r="AR650" s="234"/>
      <c r="AS650" s="234"/>
      <c r="AT650" s="234"/>
      <c r="AU650" s="234"/>
      <c r="AV650" s="234"/>
      <c r="AW650" s="234"/>
      <c r="AX650" s="234"/>
      <c r="AY650" s="234"/>
      <c r="AZ650" s="234"/>
      <c r="BA650" s="234"/>
      <c r="BB650" s="234"/>
      <c r="BC650" s="234"/>
      <c r="BD650" s="234"/>
      <c r="BE650" s="234"/>
      <c r="BF650" s="234"/>
      <c r="BG650" s="234"/>
      <c r="BH650" s="234"/>
    </row>
    <row r="651" spans="1:60" ht="24" customHeight="1" x14ac:dyDescent="0.25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  <c r="AB651" s="234"/>
      <c r="AC651" s="234"/>
      <c r="AD651" s="234"/>
      <c r="AE651" s="234"/>
      <c r="AF651" s="234"/>
      <c r="AG651" s="234"/>
      <c r="AH651" s="234"/>
      <c r="AI651" s="234"/>
      <c r="AJ651" s="234"/>
      <c r="AK651" s="234"/>
      <c r="AL651" s="234"/>
      <c r="AM651" s="234"/>
      <c r="AN651" s="201"/>
      <c r="AO651" s="234"/>
      <c r="AP651" s="234"/>
      <c r="AQ651" s="234"/>
      <c r="AR651" s="234"/>
      <c r="AS651" s="234"/>
      <c r="AT651" s="234"/>
      <c r="AU651" s="234"/>
      <c r="AV651" s="234"/>
      <c r="AW651" s="234"/>
      <c r="AX651" s="234"/>
      <c r="AY651" s="234"/>
      <c r="AZ651" s="234"/>
      <c r="BA651" s="234"/>
      <c r="BB651" s="234"/>
      <c r="BC651" s="234"/>
      <c r="BD651" s="234"/>
      <c r="BE651" s="234"/>
      <c r="BF651" s="234"/>
      <c r="BG651" s="234"/>
      <c r="BH651" s="234"/>
    </row>
    <row r="652" spans="1:60" ht="24" customHeight="1" x14ac:dyDescent="0.25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  <c r="AB652" s="234"/>
      <c r="AC652" s="234"/>
      <c r="AD652" s="234"/>
      <c r="AE652" s="234"/>
      <c r="AF652" s="234"/>
      <c r="AG652" s="234"/>
      <c r="AH652" s="234"/>
      <c r="AI652" s="234"/>
      <c r="AJ652" s="234"/>
      <c r="AK652" s="234"/>
      <c r="AL652" s="234"/>
      <c r="AM652" s="234"/>
      <c r="AN652" s="201"/>
      <c r="AO652" s="234"/>
      <c r="AP652" s="234"/>
      <c r="AQ652" s="234"/>
      <c r="AR652" s="234"/>
      <c r="AS652" s="234"/>
      <c r="AT652" s="234"/>
      <c r="AU652" s="234"/>
      <c r="AV652" s="234"/>
      <c r="AW652" s="234"/>
      <c r="AX652" s="234"/>
      <c r="AY652" s="234"/>
      <c r="AZ652" s="234"/>
      <c r="BA652" s="234"/>
      <c r="BB652" s="234"/>
      <c r="BC652" s="234"/>
      <c r="BD652" s="234"/>
      <c r="BE652" s="234"/>
      <c r="BF652" s="234"/>
      <c r="BG652" s="234"/>
      <c r="BH652" s="234"/>
    </row>
    <row r="653" spans="1:60" ht="24" customHeight="1" x14ac:dyDescent="0.25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  <c r="AB653" s="234"/>
      <c r="AC653" s="234"/>
      <c r="AD653" s="234"/>
      <c r="AE653" s="234"/>
      <c r="AF653" s="234"/>
      <c r="AG653" s="234"/>
      <c r="AH653" s="234"/>
      <c r="AI653" s="234"/>
      <c r="AJ653" s="234"/>
      <c r="AK653" s="234"/>
      <c r="AL653" s="234"/>
      <c r="AM653" s="234"/>
      <c r="AN653" s="201"/>
      <c r="AO653" s="234"/>
      <c r="AP653" s="234"/>
      <c r="AQ653" s="234"/>
      <c r="AR653" s="234"/>
      <c r="AS653" s="234"/>
      <c r="AT653" s="234"/>
      <c r="AU653" s="234"/>
      <c r="AV653" s="234"/>
      <c r="AW653" s="234"/>
      <c r="AX653" s="234"/>
      <c r="AY653" s="234"/>
      <c r="AZ653" s="234"/>
      <c r="BA653" s="234"/>
      <c r="BB653" s="234"/>
      <c r="BC653" s="234"/>
      <c r="BD653" s="234"/>
      <c r="BE653" s="234"/>
      <c r="BF653" s="234"/>
      <c r="BG653" s="234"/>
      <c r="BH653" s="234"/>
    </row>
    <row r="654" spans="1:60" ht="24" customHeight="1" x14ac:dyDescent="0.25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  <c r="AB654" s="234"/>
      <c r="AC654" s="234"/>
      <c r="AD654" s="234"/>
      <c r="AE654" s="234"/>
      <c r="AF654" s="234"/>
      <c r="AG654" s="234"/>
      <c r="AH654" s="234"/>
      <c r="AI654" s="234"/>
      <c r="AJ654" s="234"/>
      <c r="AK654" s="234"/>
      <c r="AL654" s="234"/>
      <c r="AM654" s="234"/>
      <c r="AN654" s="201"/>
      <c r="AO654" s="234"/>
      <c r="AP654" s="234"/>
      <c r="AQ654" s="234"/>
      <c r="AR654" s="234"/>
      <c r="AS654" s="234"/>
      <c r="AT654" s="234"/>
      <c r="AU654" s="234"/>
      <c r="AV654" s="234"/>
      <c r="AW654" s="234"/>
      <c r="AX654" s="234"/>
      <c r="AY654" s="234"/>
      <c r="AZ654" s="234"/>
      <c r="BA654" s="234"/>
      <c r="BB654" s="234"/>
      <c r="BC654" s="234"/>
      <c r="BD654" s="234"/>
      <c r="BE654" s="234"/>
      <c r="BF654" s="234"/>
      <c r="BG654" s="234"/>
      <c r="BH654" s="234"/>
    </row>
    <row r="655" spans="1:60" ht="24" customHeight="1" x14ac:dyDescent="0.2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  <c r="AB655" s="234"/>
      <c r="AC655" s="234"/>
      <c r="AD655" s="234"/>
      <c r="AE655" s="234"/>
      <c r="AF655" s="234"/>
      <c r="AG655" s="234"/>
      <c r="AH655" s="234"/>
      <c r="AI655" s="234"/>
      <c r="AJ655" s="234"/>
      <c r="AK655" s="234"/>
      <c r="AL655" s="234"/>
      <c r="AM655" s="234"/>
      <c r="AN655" s="201"/>
      <c r="AO655" s="234"/>
      <c r="AP655" s="234"/>
      <c r="AQ655" s="234"/>
      <c r="AR655" s="234"/>
      <c r="AS655" s="234"/>
      <c r="AT655" s="234"/>
      <c r="AU655" s="234"/>
      <c r="AV655" s="234"/>
      <c r="AW655" s="234"/>
      <c r="AX655" s="234"/>
      <c r="AY655" s="234"/>
      <c r="AZ655" s="234"/>
      <c r="BA655" s="234"/>
      <c r="BB655" s="234"/>
      <c r="BC655" s="234"/>
      <c r="BD655" s="234"/>
      <c r="BE655" s="234"/>
      <c r="BF655" s="234"/>
      <c r="BG655" s="234"/>
      <c r="BH655" s="234"/>
    </row>
    <row r="656" spans="1:60" ht="24" customHeight="1" x14ac:dyDescent="0.25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  <c r="AB656" s="234"/>
      <c r="AC656" s="234"/>
      <c r="AD656" s="234"/>
      <c r="AE656" s="234"/>
      <c r="AF656" s="234"/>
      <c r="AG656" s="234"/>
      <c r="AH656" s="234"/>
      <c r="AI656" s="234"/>
      <c r="AJ656" s="234"/>
      <c r="AK656" s="234"/>
      <c r="AL656" s="234"/>
      <c r="AM656" s="234"/>
      <c r="AN656" s="201"/>
      <c r="AO656" s="234"/>
      <c r="AP656" s="234"/>
      <c r="AQ656" s="234"/>
      <c r="AR656" s="234"/>
      <c r="AS656" s="234"/>
      <c r="AT656" s="234"/>
      <c r="AU656" s="234"/>
      <c r="AV656" s="234"/>
      <c r="AW656" s="234"/>
      <c r="AX656" s="234"/>
      <c r="AY656" s="234"/>
      <c r="AZ656" s="234"/>
      <c r="BA656" s="234"/>
      <c r="BB656" s="234"/>
      <c r="BC656" s="234"/>
      <c r="BD656" s="234"/>
      <c r="BE656" s="234"/>
      <c r="BF656" s="234"/>
      <c r="BG656" s="234"/>
      <c r="BH656" s="234"/>
    </row>
    <row r="657" spans="1:60" ht="24" customHeight="1" x14ac:dyDescent="0.25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  <c r="AB657" s="234"/>
      <c r="AC657" s="234"/>
      <c r="AD657" s="234"/>
      <c r="AE657" s="234"/>
      <c r="AF657" s="234"/>
      <c r="AG657" s="234"/>
      <c r="AH657" s="234"/>
      <c r="AI657" s="234"/>
      <c r="AJ657" s="234"/>
      <c r="AK657" s="234"/>
      <c r="AL657" s="234"/>
      <c r="AM657" s="234"/>
      <c r="AN657" s="201"/>
      <c r="AO657" s="234"/>
      <c r="AP657" s="234"/>
      <c r="AQ657" s="234"/>
      <c r="AR657" s="234"/>
      <c r="AS657" s="234"/>
      <c r="AT657" s="234"/>
      <c r="AU657" s="234"/>
      <c r="AV657" s="234"/>
      <c r="AW657" s="234"/>
      <c r="AX657" s="234"/>
      <c r="AY657" s="234"/>
      <c r="AZ657" s="234"/>
      <c r="BA657" s="234"/>
      <c r="BB657" s="234"/>
      <c r="BC657" s="234"/>
      <c r="BD657" s="234"/>
      <c r="BE657" s="234"/>
      <c r="BF657" s="234"/>
      <c r="BG657" s="234"/>
      <c r="BH657" s="234"/>
    </row>
    <row r="658" spans="1:60" ht="24" customHeight="1" x14ac:dyDescent="0.25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  <c r="AB658" s="234"/>
      <c r="AC658" s="234"/>
      <c r="AD658" s="234"/>
      <c r="AE658" s="234"/>
      <c r="AF658" s="234"/>
      <c r="AG658" s="234"/>
      <c r="AH658" s="234"/>
      <c r="AI658" s="234"/>
      <c r="AJ658" s="234"/>
      <c r="AK658" s="234"/>
      <c r="AL658" s="234"/>
      <c r="AM658" s="234"/>
      <c r="AN658" s="201"/>
      <c r="AO658" s="234"/>
      <c r="AP658" s="234"/>
      <c r="AQ658" s="234"/>
      <c r="AR658" s="234"/>
      <c r="AS658" s="234"/>
      <c r="AT658" s="234"/>
      <c r="AU658" s="234"/>
      <c r="AV658" s="234"/>
      <c r="AW658" s="234"/>
      <c r="AX658" s="234"/>
      <c r="AY658" s="234"/>
      <c r="AZ658" s="234"/>
      <c r="BA658" s="234"/>
      <c r="BB658" s="234"/>
      <c r="BC658" s="234"/>
      <c r="BD658" s="234"/>
      <c r="BE658" s="234"/>
      <c r="BF658" s="234"/>
      <c r="BG658" s="234"/>
      <c r="BH658" s="234"/>
    </row>
    <row r="659" spans="1:60" ht="24" customHeight="1" x14ac:dyDescent="0.25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  <c r="AC659" s="234"/>
      <c r="AD659" s="234"/>
      <c r="AE659" s="234"/>
      <c r="AF659" s="234"/>
      <c r="AG659" s="234"/>
      <c r="AH659" s="234"/>
      <c r="AI659" s="234"/>
      <c r="AJ659" s="234"/>
      <c r="AK659" s="234"/>
      <c r="AL659" s="234"/>
      <c r="AM659" s="234"/>
      <c r="AN659" s="201"/>
      <c r="AO659" s="234"/>
      <c r="AP659" s="234"/>
      <c r="AQ659" s="234"/>
      <c r="AR659" s="234"/>
      <c r="AS659" s="234"/>
      <c r="AT659" s="234"/>
      <c r="AU659" s="234"/>
      <c r="AV659" s="234"/>
      <c r="AW659" s="234"/>
      <c r="AX659" s="234"/>
      <c r="AY659" s="234"/>
      <c r="AZ659" s="234"/>
      <c r="BA659" s="234"/>
      <c r="BB659" s="234"/>
      <c r="BC659" s="234"/>
      <c r="BD659" s="234"/>
      <c r="BE659" s="234"/>
      <c r="BF659" s="234"/>
      <c r="BG659" s="234"/>
      <c r="BH659" s="234"/>
    </row>
    <row r="660" spans="1:60" ht="24" customHeight="1" x14ac:dyDescent="0.25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  <c r="AB660" s="234"/>
      <c r="AC660" s="234"/>
      <c r="AD660" s="234"/>
      <c r="AE660" s="234"/>
      <c r="AF660" s="234"/>
      <c r="AG660" s="234"/>
      <c r="AH660" s="234"/>
      <c r="AI660" s="234"/>
      <c r="AJ660" s="234"/>
      <c r="AK660" s="234"/>
      <c r="AL660" s="234"/>
      <c r="AM660" s="234"/>
      <c r="AN660" s="201"/>
      <c r="AO660" s="234"/>
      <c r="AP660" s="234"/>
      <c r="AQ660" s="234"/>
      <c r="AR660" s="234"/>
      <c r="AS660" s="234"/>
      <c r="AT660" s="234"/>
      <c r="AU660" s="234"/>
      <c r="AV660" s="234"/>
      <c r="AW660" s="234"/>
      <c r="AX660" s="234"/>
      <c r="AY660" s="234"/>
      <c r="AZ660" s="234"/>
      <c r="BA660" s="234"/>
      <c r="BB660" s="234"/>
      <c r="BC660" s="234"/>
      <c r="BD660" s="234"/>
      <c r="BE660" s="234"/>
      <c r="BF660" s="234"/>
      <c r="BG660" s="234"/>
      <c r="BH660" s="234"/>
    </row>
    <row r="661" spans="1:60" ht="24" customHeight="1" x14ac:dyDescent="0.25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  <c r="AB661" s="234"/>
      <c r="AC661" s="234"/>
      <c r="AD661" s="234"/>
      <c r="AE661" s="234"/>
      <c r="AF661" s="234"/>
      <c r="AG661" s="234"/>
      <c r="AH661" s="234"/>
      <c r="AI661" s="234"/>
      <c r="AJ661" s="234"/>
      <c r="AK661" s="234"/>
      <c r="AL661" s="234"/>
      <c r="AM661" s="234"/>
      <c r="AN661" s="201"/>
      <c r="AO661" s="234"/>
      <c r="AP661" s="234"/>
      <c r="AQ661" s="234"/>
      <c r="AR661" s="234"/>
      <c r="AS661" s="234"/>
      <c r="AT661" s="234"/>
      <c r="AU661" s="234"/>
      <c r="AV661" s="234"/>
      <c r="AW661" s="234"/>
      <c r="AX661" s="234"/>
      <c r="AY661" s="234"/>
      <c r="AZ661" s="234"/>
      <c r="BA661" s="234"/>
      <c r="BB661" s="234"/>
      <c r="BC661" s="234"/>
      <c r="BD661" s="234"/>
      <c r="BE661" s="234"/>
      <c r="BF661" s="234"/>
      <c r="BG661" s="234"/>
      <c r="BH661" s="234"/>
    </row>
    <row r="662" spans="1:60" ht="24" customHeight="1" x14ac:dyDescent="0.25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  <c r="AB662" s="234"/>
      <c r="AC662" s="234"/>
      <c r="AD662" s="234"/>
      <c r="AE662" s="234"/>
      <c r="AF662" s="234"/>
      <c r="AG662" s="234"/>
      <c r="AH662" s="234"/>
      <c r="AI662" s="234"/>
      <c r="AJ662" s="234"/>
      <c r="AK662" s="234"/>
      <c r="AL662" s="234"/>
      <c r="AM662" s="234"/>
      <c r="AN662" s="201"/>
      <c r="AO662" s="234"/>
      <c r="AP662" s="234"/>
      <c r="AQ662" s="234"/>
      <c r="AR662" s="234"/>
      <c r="AS662" s="234"/>
      <c r="AT662" s="234"/>
      <c r="AU662" s="234"/>
      <c r="AV662" s="234"/>
      <c r="AW662" s="234"/>
      <c r="AX662" s="234"/>
      <c r="AY662" s="234"/>
      <c r="AZ662" s="234"/>
      <c r="BA662" s="234"/>
      <c r="BB662" s="234"/>
      <c r="BC662" s="234"/>
      <c r="BD662" s="234"/>
      <c r="BE662" s="234"/>
      <c r="BF662" s="234"/>
      <c r="BG662" s="234"/>
      <c r="BH662" s="234"/>
    </row>
    <row r="663" spans="1:60" ht="24" customHeight="1" x14ac:dyDescent="0.25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  <c r="AB663" s="234"/>
      <c r="AC663" s="234"/>
      <c r="AD663" s="234"/>
      <c r="AE663" s="234"/>
      <c r="AF663" s="234"/>
      <c r="AG663" s="234"/>
      <c r="AH663" s="234"/>
      <c r="AI663" s="234"/>
      <c r="AJ663" s="234"/>
      <c r="AK663" s="234"/>
      <c r="AL663" s="234"/>
      <c r="AM663" s="234"/>
      <c r="AN663" s="201"/>
      <c r="AO663" s="234"/>
      <c r="AP663" s="234"/>
      <c r="AQ663" s="234"/>
      <c r="AR663" s="234"/>
      <c r="AS663" s="234"/>
      <c r="AT663" s="234"/>
      <c r="AU663" s="234"/>
      <c r="AV663" s="234"/>
      <c r="AW663" s="234"/>
      <c r="AX663" s="234"/>
      <c r="AY663" s="234"/>
      <c r="AZ663" s="234"/>
      <c r="BA663" s="234"/>
      <c r="BB663" s="234"/>
      <c r="BC663" s="234"/>
      <c r="BD663" s="234"/>
      <c r="BE663" s="234"/>
      <c r="BF663" s="234"/>
      <c r="BG663" s="234"/>
      <c r="BH663" s="234"/>
    </row>
    <row r="664" spans="1:60" ht="24" customHeight="1" x14ac:dyDescent="0.25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  <c r="AB664" s="234"/>
      <c r="AC664" s="234"/>
      <c r="AD664" s="234"/>
      <c r="AE664" s="234"/>
      <c r="AF664" s="234"/>
      <c r="AG664" s="234"/>
      <c r="AH664" s="234"/>
      <c r="AI664" s="234"/>
      <c r="AJ664" s="234"/>
      <c r="AK664" s="234"/>
      <c r="AL664" s="234"/>
      <c r="AM664" s="234"/>
      <c r="AN664" s="201"/>
      <c r="AO664" s="234"/>
      <c r="AP664" s="234"/>
      <c r="AQ664" s="234"/>
      <c r="AR664" s="234"/>
      <c r="AS664" s="234"/>
      <c r="AT664" s="234"/>
      <c r="AU664" s="234"/>
      <c r="AV664" s="234"/>
      <c r="AW664" s="234"/>
      <c r="AX664" s="234"/>
      <c r="AY664" s="234"/>
      <c r="AZ664" s="234"/>
      <c r="BA664" s="234"/>
      <c r="BB664" s="234"/>
      <c r="BC664" s="234"/>
      <c r="BD664" s="234"/>
      <c r="BE664" s="234"/>
      <c r="BF664" s="234"/>
      <c r="BG664" s="234"/>
      <c r="BH664" s="234"/>
    </row>
    <row r="665" spans="1:60" ht="24" customHeight="1" x14ac:dyDescent="0.2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  <c r="AB665" s="234"/>
      <c r="AC665" s="234"/>
      <c r="AD665" s="234"/>
      <c r="AE665" s="234"/>
      <c r="AF665" s="234"/>
      <c r="AG665" s="234"/>
      <c r="AH665" s="234"/>
      <c r="AI665" s="234"/>
      <c r="AJ665" s="234"/>
      <c r="AK665" s="234"/>
      <c r="AL665" s="234"/>
      <c r="AM665" s="234"/>
      <c r="AN665" s="201"/>
      <c r="AO665" s="234"/>
      <c r="AP665" s="234"/>
      <c r="AQ665" s="234"/>
      <c r="AR665" s="234"/>
      <c r="AS665" s="234"/>
      <c r="AT665" s="234"/>
      <c r="AU665" s="234"/>
      <c r="AV665" s="234"/>
      <c r="AW665" s="234"/>
      <c r="AX665" s="234"/>
      <c r="AY665" s="234"/>
      <c r="AZ665" s="234"/>
      <c r="BA665" s="234"/>
      <c r="BB665" s="234"/>
      <c r="BC665" s="234"/>
      <c r="BD665" s="234"/>
      <c r="BE665" s="234"/>
      <c r="BF665" s="234"/>
      <c r="BG665" s="234"/>
      <c r="BH665" s="234"/>
    </row>
    <row r="666" spans="1:60" ht="24" customHeight="1" x14ac:dyDescent="0.25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  <c r="AB666" s="234"/>
      <c r="AC666" s="234"/>
      <c r="AD666" s="234"/>
      <c r="AE666" s="234"/>
      <c r="AF666" s="234"/>
      <c r="AG666" s="234"/>
      <c r="AH666" s="234"/>
      <c r="AI666" s="234"/>
      <c r="AJ666" s="234"/>
      <c r="AK666" s="234"/>
      <c r="AL666" s="234"/>
      <c r="AM666" s="234"/>
      <c r="AN666" s="201"/>
      <c r="AO666" s="234"/>
      <c r="AP666" s="234"/>
      <c r="AQ666" s="234"/>
      <c r="AR666" s="234"/>
      <c r="AS666" s="234"/>
      <c r="AT666" s="234"/>
      <c r="AU666" s="234"/>
      <c r="AV666" s="234"/>
      <c r="AW666" s="234"/>
      <c r="AX666" s="234"/>
      <c r="AY666" s="234"/>
      <c r="AZ666" s="234"/>
      <c r="BA666" s="234"/>
      <c r="BB666" s="234"/>
      <c r="BC666" s="234"/>
      <c r="BD666" s="234"/>
      <c r="BE666" s="234"/>
      <c r="BF666" s="234"/>
      <c r="BG666" s="234"/>
      <c r="BH666" s="234"/>
    </row>
    <row r="667" spans="1:60" ht="24" customHeight="1" x14ac:dyDescent="0.25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  <c r="AB667" s="234"/>
      <c r="AC667" s="234"/>
      <c r="AD667" s="234"/>
      <c r="AE667" s="234"/>
      <c r="AF667" s="234"/>
      <c r="AG667" s="234"/>
      <c r="AH667" s="234"/>
      <c r="AI667" s="234"/>
      <c r="AJ667" s="234"/>
      <c r="AK667" s="234"/>
      <c r="AL667" s="234"/>
      <c r="AM667" s="234"/>
      <c r="AN667" s="201"/>
      <c r="AO667" s="234"/>
      <c r="AP667" s="234"/>
      <c r="AQ667" s="234"/>
      <c r="AR667" s="234"/>
      <c r="AS667" s="234"/>
      <c r="AT667" s="234"/>
      <c r="AU667" s="234"/>
      <c r="AV667" s="234"/>
      <c r="AW667" s="234"/>
      <c r="AX667" s="234"/>
      <c r="AY667" s="234"/>
      <c r="AZ667" s="234"/>
      <c r="BA667" s="234"/>
      <c r="BB667" s="234"/>
      <c r="BC667" s="234"/>
      <c r="BD667" s="234"/>
      <c r="BE667" s="234"/>
      <c r="BF667" s="234"/>
      <c r="BG667" s="234"/>
      <c r="BH667" s="234"/>
    </row>
    <row r="668" spans="1:60" ht="24" customHeight="1" x14ac:dyDescent="0.25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  <c r="AB668" s="234"/>
      <c r="AC668" s="234"/>
      <c r="AD668" s="234"/>
      <c r="AE668" s="234"/>
      <c r="AF668" s="234"/>
      <c r="AG668" s="234"/>
      <c r="AH668" s="234"/>
      <c r="AI668" s="234"/>
      <c r="AJ668" s="234"/>
      <c r="AK668" s="234"/>
      <c r="AL668" s="234"/>
      <c r="AM668" s="234"/>
      <c r="AN668" s="201"/>
      <c r="AO668" s="234"/>
      <c r="AP668" s="234"/>
      <c r="AQ668" s="234"/>
      <c r="AR668" s="234"/>
      <c r="AS668" s="234"/>
      <c r="AT668" s="234"/>
      <c r="AU668" s="234"/>
      <c r="AV668" s="234"/>
      <c r="AW668" s="234"/>
      <c r="AX668" s="234"/>
      <c r="AY668" s="234"/>
      <c r="AZ668" s="234"/>
      <c r="BA668" s="234"/>
      <c r="BB668" s="234"/>
      <c r="BC668" s="234"/>
      <c r="BD668" s="234"/>
      <c r="BE668" s="234"/>
      <c r="BF668" s="234"/>
      <c r="BG668" s="234"/>
      <c r="BH668" s="234"/>
    </row>
    <row r="669" spans="1:60" ht="24" customHeight="1" x14ac:dyDescent="0.25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  <c r="AB669" s="234"/>
      <c r="AC669" s="234"/>
      <c r="AD669" s="234"/>
      <c r="AE669" s="234"/>
      <c r="AF669" s="234"/>
      <c r="AG669" s="234"/>
      <c r="AH669" s="234"/>
      <c r="AI669" s="234"/>
      <c r="AJ669" s="234"/>
      <c r="AK669" s="234"/>
      <c r="AL669" s="234"/>
      <c r="AM669" s="234"/>
      <c r="AN669" s="201"/>
      <c r="AO669" s="234"/>
      <c r="AP669" s="234"/>
      <c r="AQ669" s="234"/>
      <c r="AR669" s="234"/>
      <c r="AS669" s="234"/>
      <c r="AT669" s="234"/>
      <c r="AU669" s="234"/>
      <c r="AV669" s="234"/>
      <c r="AW669" s="234"/>
      <c r="AX669" s="234"/>
      <c r="AY669" s="234"/>
      <c r="AZ669" s="234"/>
      <c r="BA669" s="234"/>
      <c r="BB669" s="234"/>
      <c r="BC669" s="234"/>
      <c r="BD669" s="234"/>
      <c r="BE669" s="234"/>
      <c r="BF669" s="234"/>
      <c r="BG669" s="234"/>
      <c r="BH669" s="234"/>
    </row>
    <row r="670" spans="1:60" ht="24" customHeight="1" x14ac:dyDescent="0.25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  <c r="AB670" s="234"/>
      <c r="AC670" s="234"/>
      <c r="AD670" s="234"/>
      <c r="AE670" s="234"/>
      <c r="AF670" s="234"/>
      <c r="AG670" s="234"/>
      <c r="AH670" s="234"/>
      <c r="AI670" s="234"/>
      <c r="AJ670" s="234"/>
      <c r="AK670" s="234"/>
      <c r="AL670" s="234"/>
      <c r="AM670" s="234"/>
      <c r="AN670" s="201"/>
      <c r="AO670" s="234"/>
      <c r="AP670" s="234"/>
      <c r="AQ670" s="234"/>
      <c r="AR670" s="234"/>
      <c r="AS670" s="234"/>
      <c r="AT670" s="234"/>
      <c r="AU670" s="234"/>
      <c r="AV670" s="234"/>
      <c r="AW670" s="234"/>
      <c r="AX670" s="234"/>
      <c r="AY670" s="234"/>
      <c r="AZ670" s="234"/>
      <c r="BA670" s="234"/>
      <c r="BB670" s="234"/>
      <c r="BC670" s="234"/>
      <c r="BD670" s="234"/>
      <c r="BE670" s="234"/>
      <c r="BF670" s="234"/>
      <c r="BG670" s="234"/>
      <c r="BH670" s="234"/>
    </row>
    <row r="671" spans="1:60" ht="24" customHeight="1" x14ac:dyDescent="0.25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  <c r="AB671" s="234"/>
      <c r="AC671" s="234"/>
      <c r="AD671" s="234"/>
      <c r="AE671" s="234"/>
      <c r="AF671" s="234"/>
      <c r="AG671" s="234"/>
      <c r="AH671" s="234"/>
      <c r="AI671" s="234"/>
      <c r="AJ671" s="234"/>
      <c r="AK671" s="234"/>
      <c r="AL671" s="234"/>
      <c r="AM671" s="234"/>
      <c r="AN671" s="201"/>
      <c r="AO671" s="234"/>
      <c r="AP671" s="234"/>
      <c r="AQ671" s="234"/>
      <c r="AR671" s="234"/>
      <c r="AS671" s="234"/>
      <c r="AT671" s="234"/>
      <c r="AU671" s="234"/>
      <c r="AV671" s="234"/>
      <c r="AW671" s="234"/>
      <c r="AX671" s="234"/>
      <c r="AY671" s="234"/>
      <c r="AZ671" s="234"/>
      <c r="BA671" s="234"/>
      <c r="BB671" s="234"/>
      <c r="BC671" s="234"/>
      <c r="BD671" s="234"/>
      <c r="BE671" s="234"/>
      <c r="BF671" s="234"/>
      <c r="BG671" s="234"/>
      <c r="BH671" s="234"/>
    </row>
    <row r="672" spans="1:60" ht="24" customHeight="1" x14ac:dyDescent="0.25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  <c r="AB672" s="234"/>
      <c r="AC672" s="234"/>
      <c r="AD672" s="234"/>
      <c r="AE672" s="234"/>
      <c r="AF672" s="234"/>
      <c r="AG672" s="234"/>
      <c r="AH672" s="234"/>
      <c r="AI672" s="234"/>
      <c r="AJ672" s="234"/>
      <c r="AK672" s="234"/>
      <c r="AL672" s="234"/>
      <c r="AM672" s="234"/>
      <c r="AN672" s="201"/>
      <c r="AO672" s="234"/>
      <c r="AP672" s="234"/>
      <c r="AQ672" s="234"/>
      <c r="AR672" s="234"/>
      <c r="AS672" s="234"/>
      <c r="AT672" s="234"/>
      <c r="AU672" s="234"/>
      <c r="AV672" s="234"/>
      <c r="AW672" s="234"/>
      <c r="AX672" s="234"/>
      <c r="AY672" s="234"/>
      <c r="AZ672" s="234"/>
      <c r="BA672" s="234"/>
      <c r="BB672" s="234"/>
      <c r="BC672" s="234"/>
      <c r="BD672" s="234"/>
      <c r="BE672" s="234"/>
      <c r="BF672" s="234"/>
      <c r="BG672" s="234"/>
      <c r="BH672" s="234"/>
    </row>
    <row r="673" spans="1:60" ht="24" customHeight="1" x14ac:dyDescent="0.25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  <c r="AB673" s="234"/>
      <c r="AC673" s="234"/>
      <c r="AD673" s="234"/>
      <c r="AE673" s="234"/>
      <c r="AF673" s="234"/>
      <c r="AG673" s="234"/>
      <c r="AH673" s="234"/>
      <c r="AI673" s="234"/>
      <c r="AJ673" s="234"/>
      <c r="AK673" s="234"/>
      <c r="AL673" s="234"/>
      <c r="AM673" s="234"/>
      <c r="AN673" s="201"/>
      <c r="AO673" s="234"/>
      <c r="AP673" s="234"/>
      <c r="AQ673" s="234"/>
      <c r="AR673" s="234"/>
      <c r="AS673" s="234"/>
      <c r="AT673" s="234"/>
      <c r="AU673" s="234"/>
      <c r="AV673" s="234"/>
      <c r="AW673" s="234"/>
      <c r="AX673" s="234"/>
      <c r="AY673" s="234"/>
      <c r="AZ673" s="234"/>
      <c r="BA673" s="234"/>
      <c r="BB673" s="234"/>
      <c r="BC673" s="234"/>
      <c r="BD673" s="234"/>
      <c r="BE673" s="234"/>
      <c r="BF673" s="234"/>
      <c r="BG673" s="234"/>
      <c r="BH673" s="234"/>
    </row>
    <row r="674" spans="1:60" ht="24" customHeight="1" x14ac:dyDescent="0.25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  <c r="AB674" s="234"/>
      <c r="AC674" s="234"/>
      <c r="AD674" s="234"/>
      <c r="AE674" s="234"/>
      <c r="AF674" s="234"/>
      <c r="AG674" s="234"/>
      <c r="AH674" s="234"/>
      <c r="AI674" s="234"/>
      <c r="AJ674" s="234"/>
      <c r="AK674" s="234"/>
      <c r="AL674" s="234"/>
      <c r="AM674" s="234"/>
      <c r="AN674" s="201"/>
      <c r="AO674" s="234"/>
      <c r="AP674" s="234"/>
      <c r="AQ674" s="234"/>
      <c r="AR674" s="234"/>
      <c r="AS674" s="234"/>
      <c r="AT674" s="234"/>
      <c r="AU674" s="234"/>
      <c r="AV674" s="234"/>
      <c r="AW674" s="234"/>
      <c r="AX674" s="234"/>
      <c r="AY674" s="234"/>
      <c r="AZ674" s="234"/>
      <c r="BA674" s="234"/>
      <c r="BB674" s="234"/>
      <c r="BC674" s="234"/>
      <c r="BD674" s="234"/>
      <c r="BE674" s="234"/>
      <c r="BF674" s="234"/>
      <c r="BG674" s="234"/>
      <c r="BH674" s="234"/>
    </row>
    <row r="675" spans="1:60" ht="24" customHeight="1" x14ac:dyDescent="0.2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  <c r="AB675" s="234"/>
      <c r="AC675" s="234"/>
      <c r="AD675" s="234"/>
      <c r="AE675" s="234"/>
      <c r="AF675" s="234"/>
      <c r="AG675" s="234"/>
      <c r="AH675" s="234"/>
      <c r="AI675" s="234"/>
      <c r="AJ675" s="234"/>
      <c r="AK675" s="234"/>
      <c r="AL675" s="234"/>
      <c r="AM675" s="234"/>
      <c r="AN675" s="201"/>
      <c r="AO675" s="234"/>
      <c r="AP675" s="234"/>
      <c r="AQ675" s="234"/>
      <c r="AR675" s="234"/>
      <c r="AS675" s="234"/>
      <c r="AT675" s="234"/>
      <c r="AU675" s="234"/>
      <c r="AV675" s="234"/>
      <c r="AW675" s="234"/>
      <c r="AX675" s="234"/>
      <c r="AY675" s="234"/>
      <c r="AZ675" s="234"/>
      <c r="BA675" s="234"/>
      <c r="BB675" s="234"/>
      <c r="BC675" s="234"/>
      <c r="BD675" s="234"/>
      <c r="BE675" s="234"/>
      <c r="BF675" s="234"/>
      <c r="BG675" s="234"/>
      <c r="BH675" s="234"/>
    </row>
    <row r="676" spans="1:60" ht="24" customHeight="1" x14ac:dyDescent="0.25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  <c r="AB676" s="234"/>
      <c r="AC676" s="234"/>
      <c r="AD676" s="234"/>
      <c r="AE676" s="234"/>
      <c r="AF676" s="234"/>
      <c r="AG676" s="234"/>
      <c r="AH676" s="234"/>
      <c r="AI676" s="234"/>
      <c r="AJ676" s="234"/>
      <c r="AK676" s="234"/>
      <c r="AL676" s="234"/>
      <c r="AM676" s="234"/>
      <c r="AN676" s="201"/>
      <c r="AO676" s="234"/>
      <c r="AP676" s="234"/>
      <c r="AQ676" s="234"/>
      <c r="AR676" s="234"/>
      <c r="AS676" s="234"/>
      <c r="AT676" s="234"/>
      <c r="AU676" s="234"/>
      <c r="AV676" s="234"/>
      <c r="AW676" s="234"/>
      <c r="AX676" s="234"/>
      <c r="AY676" s="234"/>
      <c r="AZ676" s="234"/>
      <c r="BA676" s="234"/>
      <c r="BB676" s="234"/>
      <c r="BC676" s="234"/>
      <c r="BD676" s="234"/>
      <c r="BE676" s="234"/>
      <c r="BF676" s="234"/>
      <c r="BG676" s="234"/>
      <c r="BH676" s="234"/>
    </row>
    <row r="677" spans="1:60" ht="24" customHeight="1" x14ac:dyDescent="0.25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  <c r="AB677" s="234"/>
      <c r="AC677" s="234"/>
      <c r="AD677" s="234"/>
      <c r="AE677" s="234"/>
      <c r="AF677" s="234"/>
      <c r="AG677" s="234"/>
      <c r="AH677" s="234"/>
      <c r="AI677" s="234"/>
      <c r="AJ677" s="234"/>
      <c r="AK677" s="234"/>
      <c r="AL677" s="234"/>
      <c r="AM677" s="234"/>
      <c r="AN677" s="201"/>
      <c r="AO677" s="234"/>
      <c r="AP677" s="234"/>
      <c r="AQ677" s="234"/>
      <c r="AR677" s="234"/>
      <c r="AS677" s="234"/>
      <c r="AT677" s="234"/>
      <c r="AU677" s="234"/>
      <c r="AV677" s="234"/>
      <c r="AW677" s="234"/>
      <c r="AX677" s="234"/>
      <c r="AY677" s="234"/>
      <c r="AZ677" s="234"/>
      <c r="BA677" s="234"/>
      <c r="BB677" s="234"/>
      <c r="BC677" s="234"/>
      <c r="BD677" s="234"/>
      <c r="BE677" s="234"/>
      <c r="BF677" s="234"/>
      <c r="BG677" s="234"/>
      <c r="BH677" s="234"/>
    </row>
    <row r="678" spans="1:60" ht="24" customHeight="1" x14ac:dyDescent="0.25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  <c r="AB678" s="234"/>
      <c r="AC678" s="234"/>
      <c r="AD678" s="234"/>
      <c r="AE678" s="234"/>
      <c r="AF678" s="234"/>
      <c r="AG678" s="234"/>
      <c r="AH678" s="234"/>
      <c r="AI678" s="234"/>
      <c r="AJ678" s="234"/>
      <c r="AK678" s="234"/>
      <c r="AL678" s="234"/>
      <c r="AM678" s="234"/>
      <c r="AN678" s="201"/>
      <c r="AO678" s="234"/>
      <c r="AP678" s="234"/>
      <c r="AQ678" s="234"/>
      <c r="AR678" s="234"/>
      <c r="AS678" s="234"/>
      <c r="AT678" s="234"/>
      <c r="AU678" s="234"/>
      <c r="AV678" s="234"/>
      <c r="AW678" s="234"/>
      <c r="AX678" s="234"/>
      <c r="AY678" s="234"/>
      <c r="AZ678" s="234"/>
      <c r="BA678" s="234"/>
      <c r="BB678" s="234"/>
      <c r="BC678" s="234"/>
      <c r="BD678" s="234"/>
      <c r="BE678" s="234"/>
      <c r="BF678" s="234"/>
      <c r="BG678" s="234"/>
      <c r="BH678" s="234"/>
    </row>
    <row r="679" spans="1:60" ht="24" customHeight="1" x14ac:dyDescent="0.25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  <c r="AB679" s="234"/>
      <c r="AC679" s="234"/>
      <c r="AD679" s="234"/>
      <c r="AE679" s="234"/>
      <c r="AF679" s="234"/>
      <c r="AG679" s="234"/>
      <c r="AH679" s="234"/>
      <c r="AI679" s="234"/>
      <c r="AJ679" s="234"/>
      <c r="AK679" s="234"/>
      <c r="AL679" s="234"/>
      <c r="AM679" s="234"/>
      <c r="AN679" s="201"/>
      <c r="AO679" s="234"/>
      <c r="AP679" s="234"/>
      <c r="AQ679" s="234"/>
      <c r="AR679" s="234"/>
      <c r="AS679" s="234"/>
      <c r="AT679" s="234"/>
      <c r="AU679" s="234"/>
      <c r="AV679" s="234"/>
      <c r="AW679" s="234"/>
      <c r="AX679" s="234"/>
      <c r="AY679" s="234"/>
      <c r="AZ679" s="234"/>
      <c r="BA679" s="234"/>
      <c r="BB679" s="234"/>
      <c r="BC679" s="234"/>
      <c r="BD679" s="234"/>
      <c r="BE679" s="234"/>
      <c r="BF679" s="234"/>
      <c r="BG679" s="234"/>
      <c r="BH679" s="234"/>
    </row>
    <row r="680" spans="1:60" ht="24" customHeight="1" x14ac:dyDescent="0.25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  <c r="AC680" s="234"/>
      <c r="AD680" s="234"/>
      <c r="AE680" s="234"/>
      <c r="AF680" s="234"/>
      <c r="AG680" s="234"/>
      <c r="AH680" s="234"/>
      <c r="AI680" s="234"/>
      <c r="AJ680" s="234"/>
      <c r="AK680" s="234"/>
      <c r="AL680" s="234"/>
      <c r="AM680" s="234"/>
      <c r="AN680" s="201"/>
      <c r="AO680" s="234"/>
      <c r="AP680" s="234"/>
      <c r="AQ680" s="234"/>
      <c r="AR680" s="234"/>
      <c r="AS680" s="234"/>
      <c r="AT680" s="234"/>
      <c r="AU680" s="234"/>
      <c r="AV680" s="234"/>
      <c r="AW680" s="234"/>
      <c r="AX680" s="234"/>
      <c r="AY680" s="234"/>
      <c r="AZ680" s="234"/>
      <c r="BA680" s="234"/>
      <c r="BB680" s="234"/>
      <c r="BC680" s="234"/>
      <c r="BD680" s="234"/>
      <c r="BE680" s="234"/>
      <c r="BF680" s="234"/>
      <c r="BG680" s="234"/>
      <c r="BH680" s="234"/>
    </row>
    <row r="681" spans="1:60" ht="24" customHeight="1" x14ac:dyDescent="0.25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  <c r="AC681" s="234"/>
      <c r="AD681" s="234"/>
      <c r="AE681" s="234"/>
      <c r="AF681" s="234"/>
      <c r="AG681" s="234"/>
      <c r="AH681" s="234"/>
      <c r="AI681" s="234"/>
      <c r="AJ681" s="234"/>
      <c r="AK681" s="234"/>
      <c r="AL681" s="234"/>
      <c r="AM681" s="234"/>
      <c r="AN681" s="201"/>
      <c r="AO681" s="234"/>
      <c r="AP681" s="234"/>
      <c r="AQ681" s="234"/>
      <c r="AR681" s="234"/>
      <c r="AS681" s="234"/>
      <c r="AT681" s="234"/>
      <c r="AU681" s="234"/>
      <c r="AV681" s="234"/>
      <c r="AW681" s="234"/>
      <c r="AX681" s="234"/>
      <c r="AY681" s="234"/>
      <c r="AZ681" s="234"/>
      <c r="BA681" s="234"/>
      <c r="BB681" s="234"/>
      <c r="BC681" s="234"/>
      <c r="BD681" s="234"/>
      <c r="BE681" s="234"/>
      <c r="BF681" s="234"/>
      <c r="BG681" s="234"/>
      <c r="BH681" s="234"/>
    </row>
    <row r="682" spans="1:60" ht="24" customHeight="1" x14ac:dyDescent="0.25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  <c r="AB682" s="234"/>
      <c r="AC682" s="234"/>
      <c r="AD682" s="234"/>
      <c r="AE682" s="234"/>
      <c r="AF682" s="234"/>
      <c r="AG682" s="234"/>
      <c r="AH682" s="234"/>
      <c r="AI682" s="234"/>
      <c r="AJ682" s="234"/>
      <c r="AK682" s="234"/>
      <c r="AL682" s="234"/>
      <c r="AM682" s="234"/>
      <c r="AN682" s="201"/>
      <c r="AO682" s="234"/>
      <c r="AP682" s="234"/>
      <c r="AQ682" s="234"/>
      <c r="AR682" s="234"/>
      <c r="AS682" s="234"/>
      <c r="AT682" s="234"/>
      <c r="AU682" s="234"/>
      <c r="AV682" s="234"/>
      <c r="AW682" s="234"/>
      <c r="AX682" s="234"/>
      <c r="AY682" s="234"/>
      <c r="AZ682" s="234"/>
      <c r="BA682" s="234"/>
      <c r="BB682" s="234"/>
      <c r="BC682" s="234"/>
      <c r="BD682" s="234"/>
      <c r="BE682" s="234"/>
      <c r="BF682" s="234"/>
      <c r="BG682" s="234"/>
      <c r="BH682" s="234"/>
    </row>
    <row r="683" spans="1:60" ht="24" customHeight="1" x14ac:dyDescent="0.25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  <c r="AB683" s="234"/>
      <c r="AC683" s="234"/>
      <c r="AD683" s="234"/>
      <c r="AE683" s="234"/>
      <c r="AF683" s="234"/>
      <c r="AG683" s="234"/>
      <c r="AH683" s="234"/>
      <c r="AI683" s="234"/>
      <c r="AJ683" s="234"/>
      <c r="AK683" s="234"/>
      <c r="AL683" s="234"/>
      <c r="AM683" s="234"/>
      <c r="AN683" s="201"/>
      <c r="AO683" s="234"/>
      <c r="AP683" s="234"/>
      <c r="AQ683" s="234"/>
      <c r="AR683" s="234"/>
      <c r="AS683" s="234"/>
      <c r="AT683" s="234"/>
      <c r="AU683" s="234"/>
      <c r="AV683" s="234"/>
      <c r="AW683" s="234"/>
      <c r="AX683" s="234"/>
      <c r="AY683" s="234"/>
      <c r="AZ683" s="234"/>
      <c r="BA683" s="234"/>
      <c r="BB683" s="234"/>
      <c r="BC683" s="234"/>
      <c r="BD683" s="234"/>
      <c r="BE683" s="234"/>
      <c r="BF683" s="234"/>
      <c r="BG683" s="234"/>
      <c r="BH683" s="234"/>
    </row>
    <row r="684" spans="1:60" ht="24" customHeight="1" x14ac:dyDescent="0.25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  <c r="AB684" s="234"/>
      <c r="AC684" s="234"/>
      <c r="AD684" s="234"/>
      <c r="AE684" s="234"/>
      <c r="AF684" s="234"/>
      <c r="AG684" s="234"/>
      <c r="AH684" s="234"/>
      <c r="AI684" s="234"/>
      <c r="AJ684" s="234"/>
      <c r="AK684" s="234"/>
      <c r="AL684" s="234"/>
      <c r="AM684" s="234"/>
      <c r="AN684" s="201"/>
      <c r="AO684" s="234"/>
      <c r="AP684" s="234"/>
      <c r="AQ684" s="234"/>
      <c r="AR684" s="234"/>
      <c r="AS684" s="234"/>
      <c r="AT684" s="234"/>
      <c r="AU684" s="234"/>
      <c r="AV684" s="234"/>
      <c r="AW684" s="234"/>
      <c r="AX684" s="234"/>
      <c r="AY684" s="234"/>
      <c r="AZ684" s="234"/>
      <c r="BA684" s="234"/>
      <c r="BB684" s="234"/>
      <c r="BC684" s="234"/>
      <c r="BD684" s="234"/>
      <c r="BE684" s="234"/>
      <c r="BF684" s="234"/>
      <c r="BG684" s="234"/>
      <c r="BH684" s="234"/>
    </row>
    <row r="685" spans="1:60" ht="24" customHeight="1" x14ac:dyDescent="0.2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  <c r="AB685" s="234"/>
      <c r="AC685" s="234"/>
      <c r="AD685" s="234"/>
      <c r="AE685" s="234"/>
      <c r="AF685" s="234"/>
      <c r="AG685" s="234"/>
      <c r="AH685" s="234"/>
      <c r="AI685" s="234"/>
      <c r="AJ685" s="234"/>
      <c r="AK685" s="234"/>
      <c r="AL685" s="234"/>
      <c r="AM685" s="234"/>
      <c r="AN685" s="201"/>
      <c r="AO685" s="234"/>
      <c r="AP685" s="234"/>
      <c r="AQ685" s="234"/>
      <c r="AR685" s="234"/>
      <c r="AS685" s="234"/>
      <c r="AT685" s="234"/>
      <c r="AU685" s="234"/>
      <c r="AV685" s="234"/>
      <c r="AW685" s="234"/>
      <c r="AX685" s="234"/>
      <c r="AY685" s="234"/>
      <c r="AZ685" s="234"/>
      <c r="BA685" s="234"/>
      <c r="BB685" s="234"/>
      <c r="BC685" s="234"/>
      <c r="BD685" s="234"/>
      <c r="BE685" s="234"/>
      <c r="BF685" s="234"/>
      <c r="BG685" s="234"/>
      <c r="BH685" s="234"/>
    </row>
    <row r="686" spans="1:60" ht="24" customHeight="1" x14ac:dyDescent="0.25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  <c r="AB686" s="234"/>
      <c r="AC686" s="234"/>
      <c r="AD686" s="234"/>
      <c r="AE686" s="234"/>
      <c r="AF686" s="234"/>
      <c r="AG686" s="234"/>
      <c r="AH686" s="234"/>
      <c r="AI686" s="234"/>
      <c r="AJ686" s="234"/>
      <c r="AK686" s="234"/>
      <c r="AL686" s="234"/>
      <c r="AM686" s="234"/>
      <c r="AN686" s="201"/>
      <c r="AO686" s="234"/>
      <c r="AP686" s="234"/>
      <c r="AQ686" s="234"/>
      <c r="AR686" s="234"/>
      <c r="AS686" s="234"/>
      <c r="AT686" s="234"/>
      <c r="AU686" s="234"/>
      <c r="AV686" s="234"/>
      <c r="AW686" s="234"/>
      <c r="AX686" s="234"/>
      <c r="AY686" s="234"/>
      <c r="AZ686" s="234"/>
      <c r="BA686" s="234"/>
      <c r="BB686" s="234"/>
      <c r="BC686" s="234"/>
      <c r="BD686" s="234"/>
      <c r="BE686" s="234"/>
      <c r="BF686" s="234"/>
      <c r="BG686" s="234"/>
      <c r="BH686" s="234"/>
    </row>
    <row r="687" spans="1:60" ht="24" customHeight="1" x14ac:dyDescent="0.25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  <c r="AB687" s="234"/>
      <c r="AC687" s="234"/>
      <c r="AD687" s="234"/>
      <c r="AE687" s="234"/>
      <c r="AF687" s="234"/>
      <c r="AG687" s="234"/>
      <c r="AH687" s="234"/>
      <c r="AI687" s="234"/>
      <c r="AJ687" s="234"/>
      <c r="AK687" s="234"/>
      <c r="AL687" s="234"/>
      <c r="AM687" s="234"/>
      <c r="AN687" s="201"/>
      <c r="AO687" s="234"/>
      <c r="AP687" s="234"/>
      <c r="AQ687" s="234"/>
      <c r="AR687" s="234"/>
      <c r="AS687" s="234"/>
      <c r="AT687" s="234"/>
      <c r="AU687" s="234"/>
      <c r="AV687" s="234"/>
      <c r="AW687" s="234"/>
      <c r="AX687" s="234"/>
      <c r="AY687" s="234"/>
      <c r="AZ687" s="234"/>
      <c r="BA687" s="234"/>
      <c r="BB687" s="234"/>
      <c r="BC687" s="234"/>
      <c r="BD687" s="234"/>
      <c r="BE687" s="234"/>
      <c r="BF687" s="234"/>
      <c r="BG687" s="234"/>
      <c r="BH687" s="234"/>
    </row>
    <row r="688" spans="1:60" ht="24" customHeight="1" x14ac:dyDescent="0.25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  <c r="AB688" s="234"/>
      <c r="AC688" s="234"/>
      <c r="AD688" s="234"/>
      <c r="AE688" s="234"/>
      <c r="AF688" s="234"/>
      <c r="AG688" s="234"/>
      <c r="AH688" s="234"/>
      <c r="AI688" s="234"/>
      <c r="AJ688" s="234"/>
      <c r="AK688" s="234"/>
      <c r="AL688" s="234"/>
      <c r="AM688" s="234"/>
      <c r="AN688" s="201"/>
      <c r="AO688" s="234"/>
      <c r="AP688" s="234"/>
      <c r="AQ688" s="234"/>
      <c r="AR688" s="234"/>
      <c r="AS688" s="234"/>
      <c r="AT688" s="234"/>
      <c r="AU688" s="234"/>
      <c r="AV688" s="234"/>
      <c r="AW688" s="234"/>
      <c r="AX688" s="234"/>
      <c r="AY688" s="234"/>
      <c r="AZ688" s="234"/>
      <c r="BA688" s="234"/>
      <c r="BB688" s="234"/>
      <c r="BC688" s="234"/>
      <c r="BD688" s="234"/>
      <c r="BE688" s="234"/>
      <c r="BF688" s="234"/>
      <c r="BG688" s="234"/>
      <c r="BH688" s="234"/>
    </row>
    <row r="689" spans="1:60" ht="24" customHeight="1" x14ac:dyDescent="0.25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  <c r="AB689" s="234"/>
      <c r="AC689" s="234"/>
      <c r="AD689" s="234"/>
      <c r="AE689" s="234"/>
      <c r="AF689" s="234"/>
      <c r="AG689" s="234"/>
      <c r="AH689" s="234"/>
      <c r="AI689" s="234"/>
      <c r="AJ689" s="234"/>
      <c r="AK689" s="234"/>
      <c r="AL689" s="234"/>
      <c r="AM689" s="234"/>
      <c r="AN689" s="201"/>
      <c r="AO689" s="234"/>
      <c r="AP689" s="234"/>
      <c r="AQ689" s="234"/>
      <c r="AR689" s="234"/>
      <c r="AS689" s="234"/>
      <c r="AT689" s="234"/>
      <c r="AU689" s="234"/>
      <c r="AV689" s="234"/>
      <c r="AW689" s="234"/>
      <c r="AX689" s="234"/>
      <c r="AY689" s="234"/>
      <c r="AZ689" s="234"/>
      <c r="BA689" s="234"/>
      <c r="BB689" s="234"/>
      <c r="BC689" s="234"/>
      <c r="BD689" s="234"/>
      <c r="BE689" s="234"/>
      <c r="BF689" s="234"/>
      <c r="BG689" s="234"/>
      <c r="BH689" s="234"/>
    </row>
    <row r="690" spans="1:60" ht="24" customHeight="1" x14ac:dyDescent="0.25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  <c r="AB690" s="234"/>
      <c r="AC690" s="234"/>
      <c r="AD690" s="234"/>
      <c r="AE690" s="234"/>
      <c r="AF690" s="234"/>
      <c r="AG690" s="234"/>
      <c r="AH690" s="234"/>
      <c r="AI690" s="234"/>
      <c r="AJ690" s="234"/>
      <c r="AK690" s="234"/>
      <c r="AL690" s="234"/>
      <c r="AM690" s="234"/>
      <c r="AN690" s="201"/>
      <c r="AO690" s="234"/>
      <c r="AP690" s="234"/>
      <c r="AQ690" s="234"/>
      <c r="AR690" s="234"/>
      <c r="AS690" s="234"/>
      <c r="AT690" s="234"/>
      <c r="AU690" s="234"/>
      <c r="AV690" s="234"/>
      <c r="AW690" s="234"/>
      <c r="AX690" s="234"/>
      <c r="AY690" s="234"/>
      <c r="AZ690" s="234"/>
      <c r="BA690" s="234"/>
      <c r="BB690" s="234"/>
      <c r="BC690" s="234"/>
      <c r="BD690" s="234"/>
      <c r="BE690" s="234"/>
      <c r="BF690" s="234"/>
      <c r="BG690" s="234"/>
      <c r="BH690" s="234"/>
    </row>
    <row r="691" spans="1:60" ht="24" customHeight="1" x14ac:dyDescent="0.25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  <c r="AB691" s="234"/>
      <c r="AC691" s="234"/>
      <c r="AD691" s="234"/>
      <c r="AE691" s="234"/>
      <c r="AF691" s="234"/>
      <c r="AG691" s="234"/>
      <c r="AH691" s="234"/>
      <c r="AI691" s="234"/>
      <c r="AJ691" s="234"/>
      <c r="AK691" s="234"/>
      <c r="AL691" s="234"/>
      <c r="AM691" s="234"/>
      <c r="AN691" s="201"/>
      <c r="AO691" s="234"/>
      <c r="AP691" s="234"/>
      <c r="AQ691" s="234"/>
      <c r="AR691" s="234"/>
      <c r="AS691" s="234"/>
      <c r="AT691" s="234"/>
      <c r="AU691" s="234"/>
      <c r="AV691" s="234"/>
      <c r="AW691" s="234"/>
      <c r="AX691" s="234"/>
      <c r="AY691" s="234"/>
      <c r="AZ691" s="234"/>
      <c r="BA691" s="234"/>
      <c r="BB691" s="234"/>
      <c r="BC691" s="234"/>
      <c r="BD691" s="234"/>
      <c r="BE691" s="234"/>
      <c r="BF691" s="234"/>
      <c r="BG691" s="234"/>
      <c r="BH691" s="234"/>
    </row>
    <row r="692" spans="1:60" ht="24" customHeight="1" x14ac:dyDescent="0.25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  <c r="AB692" s="234"/>
      <c r="AC692" s="234"/>
      <c r="AD692" s="234"/>
      <c r="AE692" s="234"/>
      <c r="AF692" s="234"/>
      <c r="AG692" s="234"/>
      <c r="AH692" s="234"/>
      <c r="AI692" s="234"/>
      <c r="AJ692" s="234"/>
      <c r="AK692" s="234"/>
      <c r="AL692" s="234"/>
      <c r="AM692" s="234"/>
      <c r="AN692" s="201"/>
      <c r="AO692" s="234"/>
      <c r="AP692" s="234"/>
      <c r="AQ692" s="234"/>
      <c r="AR692" s="234"/>
      <c r="AS692" s="234"/>
      <c r="AT692" s="234"/>
      <c r="AU692" s="234"/>
      <c r="AV692" s="234"/>
      <c r="AW692" s="234"/>
      <c r="AX692" s="234"/>
      <c r="AY692" s="234"/>
      <c r="AZ692" s="234"/>
      <c r="BA692" s="234"/>
      <c r="BB692" s="234"/>
      <c r="BC692" s="234"/>
      <c r="BD692" s="234"/>
      <c r="BE692" s="234"/>
      <c r="BF692" s="234"/>
      <c r="BG692" s="234"/>
      <c r="BH692" s="234"/>
    </row>
    <row r="693" spans="1:60" ht="24" customHeight="1" x14ac:dyDescent="0.25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  <c r="AB693" s="234"/>
      <c r="AC693" s="234"/>
      <c r="AD693" s="234"/>
      <c r="AE693" s="234"/>
      <c r="AF693" s="234"/>
      <c r="AG693" s="234"/>
      <c r="AH693" s="234"/>
      <c r="AI693" s="234"/>
      <c r="AJ693" s="234"/>
      <c r="AK693" s="234"/>
      <c r="AL693" s="234"/>
      <c r="AM693" s="234"/>
      <c r="AN693" s="201"/>
      <c r="AO693" s="234"/>
      <c r="AP693" s="234"/>
      <c r="AQ693" s="234"/>
      <c r="AR693" s="234"/>
      <c r="AS693" s="234"/>
      <c r="AT693" s="234"/>
      <c r="AU693" s="234"/>
      <c r="AV693" s="234"/>
      <c r="AW693" s="234"/>
      <c r="AX693" s="234"/>
      <c r="AY693" s="234"/>
      <c r="AZ693" s="234"/>
      <c r="BA693" s="234"/>
      <c r="BB693" s="234"/>
      <c r="BC693" s="234"/>
      <c r="BD693" s="234"/>
      <c r="BE693" s="234"/>
      <c r="BF693" s="234"/>
      <c r="BG693" s="234"/>
      <c r="BH693" s="234"/>
    </row>
    <row r="694" spans="1:60" ht="24" customHeight="1" x14ac:dyDescent="0.25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  <c r="AB694" s="234"/>
      <c r="AC694" s="234"/>
      <c r="AD694" s="234"/>
      <c r="AE694" s="234"/>
      <c r="AF694" s="234"/>
      <c r="AG694" s="234"/>
      <c r="AH694" s="234"/>
      <c r="AI694" s="234"/>
      <c r="AJ694" s="234"/>
      <c r="AK694" s="234"/>
      <c r="AL694" s="234"/>
      <c r="AM694" s="234"/>
      <c r="AN694" s="201"/>
      <c r="AO694" s="234"/>
      <c r="AP694" s="234"/>
      <c r="AQ694" s="234"/>
      <c r="AR694" s="234"/>
      <c r="AS694" s="234"/>
      <c r="AT694" s="234"/>
      <c r="AU694" s="234"/>
      <c r="AV694" s="234"/>
      <c r="AW694" s="234"/>
      <c r="AX694" s="234"/>
      <c r="AY694" s="234"/>
      <c r="AZ694" s="234"/>
      <c r="BA694" s="234"/>
      <c r="BB694" s="234"/>
      <c r="BC694" s="234"/>
      <c r="BD694" s="234"/>
      <c r="BE694" s="234"/>
      <c r="BF694" s="234"/>
      <c r="BG694" s="234"/>
      <c r="BH694" s="234"/>
    </row>
    <row r="695" spans="1:60" ht="24" customHeight="1" x14ac:dyDescent="0.2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  <c r="AB695" s="234"/>
      <c r="AC695" s="234"/>
      <c r="AD695" s="234"/>
      <c r="AE695" s="234"/>
      <c r="AF695" s="234"/>
      <c r="AG695" s="234"/>
      <c r="AH695" s="234"/>
      <c r="AI695" s="234"/>
      <c r="AJ695" s="234"/>
      <c r="AK695" s="234"/>
      <c r="AL695" s="234"/>
      <c r="AM695" s="234"/>
      <c r="AN695" s="201"/>
      <c r="AO695" s="234"/>
      <c r="AP695" s="234"/>
      <c r="AQ695" s="234"/>
      <c r="AR695" s="234"/>
      <c r="AS695" s="234"/>
      <c r="AT695" s="234"/>
      <c r="AU695" s="234"/>
      <c r="AV695" s="234"/>
      <c r="AW695" s="234"/>
      <c r="AX695" s="234"/>
      <c r="AY695" s="234"/>
      <c r="AZ695" s="234"/>
      <c r="BA695" s="234"/>
      <c r="BB695" s="234"/>
      <c r="BC695" s="234"/>
      <c r="BD695" s="234"/>
      <c r="BE695" s="234"/>
      <c r="BF695" s="234"/>
      <c r="BG695" s="234"/>
      <c r="BH695" s="234"/>
    </row>
    <row r="696" spans="1:60" ht="24" customHeight="1" x14ac:dyDescent="0.25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  <c r="AB696" s="234"/>
      <c r="AC696" s="234"/>
      <c r="AD696" s="234"/>
      <c r="AE696" s="234"/>
      <c r="AF696" s="234"/>
      <c r="AG696" s="234"/>
      <c r="AH696" s="234"/>
      <c r="AI696" s="234"/>
      <c r="AJ696" s="234"/>
      <c r="AK696" s="234"/>
      <c r="AL696" s="234"/>
      <c r="AM696" s="234"/>
      <c r="AN696" s="201"/>
      <c r="AO696" s="234"/>
      <c r="AP696" s="234"/>
      <c r="AQ696" s="234"/>
      <c r="AR696" s="234"/>
      <c r="AS696" s="234"/>
      <c r="AT696" s="234"/>
      <c r="AU696" s="234"/>
      <c r="AV696" s="234"/>
      <c r="AW696" s="234"/>
      <c r="AX696" s="234"/>
      <c r="AY696" s="234"/>
      <c r="AZ696" s="234"/>
      <c r="BA696" s="234"/>
      <c r="BB696" s="234"/>
      <c r="BC696" s="234"/>
      <c r="BD696" s="234"/>
      <c r="BE696" s="234"/>
      <c r="BF696" s="234"/>
      <c r="BG696" s="234"/>
      <c r="BH696" s="234"/>
    </row>
    <row r="697" spans="1:60" ht="24" customHeight="1" x14ac:dyDescent="0.25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  <c r="AB697" s="234"/>
      <c r="AC697" s="234"/>
      <c r="AD697" s="234"/>
      <c r="AE697" s="234"/>
      <c r="AF697" s="234"/>
      <c r="AG697" s="234"/>
      <c r="AH697" s="234"/>
      <c r="AI697" s="234"/>
      <c r="AJ697" s="234"/>
      <c r="AK697" s="234"/>
      <c r="AL697" s="234"/>
      <c r="AM697" s="234"/>
      <c r="AN697" s="201"/>
      <c r="AO697" s="234"/>
      <c r="AP697" s="234"/>
      <c r="AQ697" s="234"/>
      <c r="AR697" s="234"/>
      <c r="AS697" s="234"/>
      <c r="AT697" s="234"/>
      <c r="AU697" s="234"/>
      <c r="AV697" s="234"/>
      <c r="AW697" s="234"/>
      <c r="AX697" s="234"/>
      <c r="AY697" s="234"/>
      <c r="AZ697" s="234"/>
      <c r="BA697" s="234"/>
      <c r="BB697" s="234"/>
      <c r="BC697" s="234"/>
      <c r="BD697" s="234"/>
      <c r="BE697" s="234"/>
      <c r="BF697" s="234"/>
      <c r="BG697" s="234"/>
      <c r="BH697" s="234"/>
    </row>
    <row r="698" spans="1:60" ht="24" customHeight="1" x14ac:dyDescent="0.25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  <c r="AB698" s="234"/>
      <c r="AC698" s="234"/>
      <c r="AD698" s="234"/>
      <c r="AE698" s="234"/>
      <c r="AF698" s="234"/>
      <c r="AG698" s="234"/>
      <c r="AH698" s="234"/>
      <c r="AI698" s="234"/>
      <c r="AJ698" s="234"/>
      <c r="AK698" s="234"/>
      <c r="AL698" s="234"/>
      <c r="AM698" s="234"/>
      <c r="AN698" s="201"/>
      <c r="AO698" s="234"/>
      <c r="AP698" s="234"/>
      <c r="AQ698" s="234"/>
      <c r="AR698" s="234"/>
      <c r="AS698" s="234"/>
      <c r="AT698" s="234"/>
      <c r="AU698" s="234"/>
      <c r="AV698" s="234"/>
      <c r="AW698" s="234"/>
      <c r="AX698" s="234"/>
      <c r="AY698" s="234"/>
      <c r="AZ698" s="234"/>
      <c r="BA698" s="234"/>
      <c r="BB698" s="234"/>
      <c r="BC698" s="234"/>
      <c r="BD698" s="234"/>
      <c r="BE698" s="234"/>
      <c r="BF698" s="234"/>
      <c r="BG698" s="234"/>
      <c r="BH698" s="234"/>
    </row>
    <row r="699" spans="1:60" ht="24" customHeight="1" x14ac:dyDescent="0.25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  <c r="AB699" s="234"/>
      <c r="AC699" s="234"/>
      <c r="AD699" s="234"/>
      <c r="AE699" s="234"/>
      <c r="AF699" s="234"/>
      <c r="AG699" s="234"/>
      <c r="AH699" s="234"/>
      <c r="AI699" s="234"/>
      <c r="AJ699" s="234"/>
      <c r="AK699" s="234"/>
      <c r="AL699" s="234"/>
      <c r="AM699" s="234"/>
      <c r="AN699" s="201"/>
      <c r="AO699" s="234"/>
      <c r="AP699" s="234"/>
      <c r="AQ699" s="234"/>
      <c r="AR699" s="234"/>
      <c r="AS699" s="234"/>
      <c r="AT699" s="234"/>
      <c r="AU699" s="234"/>
      <c r="AV699" s="234"/>
      <c r="AW699" s="234"/>
      <c r="AX699" s="234"/>
      <c r="AY699" s="234"/>
      <c r="AZ699" s="234"/>
      <c r="BA699" s="234"/>
      <c r="BB699" s="234"/>
      <c r="BC699" s="234"/>
      <c r="BD699" s="234"/>
      <c r="BE699" s="234"/>
      <c r="BF699" s="234"/>
      <c r="BG699" s="234"/>
      <c r="BH699" s="234"/>
    </row>
    <row r="700" spans="1:60" ht="24" customHeight="1" x14ac:dyDescent="0.25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  <c r="AB700" s="234"/>
      <c r="AC700" s="234"/>
      <c r="AD700" s="234"/>
      <c r="AE700" s="234"/>
      <c r="AF700" s="234"/>
      <c r="AG700" s="234"/>
      <c r="AH700" s="234"/>
      <c r="AI700" s="234"/>
      <c r="AJ700" s="234"/>
      <c r="AK700" s="234"/>
      <c r="AL700" s="234"/>
      <c r="AM700" s="234"/>
      <c r="AN700" s="201"/>
      <c r="AO700" s="234"/>
      <c r="AP700" s="234"/>
      <c r="AQ700" s="234"/>
      <c r="AR700" s="234"/>
      <c r="AS700" s="234"/>
      <c r="AT700" s="234"/>
      <c r="AU700" s="234"/>
      <c r="AV700" s="234"/>
      <c r="AW700" s="234"/>
      <c r="AX700" s="234"/>
      <c r="AY700" s="234"/>
      <c r="AZ700" s="234"/>
      <c r="BA700" s="234"/>
      <c r="BB700" s="234"/>
      <c r="BC700" s="234"/>
      <c r="BD700" s="234"/>
      <c r="BE700" s="234"/>
      <c r="BF700" s="234"/>
      <c r="BG700" s="234"/>
      <c r="BH700" s="234"/>
    </row>
    <row r="701" spans="1:60" ht="24" customHeight="1" x14ac:dyDescent="0.25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  <c r="AB701" s="234"/>
      <c r="AC701" s="234"/>
      <c r="AD701" s="234"/>
      <c r="AE701" s="234"/>
      <c r="AF701" s="234"/>
      <c r="AG701" s="234"/>
      <c r="AH701" s="234"/>
      <c r="AI701" s="234"/>
      <c r="AJ701" s="234"/>
      <c r="AK701" s="234"/>
      <c r="AL701" s="234"/>
      <c r="AM701" s="234"/>
      <c r="AN701" s="201"/>
      <c r="AO701" s="234"/>
      <c r="AP701" s="234"/>
      <c r="AQ701" s="234"/>
      <c r="AR701" s="234"/>
      <c r="AS701" s="234"/>
      <c r="AT701" s="234"/>
      <c r="AU701" s="234"/>
      <c r="AV701" s="234"/>
      <c r="AW701" s="234"/>
      <c r="AX701" s="234"/>
      <c r="AY701" s="234"/>
      <c r="AZ701" s="234"/>
      <c r="BA701" s="234"/>
      <c r="BB701" s="234"/>
      <c r="BC701" s="234"/>
      <c r="BD701" s="234"/>
      <c r="BE701" s="234"/>
      <c r="BF701" s="234"/>
      <c r="BG701" s="234"/>
      <c r="BH701" s="234"/>
    </row>
    <row r="702" spans="1:60" ht="24" customHeight="1" x14ac:dyDescent="0.25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  <c r="AB702" s="234"/>
      <c r="AC702" s="234"/>
      <c r="AD702" s="234"/>
      <c r="AE702" s="234"/>
      <c r="AF702" s="234"/>
      <c r="AG702" s="234"/>
      <c r="AH702" s="234"/>
      <c r="AI702" s="234"/>
      <c r="AJ702" s="234"/>
      <c r="AK702" s="234"/>
      <c r="AL702" s="234"/>
      <c r="AM702" s="234"/>
      <c r="AN702" s="201"/>
      <c r="AO702" s="234"/>
      <c r="AP702" s="234"/>
      <c r="AQ702" s="234"/>
      <c r="AR702" s="234"/>
      <c r="AS702" s="234"/>
      <c r="AT702" s="234"/>
      <c r="AU702" s="234"/>
      <c r="AV702" s="234"/>
      <c r="AW702" s="234"/>
      <c r="AX702" s="234"/>
      <c r="AY702" s="234"/>
      <c r="AZ702" s="234"/>
      <c r="BA702" s="234"/>
      <c r="BB702" s="234"/>
      <c r="BC702" s="234"/>
      <c r="BD702" s="234"/>
      <c r="BE702" s="234"/>
      <c r="BF702" s="234"/>
      <c r="BG702" s="234"/>
      <c r="BH702" s="234"/>
    </row>
    <row r="703" spans="1:60" ht="24" customHeight="1" x14ac:dyDescent="0.25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  <c r="AB703" s="234"/>
      <c r="AC703" s="234"/>
      <c r="AD703" s="234"/>
      <c r="AE703" s="234"/>
      <c r="AF703" s="234"/>
      <c r="AG703" s="234"/>
      <c r="AH703" s="234"/>
      <c r="AI703" s="234"/>
      <c r="AJ703" s="234"/>
      <c r="AK703" s="234"/>
      <c r="AL703" s="234"/>
      <c r="AM703" s="234"/>
      <c r="AN703" s="201"/>
      <c r="AO703" s="234"/>
      <c r="AP703" s="234"/>
      <c r="AQ703" s="234"/>
      <c r="AR703" s="234"/>
      <c r="AS703" s="234"/>
      <c r="AT703" s="234"/>
      <c r="AU703" s="234"/>
      <c r="AV703" s="234"/>
      <c r="AW703" s="234"/>
      <c r="AX703" s="234"/>
      <c r="AY703" s="234"/>
      <c r="AZ703" s="234"/>
      <c r="BA703" s="234"/>
      <c r="BB703" s="234"/>
      <c r="BC703" s="234"/>
      <c r="BD703" s="234"/>
      <c r="BE703" s="234"/>
      <c r="BF703" s="234"/>
      <c r="BG703" s="234"/>
      <c r="BH703" s="234"/>
    </row>
    <row r="704" spans="1:60" ht="24" customHeight="1" x14ac:dyDescent="0.25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  <c r="AB704" s="234"/>
      <c r="AC704" s="234"/>
      <c r="AD704" s="234"/>
      <c r="AE704" s="234"/>
      <c r="AF704" s="234"/>
      <c r="AG704" s="234"/>
      <c r="AH704" s="234"/>
      <c r="AI704" s="234"/>
      <c r="AJ704" s="234"/>
      <c r="AK704" s="234"/>
      <c r="AL704" s="234"/>
      <c r="AM704" s="234"/>
      <c r="AN704" s="201"/>
      <c r="AO704" s="234"/>
      <c r="AP704" s="234"/>
      <c r="AQ704" s="234"/>
      <c r="AR704" s="234"/>
      <c r="AS704" s="234"/>
      <c r="AT704" s="234"/>
      <c r="AU704" s="234"/>
      <c r="AV704" s="234"/>
      <c r="AW704" s="234"/>
      <c r="AX704" s="234"/>
      <c r="AY704" s="234"/>
      <c r="AZ704" s="234"/>
      <c r="BA704" s="234"/>
      <c r="BB704" s="234"/>
      <c r="BC704" s="234"/>
      <c r="BD704" s="234"/>
      <c r="BE704" s="234"/>
      <c r="BF704" s="234"/>
      <c r="BG704" s="234"/>
      <c r="BH704" s="234"/>
    </row>
    <row r="705" spans="1:60" ht="24" customHeight="1" x14ac:dyDescent="0.2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  <c r="AB705" s="234"/>
      <c r="AC705" s="234"/>
      <c r="AD705" s="234"/>
      <c r="AE705" s="234"/>
      <c r="AF705" s="234"/>
      <c r="AG705" s="234"/>
      <c r="AH705" s="234"/>
      <c r="AI705" s="234"/>
      <c r="AJ705" s="234"/>
      <c r="AK705" s="234"/>
      <c r="AL705" s="234"/>
      <c r="AM705" s="234"/>
      <c r="AN705" s="201"/>
      <c r="AO705" s="234"/>
      <c r="AP705" s="234"/>
      <c r="AQ705" s="234"/>
      <c r="AR705" s="234"/>
      <c r="AS705" s="234"/>
      <c r="AT705" s="234"/>
      <c r="AU705" s="234"/>
      <c r="AV705" s="234"/>
      <c r="AW705" s="234"/>
      <c r="AX705" s="234"/>
      <c r="AY705" s="234"/>
      <c r="AZ705" s="234"/>
      <c r="BA705" s="234"/>
      <c r="BB705" s="234"/>
      <c r="BC705" s="234"/>
      <c r="BD705" s="234"/>
      <c r="BE705" s="234"/>
      <c r="BF705" s="234"/>
      <c r="BG705" s="234"/>
      <c r="BH705" s="234"/>
    </row>
    <row r="706" spans="1:60" ht="24" customHeight="1" x14ac:dyDescent="0.25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  <c r="AB706" s="234"/>
      <c r="AC706" s="234"/>
      <c r="AD706" s="234"/>
      <c r="AE706" s="234"/>
      <c r="AF706" s="234"/>
      <c r="AG706" s="234"/>
      <c r="AH706" s="234"/>
      <c r="AI706" s="234"/>
      <c r="AJ706" s="234"/>
      <c r="AK706" s="234"/>
      <c r="AL706" s="234"/>
      <c r="AM706" s="234"/>
      <c r="AN706" s="201"/>
      <c r="AO706" s="234"/>
      <c r="AP706" s="234"/>
      <c r="AQ706" s="234"/>
      <c r="AR706" s="234"/>
      <c r="AS706" s="234"/>
      <c r="AT706" s="234"/>
      <c r="AU706" s="234"/>
      <c r="AV706" s="234"/>
      <c r="AW706" s="234"/>
      <c r="AX706" s="234"/>
      <c r="AY706" s="234"/>
      <c r="AZ706" s="234"/>
      <c r="BA706" s="234"/>
      <c r="BB706" s="234"/>
      <c r="BC706" s="234"/>
      <c r="BD706" s="234"/>
      <c r="BE706" s="234"/>
      <c r="BF706" s="234"/>
      <c r="BG706" s="234"/>
      <c r="BH706" s="234"/>
    </row>
    <row r="707" spans="1:60" ht="24" customHeight="1" x14ac:dyDescent="0.25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  <c r="AB707" s="234"/>
      <c r="AC707" s="234"/>
      <c r="AD707" s="234"/>
      <c r="AE707" s="234"/>
      <c r="AF707" s="234"/>
      <c r="AG707" s="234"/>
      <c r="AH707" s="234"/>
      <c r="AI707" s="234"/>
      <c r="AJ707" s="234"/>
      <c r="AK707" s="234"/>
      <c r="AL707" s="234"/>
      <c r="AM707" s="234"/>
      <c r="AN707" s="201"/>
      <c r="AO707" s="234"/>
      <c r="AP707" s="234"/>
      <c r="AQ707" s="234"/>
      <c r="AR707" s="234"/>
      <c r="AS707" s="234"/>
      <c r="AT707" s="234"/>
      <c r="AU707" s="234"/>
      <c r="AV707" s="234"/>
      <c r="AW707" s="234"/>
      <c r="AX707" s="234"/>
      <c r="AY707" s="234"/>
      <c r="AZ707" s="234"/>
      <c r="BA707" s="234"/>
      <c r="BB707" s="234"/>
      <c r="BC707" s="234"/>
      <c r="BD707" s="234"/>
      <c r="BE707" s="234"/>
      <c r="BF707" s="234"/>
      <c r="BG707" s="234"/>
      <c r="BH707" s="234"/>
    </row>
    <row r="708" spans="1:60" ht="24" customHeight="1" x14ac:dyDescent="0.25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  <c r="AB708" s="234"/>
      <c r="AC708" s="234"/>
      <c r="AD708" s="234"/>
      <c r="AE708" s="234"/>
      <c r="AF708" s="234"/>
      <c r="AG708" s="234"/>
      <c r="AH708" s="234"/>
      <c r="AI708" s="234"/>
      <c r="AJ708" s="234"/>
      <c r="AK708" s="234"/>
      <c r="AL708" s="234"/>
      <c r="AM708" s="234"/>
      <c r="AN708" s="201"/>
      <c r="AO708" s="234"/>
      <c r="AP708" s="234"/>
      <c r="AQ708" s="234"/>
      <c r="AR708" s="234"/>
      <c r="AS708" s="234"/>
      <c r="AT708" s="234"/>
      <c r="AU708" s="234"/>
      <c r="AV708" s="234"/>
      <c r="AW708" s="234"/>
      <c r="AX708" s="234"/>
      <c r="AY708" s="234"/>
      <c r="AZ708" s="234"/>
      <c r="BA708" s="234"/>
      <c r="BB708" s="234"/>
      <c r="BC708" s="234"/>
      <c r="BD708" s="234"/>
      <c r="BE708" s="234"/>
      <c r="BF708" s="234"/>
      <c r="BG708" s="234"/>
      <c r="BH708" s="234"/>
    </row>
    <row r="709" spans="1:60" ht="24" customHeight="1" x14ac:dyDescent="0.25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  <c r="AB709" s="234"/>
      <c r="AC709" s="234"/>
      <c r="AD709" s="234"/>
      <c r="AE709" s="234"/>
      <c r="AF709" s="234"/>
      <c r="AG709" s="234"/>
      <c r="AH709" s="234"/>
      <c r="AI709" s="234"/>
      <c r="AJ709" s="234"/>
      <c r="AK709" s="234"/>
      <c r="AL709" s="234"/>
      <c r="AM709" s="234"/>
      <c r="AN709" s="201"/>
      <c r="AO709" s="234"/>
      <c r="AP709" s="234"/>
      <c r="AQ709" s="234"/>
      <c r="AR709" s="234"/>
      <c r="AS709" s="234"/>
      <c r="AT709" s="234"/>
      <c r="AU709" s="234"/>
      <c r="AV709" s="234"/>
      <c r="AW709" s="234"/>
      <c r="AX709" s="234"/>
      <c r="AY709" s="234"/>
      <c r="AZ709" s="234"/>
      <c r="BA709" s="234"/>
      <c r="BB709" s="234"/>
      <c r="BC709" s="234"/>
      <c r="BD709" s="234"/>
      <c r="BE709" s="234"/>
      <c r="BF709" s="234"/>
      <c r="BG709" s="234"/>
      <c r="BH709" s="234"/>
    </row>
    <row r="710" spans="1:60" ht="24" customHeight="1" x14ac:dyDescent="0.25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  <c r="AB710" s="234"/>
      <c r="AC710" s="234"/>
      <c r="AD710" s="234"/>
      <c r="AE710" s="234"/>
      <c r="AF710" s="234"/>
      <c r="AG710" s="234"/>
      <c r="AH710" s="234"/>
      <c r="AI710" s="234"/>
      <c r="AJ710" s="234"/>
      <c r="AK710" s="234"/>
      <c r="AL710" s="234"/>
      <c r="AM710" s="234"/>
      <c r="AN710" s="201"/>
      <c r="AO710" s="234"/>
      <c r="AP710" s="234"/>
      <c r="AQ710" s="234"/>
      <c r="AR710" s="234"/>
      <c r="AS710" s="234"/>
      <c r="AT710" s="234"/>
      <c r="AU710" s="234"/>
      <c r="AV710" s="234"/>
      <c r="AW710" s="234"/>
      <c r="AX710" s="234"/>
      <c r="AY710" s="234"/>
      <c r="AZ710" s="234"/>
      <c r="BA710" s="234"/>
      <c r="BB710" s="234"/>
      <c r="BC710" s="234"/>
      <c r="BD710" s="234"/>
      <c r="BE710" s="234"/>
      <c r="BF710" s="234"/>
      <c r="BG710" s="234"/>
      <c r="BH710" s="234"/>
    </row>
    <row r="711" spans="1:60" ht="24" customHeight="1" x14ac:dyDescent="0.25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  <c r="AB711" s="234"/>
      <c r="AC711" s="234"/>
      <c r="AD711" s="234"/>
      <c r="AE711" s="234"/>
      <c r="AF711" s="234"/>
      <c r="AG711" s="234"/>
      <c r="AH711" s="234"/>
      <c r="AI711" s="234"/>
      <c r="AJ711" s="234"/>
      <c r="AK711" s="234"/>
      <c r="AL711" s="234"/>
      <c r="AM711" s="234"/>
      <c r="AN711" s="201"/>
      <c r="AO711" s="234"/>
      <c r="AP711" s="234"/>
      <c r="AQ711" s="234"/>
      <c r="AR711" s="234"/>
      <c r="AS711" s="234"/>
      <c r="AT711" s="234"/>
      <c r="AU711" s="234"/>
      <c r="AV711" s="234"/>
      <c r="AW711" s="234"/>
      <c r="AX711" s="234"/>
      <c r="AY711" s="234"/>
      <c r="AZ711" s="234"/>
      <c r="BA711" s="234"/>
      <c r="BB711" s="234"/>
      <c r="BC711" s="234"/>
      <c r="BD711" s="234"/>
      <c r="BE711" s="234"/>
      <c r="BF711" s="234"/>
      <c r="BG711" s="234"/>
      <c r="BH711" s="234"/>
    </row>
    <row r="712" spans="1:60" ht="24" customHeight="1" x14ac:dyDescent="0.25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  <c r="AB712" s="234"/>
      <c r="AC712" s="234"/>
      <c r="AD712" s="234"/>
      <c r="AE712" s="234"/>
      <c r="AF712" s="234"/>
      <c r="AG712" s="234"/>
      <c r="AH712" s="234"/>
      <c r="AI712" s="234"/>
      <c r="AJ712" s="234"/>
      <c r="AK712" s="234"/>
      <c r="AL712" s="234"/>
      <c r="AM712" s="234"/>
      <c r="AN712" s="201"/>
      <c r="AO712" s="234"/>
      <c r="AP712" s="234"/>
      <c r="AQ712" s="234"/>
      <c r="AR712" s="234"/>
      <c r="AS712" s="234"/>
      <c r="AT712" s="234"/>
      <c r="AU712" s="234"/>
      <c r="AV712" s="234"/>
      <c r="AW712" s="234"/>
      <c r="AX712" s="234"/>
      <c r="AY712" s="234"/>
      <c r="AZ712" s="234"/>
      <c r="BA712" s="234"/>
      <c r="BB712" s="234"/>
      <c r="BC712" s="234"/>
      <c r="BD712" s="234"/>
      <c r="BE712" s="234"/>
      <c r="BF712" s="234"/>
      <c r="BG712" s="234"/>
      <c r="BH712" s="234"/>
    </row>
    <row r="713" spans="1:60" ht="24" customHeight="1" x14ac:dyDescent="0.25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  <c r="AB713" s="234"/>
      <c r="AC713" s="234"/>
      <c r="AD713" s="234"/>
      <c r="AE713" s="234"/>
      <c r="AF713" s="234"/>
      <c r="AG713" s="234"/>
      <c r="AH713" s="234"/>
      <c r="AI713" s="234"/>
      <c r="AJ713" s="234"/>
      <c r="AK713" s="234"/>
      <c r="AL713" s="234"/>
      <c r="AM713" s="234"/>
      <c r="AN713" s="201"/>
      <c r="AO713" s="234"/>
      <c r="AP713" s="234"/>
      <c r="AQ713" s="234"/>
      <c r="AR713" s="234"/>
      <c r="AS713" s="234"/>
      <c r="AT713" s="234"/>
      <c r="AU713" s="234"/>
      <c r="AV713" s="234"/>
      <c r="AW713" s="234"/>
      <c r="AX713" s="234"/>
      <c r="AY713" s="234"/>
      <c r="AZ713" s="234"/>
      <c r="BA713" s="234"/>
      <c r="BB713" s="234"/>
      <c r="BC713" s="234"/>
      <c r="BD713" s="234"/>
      <c r="BE713" s="234"/>
      <c r="BF713" s="234"/>
      <c r="BG713" s="234"/>
      <c r="BH713" s="234"/>
    </row>
    <row r="714" spans="1:60" ht="24" customHeight="1" x14ac:dyDescent="0.25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  <c r="AB714" s="234"/>
      <c r="AC714" s="234"/>
      <c r="AD714" s="234"/>
      <c r="AE714" s="234"/>
      <c r="AF714" s="234"/>
      <c r="AG714" s="234"/>
      <c r="AH714" s="234"/>
      <c r="AI714" s="234"/>
      <c r="AJ714" s="234"/>
      <c r="AK714" s="234"/>
      <c r="AL714" s="234"/>
      <c r="AM714" s="234"/>
      <c r="AN714" s="201"/>
      <c r="AO714" s="234"/>
      <c r="AP714" s="234"/>
      <c r="AQ714" s="234"/>
      <c r="AR714" s="234"/>
      <c r="AS714" s="234"/>
      <c r="AT714" s="234"/>
      <c r="AU714" s="234"/>
      <c r="AV714" s="234"/>
      <c r="AW714" s="234"/>
      <c r="AX714" s="234"/>
      <c r="AY714" s="234"/>
      <c r="AZ714" s="234"/>
      <c r="BA714" s="234"/>
      <c r="BB714" s="234"/>
      <c r="BC714" s="234"/>
      <c r="BD714" s="234"/>
      <c r="BE714" s="234"/>
      <c r="BF714" s="234"/>
      <c r="BG714" s="234"/>
      <c r="BH714" s="234"/>
    </row>
    <row r="715" spans="1:60" ht="24" customHeight="1" x14ac:dyDescent="0.2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  <c r="AB715" s="234"/>
      <c r="AC715" s="234"/>
      <c r="AD715" s="234"/>
      <c r="AE715" s="234"/>
      <c r="AF715" s="234"/>
      <c r="AG715" s="234"/>
      <c r="AH715" s="234"/>
      <c r="AI715" s="234"/>
      <c r="AJ715" s="234"/>
      <c r="AK715" s="234"/>
      <c r="AL715" s="234"/>
      <c r="AM715" s="234"/>
      <c r="AN715" s="201"/>
      <c r="AO715" s="234"/>
      <c r="AP715" s="234"/>
      <c r="AQ715" s="234"/>
      <c r="AR715" s="234"/>
      <c r="AS715" s="234"/>
      <c r="AT715" s="234"/>
      <c r="AU715" s="234"/>
      <c r="AV715" s="234"/>
      <c r="AW715" s="234"/>
      <c r="AX715" s="234"/>
      <c r="AY715" s="234"/>
      <c r="AZ715" s="234"/>
      <c r="BA715" s="234"/>
      <c r="BB715" s="234"/>
      <c r="BC715" s="234"/>
      <c r="BD715" s="234"/>
      <c r="BE715" s="234"/>
      <c r="BF715" s="234"/>
      <c r="BG715" s="234"/>
      <c r="BH715" s="234"/>
    </row>
    <row r="716" spans="1:60" ht="24" customHeight="1" x14ac:dyDescent="0.25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  <c r="AB716" s="234"/>
      <c r="AC716" s="234"/>
      <c r="AD716" s="234"/>
      <c r="AE716" s="234"/>
      <c r="AF716" s="234"/>
      <c r="AG716" s="234"/>
      <c r="AH716" s="234"/>
      <c r="AI716" s="234"/>
      <c r="AJ716" s="234"/>
      <c r="AK716" s="234"/>
      <c r="AL716" s="234"/>
      <c r="AM716" s="234"/>
      <c r="AN716" s="201"/>
      <c r="AO716" s="234"/>
      <c r="AP716" s="234"/>
      <c r="AQ716" s="234"/>
      <c r="AR716" s="234"/>
      <c r="AS716" s="234"/>
      <c r="AT716" s="234"/>
      <c r="AU716" s="234"/>
      <c r="AV716" s="234"/>
      <c r="AW716" s="234"/>
      <c r="AX716" s="234"/>
      <c r="AY716" s="234"/>
      <c r="AZ716" s="234"/>
      <c r="BA716" s="234"/>
      <c r="BB716" s="234"/>
      <c r="BC716" s="234"/>
      <c r="BD716" s="234"/>
      <c r="BE716" s="234"/>
      <c r="BF716" s="234"/>
      <c r="BG716" s="234"/>
      <c r="BH716" s="234"/>
    </row>
    <row r="717" spans="1:60" ht="24" customHeight="1" x14ac:dyDescent="0.25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  <c r="AB717" s="234"/>
      <c r="AC717" s="234"/>
      <c r="AD717" s="234"/>
      <c r="AE717" s="234"/>
      <c r="AF717" s="234"/>
      <c r="AG717" s="234"/>
      <c r="AH717" s="234"/>
      <c r="AI717" s="234"/>
      <c r="AJ717" s="234"/>
      <c r="AK717" s="234"/>
      <c r="AL717" s="234"/>
      <c r="AM717" s="234"/>
      <c r="AN717" s="201"/>
      <c r="AO717" s="234"/>
      <c r="AP717" s="234"/>
      <c r="AQ717" s="234"/>
      <c r="AR717" s="234"/>
      <c r="AS717" s="234"/>
      <c r="AT717" s="234"/>
      <c r="AU717" s="234"/>
      <c r="AV717" s="234"/>
      <c r="AW717" s="234"/>
      <c r="AX717" s="234"/>
      <c r="AY717" s="234"/>
      <c r="AZ717" s="234"/>
      <c r="BA717" s="234"/>
      <c r="BB717" s="234"/>
      <c r="BC717" s="234"/>
      <c r="BD717" s="234"/>
      <c r="BE717" s="234"/>
      <c r="BF717" s="234"/>
      <c r="BG717" s="234"/>
      <c r="BH717" s="234"/>
    </row>
    <row r="718" spans="1:60" ht="24" customHeight="1" x14ac:dyDescent="0.25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  <c r="AB718" s="234"/>
      <c r="AC718" s="234"/>
      <c r="AD718" s="234"/>
      <c r="AE718" s="234"/>
      <c r="AF718" s="234"/>
      <c r="AG718" s="234"/>
      <c r="AH718" s="234"/>
      <c r="AI718" s="234"/>
      <c r="AJ718" s="234"/>
      <c r="AK718" s="234"/>
      <c r="AL718" s="234"/>
      <c r="AM718" s="234"/>
      <c r="AN718" s="201"/>
      <c r="AO718" s="234"/>
      <c r="AP718" s="234"/>
      <c r="AQ718" s="234"/>
      <c r="AR718" s="234"/>
      <c r="AS718" s="234"/>
      <c r="AT718" s="234"/>
      <c r="AU718" s="234"/>
      <c r="AV718" s="234"/>
      <c r="AW718" s="234"/>
      <c r="AX718" s="234"/>
      <c r="AY718" s="234"/>
      <c r="AZ718" s="234"/>
      <c r="BA718" s="234"/>
      <c r="BB718" s="234"/>
      <c r="BC718" s="234"/>
      <c r="BD718" s="234"/>
      <c r="BE718" s="234"/>
      <c r="BF718" s="234"/>
      <c r="BG718" s="234"/>
      <c r="BH718" s="234"/>
    </row>
    <row r="719" spans="1:60" ht="24" customHeight="1" x14ac:dyDescent="0.25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  <c r="AB719" s="234"/>
      <c r="AC719" s="234"/>
      <c r="AD719" s="234"/>
      <c r="AE719" s="234"/>
      <c r="AF719" s="234"/>
      <c r="AG719" s="234"/>
      <c r="AH719" s="234"/>
      <c r="AI719" s="234"/>
      <c r="AJ719" s="234"/>
      <c r="AK719" s="234"/>
      <c r="AL719" s="234"/>
      <c r="AM719" s="234"/>
      <c r="AN719" s="201"/>
      <c r="AO719" s="234"/>
      <c r="AP719" s="234"/>
      <c r="AQ719" s="234"/>
      <c r="AR719" s="234"/>
      <c r="AS719" s="234"/>
      <c r="AT719" s="234"/>
      <c r="AU719" s="234"/>
      <c r="AV719" s="234"/>
      <c r="AW719" s="234"/>
      <c r="AX719" s="234"/>
      <c r="AY719" s="234"/>
      <c r="AZ719" s="234"/>
      <c r="BA719" s="234"/>
      <c r="BB719" s="234"/>
      <c r="BC719" s="234"/>
      <c r="BD719" s="234"/>
      <c r="BE719" s="234"/>
      <c r="BF719" s="234"/>
      <c r="BG719" s="234"/>
      <c r="BH719" s="234"/>
    </row>
    <row r="720" spans="1:60" ht="24" customHeight="1" x14ac:dyDescent="0.25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  <c r="AB720" s="234"/>
      <c r="AC720" s="234"/>
      <c r="AD720" s="234"/>
      <c r="AE720" s="234"/>
      <c r="AF720" s="234"/>
      <c r="AG720" s="234"/>
      <c r="AH720" s="234"/>
      <c r="AI720" s="234"/>
      <c r="AJ720" s="234"/>
      <c r="AK720" s="234"/>
      <c r="AL720" s="234"/>
      <c r="AM720" s="234"/>
      <c r="AN720" s="201"/>
      <c r="AO720" s="234"/>
      <c r="AP720" s="234"/>
      <c r="AQ720" s="234"/>
      <c r="AR720" s="234"/>
      <c r="AS720" s="234"/>
      <c r="AT720" s="234"/>
      <c r="AU720" s="234"/>
      <c r="AV720" s="234"/>
      <c r="AW720" s="234"/>
      <c r="AX720" s="234"/>
      <c r="AY720" s="234"/>
      <c r="AZ720" s="234"/>
      <c r="BA720" s="234"/>
      <c r="BB720" s="234"/>
      <c r="BC720" s="234"/>
      <c r="BD720" s="234"/>
      <c r="BE720" s="234"/>
      <c r="BF720" s="234"/>
      <c r="BG720" s="234"/>
      <c r="BH720" s="234"/>
    </row>
    <row r="721" spans="1:60" ht="24" customHeight="1" x14ac:dyDescent="0.25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  <c r="AB721" s="234"/>
      <c r="AC721" s="234"/>
      <c r="AD721" s="234"/>
      <c r="AE721" s="234"/>
      <c r="AF721" s="234"/>
      <c r="AG721" s="234"/>
      <c r="AH721" s="234"/>
      <c r="AI721" s="234"/>
      <c r="AJ721" s="234"/>
      <c r="AK721" s="234"/>
      <c r="AL721" s="234"/>
      <c r="AM721" s="234"/>
      <c r="AN721" s="201"/>
      <c r="AO721" s="234"/>
      <c r="AP721" s="234"/>
      <c r="AQ721" s="234"/>
      <c r="AR721" s="234"/>
      <c r="AS721" s="234"/>
      <c r="AT721" s="234"/>
      <c r="AU721" s="234"/>
      <c r="AV721" s="234"/>
      <c r="AW721" s="234"/>
      <c r="AX721" s="234"/>
      <c r="AY721" s="234"/>
      <c r="AZ721" s="234"/>
      <c r="BA721" s="234"/>
      <c r="BB721" s="234"/>
      <c r="BC721" s="234"/>
      <c r="BD721" s="234"/>
      <c r="BE721" s="234"/>
      <c r="BF721" s="234"/>
      <c r="BG721" s="234"/>
      <c r="BH721" s="234"/>
    </row>
    <row r="722" spans="1:60" ht="24" customHeight="1" x14ac:dyDescent="0.25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  <c r="AB722" s="234"/>
      <c r="AC722" s="234"/>
      <c r="AD722" s="234"/>
      <c r="AE722" s="234"/>
      <c r="AF722" s="234"/>
      <c r="AG722" s="234"/>
      <c r="AH722" s="234"/>
      <c r="AI722" s="234"/>
      <c r="AJ722" s="234"/>
      <c r="AK722" s="234"/>
      <c r="AL722" s="234"/>
      <c r="AM722" s="234"/>
      <c r="AN722" s="201"/>
      <c r="AO722" s="234"/>
      <c r="AP722" s="234"/>
      <c r="AQ722" s="234"/>
      <c r="AR722" s="234"/>
      <c r="AS722" s="234"/>
      <c r="AT722" s="234"/>
      <c r="AU722" s="234"/>
      <c r="AV722" s="234"/>
      <c r="AW722" s="234"/>
      <c r="AX722" s="234"/>
      <c r="AY722" s="234"/>
      <c r="AZ722" s="234"/>
      <c r="BA722" s="234"/>
      <c r="BB722" s="234"/>
      <c r="BC722" s="234"/>
      <c r="BD722" s="234"/>
      <c r="BE722" s="234"/>
      <c r="BF722" s="234"/>
      <c r="BG722" s="234"/>
      <c r="BH722" s="234"/>
    </row>
    <row r="723" spans="1:60" ht="24" customHeight="1" x14ac:dyDescent="0.25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  <c r="AB723" s="234"/>
      <c r="AC723" s="234"/>
      <c r="AD723" s="234"/>
      <c r="AE723" s="234"/>
      <c r="AF723" s="234"/>
      <c r="AG723" s="234"/>
      <c r="AH723" s="234"/>
      <c r="AI723" s="234"/>
      <c r="AJ723" s="234"/>
      <c r="AK723" s="234"/>
      <c r="AL723" s="234"/>
      <c r="AM723" s="234"/>
      <c r="AN723" s="201"/>
      <c r="AO723" s="234"/>
      <c r="AP723" s="234"/>
      <c r="AQ723" s="234"/>
      <c r="AR723" s="234"/>
      <c r="AS723" s="234"/>
      <c r="AT723" s="234"/>
      <c r="AU723" s="234"/>
      <c r="AV723" s="234"/>
      <c r="AW723" s="234"/>
      <c r="AX723" s="234"/>
      <c r="AY723" s="234"/>
      <c r="AZ723" s="234"/>
      <c r="BA723" s="234"/>
      <c r="BB723" s="234"/>
      <c r="BC723" s="234"/>
      <c r="BD723" s="234"/>
      <c r="BE723" s="234"/>
      <c r="BF723" s="234"/>
      <c r="BG723" s="234"/>
      <c r="BH723" s="234"/>
    </row>
    <row r="724" spans="1:60" ht="24" customHeight="1" x14ac:dyDescent="0.25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  <c r="AB724" s="234"/>
      <c r="AC724" s="234"/>
      <c r="AD724" s="234"/>
      <c r="AE724" s="234"/>
      <c r="AF724" s="234"/>
      <c r="AG724" s="234"/>
      <c r="AH724" s="234"/>
      <c r="AI724" s="234"/>
      <c r="AJ724" s="234"/>
      <c r="AK724" s="234"/>
      <c r="AL724" s="234"/>
      <c r="AM724" s="234"/>
      <c r="AN724" s="201"/>
      <c r="AO724" s="234"/>
      <c r="AP724" s="234"/>
      <c r="AQ724" s="234"/>
      <c r="AR724" s="234"/>
      <c r="AS724" s="234"/>
      <c r="AT724" s="234"/>
      <c r="AU724" s="234"/>
      <c r="AV724" s="234"/>
      <c r="AW724" s="234"/>
      <c r="AX724" s="234"/>
      <c r="AY724" s="234"/>
      <c r="AZ724" s="234"/>
      <c r="BA724" s="234"/>
      <c r="BB724" s="234"/>
      <c r="BC724" s="234"/>
      <c r="BD724" s="234"/>
      <c r="BE724" s="234"/>
      <c r="BF724" s="234"/>
      <c r="BG724" s="234"/>
      <c r="BH724" s="234"/>
    </row>
    <row r="725" spans="1:60" ht="24" customHeight="1" x14ac:dyDescent="0.2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  <c r="AB725" s="234"/>
      <c r="AC725" s="234"/>
      <c r="AD725" s="234"/>
      <c r="AE725" s="234"/>
      <c r="AF725" s="234"/>
      <c r="AG725" s="234"/>
      <c r="AH725" s="234"/>
      <c r="AI725" s="234"/>
      <c r="AJ725" s="234"/>
      <c r="AK725" s="234"/>
      <c r="AL725" s="234"/>
      <c r="AM725" s="234"/>
      <c r="AN725" s="201"/>
      <c r="AO725" s="234"/>
      <c r="AP725" s="234"/>
      <c r="AQ725" s="234"/>
      <c r="AR725" s="234"/>
      <c r="AS725" s="234"/>
      <c r="AT725" s="234"/>
      <c r="AU725" s="234"/>
      <c r="AV725" s="234"/>
      <c r="AW725" s="234"/>
      <c r="AX725" s="234"/>
      <c r="AY725" s="234"/>
      <c r="AZ725" s="234"/>
      <c r="BA725" s="234"/>
      <c r="BB725" s="234"/>
      <c r="BC725" s="234"/>
      <c r="BD725" s="234"/>
      <c r="BE725" s="234"/>
      <c r="BF725" s="234"/>
      <c r="BG725" s="234"/>
      <c r="BH725" s="234"/>
    </row>
    <row r="726" spans="1:60" ht="24" customHeight="1" x14ac:dyDescent="0.25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  <c r="AB726" s="234"/>
      <c r="AC726" s="234"/>
      <c r="AD726" s="234"/>
      <c r="AE726" s="234"/>
      <c r="AF726" s="234"/>
      <c r="AG726" s="234"/>
      <c r="AH726" s="234"/>
      <c r="AI726" s="234"/>
      <c r="AJ726" s="234"/>
      <c r="AK726" s="234"/>
      <c r="AL726" s="234"/>
      <c r="AM726" s="234"/>
      <c r="AN726" s="201"/>
      <c r="AO726" s="234"/>
      <c r="AP726" s="234"/>
      <c r="AQ726" s="234"/>
      <c r="AR726" s="234"/>
      <c r="AS726" s="234"/>
      <c r="AT726" s="234"/>
      <c r="AU726" s="234"/>
      <c r="AV726" s="234"/>
      <c r="AW726" s="234"/>
      <c r="AX726" s="234"/>
      <c r="AY726" s="234"/>
      <c r="AZ726" s="234"/>
      <c r="BA726" s="234"/>
      <c r="BB726" s="234"/>
      <c r="BC726" s="234"/>
      <c r="BD726" s="234"/>
      <c r="BE726" s="234"/>
      <c r="BF726" s="234"/>
      <c r="BG726" s="234"/>
      <c r="BH726" s="234"/>
    </row>
    <row r="727" spans="1:60" ht="24" customHeight="1" x14ac:dyDescent="0.25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  <c r="AB727" s="234"/>
      <c r="AC727" s="234"/>
      <c r="AD727" s="234"/>
      <c r="AE727" s="234"/>
      <c r="AF727" s="234"/>
      <c r="AG727" s="234"/>
      <c r="AH727" s="234"/>
      <c r="AI727" s="234"/>
      <c r="AJ727" s="234"/>
      <c r="AK727" s="234"/>
      <c r="AL727" s="234"/>
      <c r="AM727" s="234"/>
      <c r="AN727" s="201"/>
      <c r="AO727" s="234"/>
      <c r="AP727" s="234"/>
      <c r="AQ727" s="234"/>
      <c r="AR727" s="234"/>
      <c r="AS727" s="234"/>
      <c r="AT727" s="234"/>
      <c r="AU727" s="234"/>
      <c r="AV727" s="234"/>
      <c r="AW727" s="234"/>
      <c r="AX727" s="234"/>
      <c r="AY727" s="234"/>
      <c r="AZ727" s="234"/>
      <c r="BA727" s="234"/>
      <c r="BB727" s="234"/>
      <c r="BC727" s="234"/>
      <c r="BD727" s="234"/>
      <c r="BE727" s="234"/>
      <c r="BF727" s="234"/>
      <c r="BG727" s="234"/>
      <c r="BH727" s="234"/>
    </row>
    <row r="728" spans="1:60" ht="24" customHeight="1" x14ac:dyDescent="0.25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  <c r="AB728" s="234"/>
      <c r="AC728" s="234"/>
      <c r="AD728" s="234"/>
      <c r="AE728" s="234"/>
      <c r="AF728" s="234"/>
      <c r="AG728" s="234"/>
      <c r="AH728" s="234"/>
      <c r="AI728" s="234"/>
      <c r="AJ728" s="234"/>
      <c r="AK728" s="234"/>
      <c r="AL728" s="234"/>
      <c r="AM728" s="234"/>
      <c r="AN728" s="201"/>
      <c r="AO728" s="234"/>
      <c r="AP728" s="234"/>
      <c r="AQ728" s="234"/>
      <c r="AR728" s="234"/>
      <c r="AS728" s="234"/>
      <c r="AT728" s="234"/>
      <c r="AU728" s="234"/>
      <c r="AV728" s="234"/>
      <c r="AW728" s="234"/>
      <c r="AX728" s="234"/>
      <c r="AY728" s="234"/>
      <c r="AZ728" s="234"/>
      <c r="BA728" s="234"/>
      <c r="BB728" s="234"/>
      <c r="BC728" s="234"/>
      <c r="BD728" s="234"/>
      <c r="BE728" s="234"/>
      <c r="BF728" s="234"/>
      <c r="BG728" s="234"/>
      <c r="BH728" s="234"/>
    </row>
    <row r="729" spans="1:60" ht="24" customHeight="1" x14ac:dyDescent="0.25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  <c r="AB729" s="234"/>
      <c r="AC729" s="234"/>
      <c r="AD729" s="234"/>
      <c r="AE729" s="234"/>
      <c r="AF729" s="234"/>
      <c r="AG729" s="234"/>
      <c r="AH729" s="234"/>
      <c r="AI729" s="234"/>
      <c r="AJ729" s="234"/>
      <c r="AK729" s="234"/>
      <c r="AL729" s="234"/>
      <c r="AM729" s="234"/>
      <c r="AN729" s="201"/>
      <c r="AO729" s="234"/>
      <c r="AP729" s="234"/>
      <c r="AQ729" s="234"/>
      <c r="AR729" s="234"/>
      <c r="AS729" s="234"/>
      <c r="AT729" s="234"/>
      <c r="AU729" s="234"/>
      <c r="AV729" s="234"/>
      <c r="AW729" s="234"/>
      <c r="AX729" s="234"/>
      <c r="AY729" s="234"/>
      <c r="AZ729" s="234"/>
      <c r="BA729" s="234"/>
      <c r="BB729" s="234"/>
      <c r="BC729" s="234"/>
      <c r="BD729" s="234"/>
      <c r="BE729" s="234"/>
      <c r="BF729" s="234"/>
      <c r="BG729" s="234"/>
      <c r="BH729" s="234"/>
    </row>
    <row r="730" spans="1:60" ht="24" customHeight="1" x14ac:dyDescent="0.25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  <c r="AB730" s="234"/>
      <c r="AC730" s="234"/>
      <c r="AD730" s="234"/>
      <c r="AE730" s="234"/>
      <c r="AF730" s="234"/>
      <c r="AG730" s="234"/>
      <c r="AH730" s="234"/>
      <c r="AI730" s="234"/>
      <c r="AJ730" s="234"/>
      <c r="AK730" s="234"/>
      <c r="AL730" s="234"/>
      <c r="AM730" s="234"/>
      <c r="AN730" s="201"/>
      <c r="AO730" s="234"/>
      <c r="AP730" s="234"/>
      <c r="AQ730" s="234"/>
      <c r="AR730" s="234"/>
      <c r="AS730" s="234"/>
      <c r="AT730" s="234"/>
      <c r="AU730" s="234"/>
      <c r="AV730" s="234"/>
      <c r="AW730" s="234"/>
      <c r="AX730" s="234"/>
      <c r="AY730" s="234"/>
      <c r="AZ730" s="234"/>
      <c r="BA730" s="234"/>
      <c r="BB730" s="234"/>
      <c r="BC730" s="234"/>
      <c r="BD730" s="234"/>
      <c r="BE730" s="234"/>
      <c r="BF730" s="234"/>
      <c r="BG730" s="234"/>
      <c r="BH730" s="234"/>
    </row>
    <row r="731" spans="1:60" ht="24" customHeight="1" x14ac:dyDescent="0.25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  <c r="AB731" s="234"/>
      <c r="AC731" s="234"/>
      <c r="AD731" s="234"/>
      <c r="AE731" s="234"/>
      <c r="AF731" s="234"/>
      <c r="AG731" s="234"/>
      <c r="AH731" s="234"/>
      <c r="AI731" s="234"/>
      <c r="AJ731" s="234"/>
      <c r="AK731" s="234"/>
      <c r="AL731" s="234"/>
      <c r="AM731" s="234"/>
      <c r="AN731" s="201"/>
      <c r="AO731" s="234"/>
      <c r="AP731" s="234"/>
      <c r="AQ731" s="234"/>
      <c r="AR731" s="234"/>
      <c r="AS731" s="234"/>
      <c r="AT731" s="234"/>
      <c r="AU731" s="234"/>
      <c r="AV731" s="234"/>
      <c r="AW731" s="234"/>
      <c r="AX731" s="234"/>
      <c r="AY731" s="234"/>
      <c r="AZ731" s="234"/>
      <c r="BA731" s="234"/>
      <c r="BB731" s="234"/>
      <c r="BC731" s="234"/>
      <c r="BD731" s="234"/>
      <c r="BE731" s="234"/>
      <c r="BF731" s="234"/>
      <c r="BG731" s="234"/>
      <c r="BH731" s="234"/>
    </row>
    <row r="732" spans="1:60" ht="24" customHeight="1" x14ac:dyDescent="0.25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  <c r="AB732" s="234"/>
      <c r="AC732" s="234"/>
      <c r="AD732" s="234"/>
      <c r="AE732" s="234"/>
      <c r="AF732" s="234"/>
      <c r="AG732" s="234"/>
      <c r="AH732" s="234"/>
      <c r="AI732" s="234"/>
      <c r="AJ732" s="234"/>
      <c r="AK732" s="234"/>
      <c r="AL732" s="234"/>
      <c r="AM732" s="234"/>
      <c r="AN732" s="201"/>
      <c r="AO732" s="234"/>
      <c r="AP732" s="234"/>
      <c r="AQ732" s="234"/>
      <c r="AR732" s="234"/>
      <c r="AS732" s="234"/>
      <c r="AT732" s="234"/>
      <c r="AU732" s="234"/>
      <c r="AV732" s="234"/>
      <c r="AW732" s="234"/>
      <c r="AX732" s="234"/>
      <c r="AY732" s="234"/>
      <c r="AZ732" s="234"/>
      <c r="BA732" s="234"/>
      <c r="BB732" s="234"/>
      <c r="BC732" s="234"/>
      <c r="BD732" s="234"/>
      <c r="BE732" s="234"/>
      <c r="BF732" s="234"/>
      <c r="BG732" s="234"/>
      <c r="BH732" s="234"/>
    </row>
    <row r="733" spans="1:60" ht="24" customHeight="1" x14ac:dyDescent="0.25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  <c r="AB733" s="234"/>
      <c r="AC733" s="234"/>
      <c r="AD733" s="234"/>
      <c r="AE733" s="234"/>
      <c r="AF733" s="234"/>
      <c r="AG733" s="234"/>
      <c r="AH733" s="234"/>
      <c r="AI733" s="234"/>
      <c r="AJ733" s="234"/>
      <c r="AK733" s="234"/>
      <c r="AL733" s="234"/>
      <c r="AM733" s="234"/>
      <c r="AN733" s="201"/>
      <c r="AO733" s="234"/>
      <c r="AP733" s="234"/>
      <c r="AQ733" s="234"/>
      <c r="AR733" s="234"/>
      <c r="AS733" s="234"/>
      <c r="AT733" s="234"/>
      <c r="AU733" s="234"/>
      <c r="AV733" s="234"/>
      <c r="AW733" s="234"/>
      <c r="AX733" s="234"/>
      <c r="AY733" s="234"/>
      <c r="AZ733" s="234"/>
      <c r="BA733" s="234"/>
      <c r="BB733" s="234"/>
      <c r="BC733" s="234"/>
      <c r="BD733" s="234"/>
      <c r="BE733" s="234"/>
      <c r="BF733" s="234"/>
      <c r="BG733" s="234"/>
      <c r="BH733" s="234"/>
    </row>
    <row r="734" spans="1:60" ht="24" customHeight="1" x14ac:dyDescent="0.25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  <c r="AB734" s="234"/>
      <c r="AC734" s="234"/>
      <c r="AD734" s="234"/>
      <c r="AE734" s="234"/>
      <c r="AF734" s="234"/>
      <c r="AG734" s="234"/>
      <c r="AH734" s="234"/>
      <c r="AI734" s="234"/>
      <c r="AJ734" s="234"/>
      <c r="AK734" s="234"/>
      <c r="AL734" s="234"/>
      <c r="AM734" s="234"/>
      <c r="AN734" s="201"/>
      <c r="AO734" s="234"/>
      <c r="AP734" s="234"/>
      <c r="AQ734" s="234"/>
      <c r="AR734" s="234"/>
      <c r="AS734" s="234"/>
      <c r="AT734" s="234"/>
      <c r="AU734" s="234"/>
      <c r="AV734" s="234"/>
      <c r="AW734" s="234"/>
      <c r="AX734" s="234"/>
      <c r="AY734" s="234"/>
      <c r="AZ734" s="234"/>
      <c r="BA734" s="234"/>
      <c r="BB734" s="234"/>
      <c r="BC734" s="234"/>
      <c r="BD734" s="234"/>
      <c r="BE734" s="234"/>
      <c r="BF734" s="234"/>
      <c r="BG734" s="234"/>
      <c r="BH734" s="234"/>
    </row>
    <row r="735" spans="1:60" ht="24" customHeight="1" x14ac:dyDescent="0.2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  <c r="AB735" s="234"/>
      <c r="AC735" s="234"/>
      <c r="AD735" s="234"/>
      <c r="AE735" s="234"/>
      <c r="AF735" s="234"/>
      <c r="AG735" s="234"/>
      <c r="AH735" s="234"/>
      <c r="AI735" s="234"/>
      <c r="AJ735" s="234"/>
      <c r="AK735" s="234"/>
      <c r="AL735" s="234"/>
      <c r="AM735" s="234"/>
      <c r="AN735" s="201"/>
      <c r="AO735" s="234"/>
      <c r="AP735" s="234"/>
      <c r="AQ735" s="234"/>
      <c r="AR735" s="234"/>
      <c r="AS735" s="234"/>
      <c r="AT735" s="234"/>
      <c r="AU735" s="234"/>
      <c r="AV735" s="234"/>
      <c r="AW735" s="234"/>
      <c r="AX735" s="234"/>
      <c r="AY735" s="234"/>
      <c r="AZ735" s="234"/>
      <c r="BA735" s="234"/>
      <c r="BB735" s="234"/>
      <c r="BC735" s="234"/>
      <c r="BD735" s="234"/>
      <c r="BE735" s="234"/>
      <c r="BF735" s="234"/>
      <c r="BG735" s="234"/>
      <c r="BH735" s="234"/>
    </row>
    <row r="736" spans="1:60" ht="24" customHeight="1" x14ac:dyDescent="0.25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  <c r="AB736" s="234"/>
      <c r="AC736" s="234"/>
      <c r="AD736" s="234"/>
      <c r="AE736" s="234"/>
      <c r="AF736" s="234"/>
      <c r="AG736" s="234"/>
      <c r="AH736" s="234"/>
      <c r="AI736" s="234"/>
      <c r="AJ736" s="234"/>
      <c r="AK736" s="234"/>
      <c r="AL736" s="234"/>
      <c r="AM736" s="234"/>
      <c r="AN736" s="201"/>
      <c r="AO736" s="234"/>
      <c r="AP736" s="234"/>
      <c r="AQ736" s="234"/>
      <c r="AR736" s="234"/>
      <c r="AS736" s="234"/>
      <c r="AT736" s="234"/>
      <c r="AU736" s="234"/>
      <c r="AV736" s="234"/>
      <c r="AW736" s="234"/>
      <c r="AX736" s="234"/>
      <c r="AY736" s="234"/>
      <c r="AZ736" s="234"/>
      <c r="BA736" s="234"/>
      <c r="BB736" s="234"/>
      <c r="BC736" s="234"/>
      <c r="BD736" s="234"/>
      <c r="BE736" s="234"/>
      <c r="BF736" s="234"/>
      <c r="BG736" s="234"/>
      <c r="BH736" s="234"/>
    </row>
    <row r="737" spans="1:60" ht="24" customHeight="1" x14ac:dyDescent="0.25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  <c r="AB737" s="234"/>
      <c r="AC737" s="234"/>
      <c r="AD737" s="234"/>
      <c r="AE737" s="234"/>
      <c r="AF737" s="234"/>
      <c r="AG737" s="234"/>
      <c r="AH737" s="234"/>
      <c r="AI737" s="234"/>
      <c r="AJ737" s="234"/>
      <c r="AK737" s="234"/>
      <c r="AL737" s="234"/>
      <c r="AM737" s="234"/>
      <c r="AN737" s="201"/>
      <c r="AO737" s="234"/>
      <c r="AP737" s="234"/>
      <c r="AQ737" s="234"/>
      <c r="AR737" s="234"/>
      <c r="AS737" s="234"/>
      <c r="AT737" s="234"/>
      <c r="AU737" s="234"/>
      <c r="AV737" s="234"/>
      <c r="AW737" s="234"/>
      <c r="AX737" s="234"/>
      <c r="AY737" s="234"/>
      <c r="AZ737" s="234"/>
      <c r="BA737" s="234"/>
      <c r="BB737" s="234"/>
      <c r="BC737" s="234"/>
      <c r="BD737" s="234"/>
      <c r="BE737" s="234"/>
      <c r="BF737" s="234"/>
      <c r="BG737" s="234"/>
      <c r="BH737" s="234"/>
    </row>
    <row r="738" spans="1:60" ht="24" customHeight="1" x14ac:dyDescent="0.25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  <c r="AB738" s="234"/>
      <c r="AC738" s="234"/>
      <c r="AD738" s="234"/>
      <c r="AE738" s="234"/>
      <c r="AF738" s="234"/>
      <c r="AG738" s="234"/>
      <c r="AH738" s="234"/>
      <c r="AI738" s="234"/>
      <c r="AJ738" s="234"/>
      <c r="AK738" s="234"/>
      <c r="AL738" s="234"/>
      <c r="AM738" s="234"/>
      <c r="AN738" s="201"/>
      <c r="AO738" s="234"/>
      <c r="AP738" s="234"/>
      <c r="AQ738" s="234"/>
      <c r="AR738" s="234"/>
      <c r="AS738" s="234"/>
      <c r="AT738" s="234"/>
      <c r="AU738" s="234"/>
      <c r="AV738" s="234"/>
      <c r="AW738" s="234"/>
      <c r="AX738" s="234"/>
      <c r="AY738" s="234"/>
      <c r="AZ738" s="234"/>
      <c r="BA738" s="234"/>
      <c r="BB738" s="234"/>
      <c r="BC738" s="234"/>
      <c r="BD738" s="234"/>
      <c r="BE738" s="234"/>
      <c r="BF738" s="234"/>
      <c r="BG738" s="234"/>
      <c r="BH738" s="234"/>
    </row>
    <row r="739" spans="1:60" ht="24" customHeight="1" x14ac:dyDescent="0.25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  <c r="AB739" s="234"/>
      <c r="AC739" s="234"/>
      <c r="AD739" s="234"/>
      <c r="AE739" s="234"/>
      <c r="AF739" s="234"/>
      <c r="AG739" s="234"/>
      <c r="AH739" s="234"/>
      <c r="AI739" s="234"/>
      <c r="AJ739" s="234"/>
      <c r="AK739" s="234"/>
      <c r="AL739" s="234"/>
      <c r="AM739" s="234"/>
      <c r="AN739" s="201"/>
      <c r="AO739" s="234"/>
      <c r="AP739" s="234"/>
      <c r="AQ739" s="234"/>
      <c r="AR739" s="234"/>
      <c r="AS739" s="234"/>
      <c r="AT739" s="234"/>
      <c r="AU739" s="234"/>
      <c r="AV739" s="234"/>
      <c r="AW739" s="234"/>
      <c r="AX739" s="234"/>
      <c r="AY739" s="234"/>
      <c r="AZ739" s="234"/>
      <c r="BA739" s="234"/>
      <c r="BB739" s="234"/>
      <c r="BC739" s="234"/>
      <c r="BD739" s="234"/>
      <c r="BE739" s="234"/>
      <c r="BF739" s="234"/>
      <c r="BG739" s="234"/>
      <c r="BH739" s="234"/>
    </row>
    <row r="740" spans="1:60" ht="24" customHeight="1" x14ac:dyDescent="0.25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  <c r="AB740" s="234"/>
      <c r="AC740" s="234"/>
      <c r="AD740" s="234"/>
      <c r="AE740" s="234"/>
      <c r="AF740" s="234"/>
      <c r="AG740" s="234"/>
      <c r="AH740" s="234"/>
      <c r="AI740" s="234"/>
      <c r="AJ740" s="234"/>
      <c r="AK740" s="234"/>
      <c r="AL740" s="234"/>
      <c r="AM740" s="234"/>
      <c r="AN740" s="201"/>
      <c r="AO740" s="234"/>
      <c r="AP740" s="234"/>
      <c r="AQ740" s="234"/>
      <c r="AR740" s="234"/>
      <c r="AS740" s="234"/>
      <c r="AT740" s="234"/>
      <c r="AU740" s="234"/>
      <c r="AV740" s="234"/>
      <c r="AW740" s="234"/>
      <c r="AX740" s="234"/>
      <c r="AY740" s="234"/>
      <c r="AZ740" s="234"/>
      <c r="BA740" s="234"/>
      <c r="BB740" s="234"/>
      <c r="BC740" s="234"/>
      <c r="BD740" s="234"/>
      <c r="BE740" s="234"/>
      <c r="BF740" s="234"/>
      <c r="BG740" s="234"/>
      <c r="BH740" s="234"/>
    </row>
    <row r="741" spans="1:60" ht="24" customHeight="1" x14ac:dyDescent="0.25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  <c r="AB741" s="234"/>
      <c r="AC741" s="234"/>
      <c r="AD741" s="234"/>
      <c r="AE741" s="234"/>
      <c r="AF741" s="234"/>
      <c r="AG741" s="234"/>
      <c r="AH741" s="234"/>
      <c r="AI741" s="234"/>
      <c r="AJ741" s="234"/>
      <c r="AK741" s="234"/>
      <c r="AL741" s="234"/>
      <c r="AM741" s="234"/>
      <c r="AN741" s="201"/>
      <c r="AO741" s="234"/>
      <c r="AP741" s="234"/>
      <c r="AQ741" s="234"/>
      <c r="AR741" s="234"/>
      <c r="AS741" s="234"/>
      <c r="AT741" s="234"/>
      <c r="AU741" s="234"/>
      <c r="AV741" s="234"/>
      <c r="AW741" s="234"/>
      <c r="AX741" s="234"/>
      <c r="AY741" s="234"/>
      <c r="AZ741" s="234"/>
      <c r="BA741" s="234"/>
      <c r="BB741" s="234"/>
      <c r="BC741" s="234"/>
      <c r="BD741" s="234"/>
      <c r="BE741" s="234"/>
      <c r="BF741" s="234"/>
      <c r="BG741" s="234"/>
      <c r="BH741" s="234"/>
    </row>
    <row r="742" spans="1:60" ht="24" customHeight="1" x14ac:dyDescent="0.25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  <c r="AB742" s="234"/>
      <c r="AC742" s="234"/>
      <c r="AD742" s="234"/>
      <c r="AE742" s="234"/>
      <c r="AF742" s="234"/>
      <c r="AG742" s="234"/>
      <c r="AH742" s="234"/>
      <c r="AI742" s="234"/>
      <c r="AJ742" s="234"/>
      <c r="AK742" s="234"/>
      <c r="AL742" s="234"/>
      <c r="AM742" s="234"/>
      <c r="AN742" s="201"/>
      <c r="AO742" s="234"/>
      <c r="AP742" s="234"/>
      <c r="AQ742" s="234"/>
      <c r="AR742" s="234"/>
      <c r="AS742" s="234"/>
      <c r="AT742" s="234"/>
      <c r="AU742" s="234"/>
      <c r="AV742" s="234"/>
      <c r="AW742" s="234"/>
      <c r="AX742" s="234"/>
      <c r="AY742" s="234"/>
      <c r="AZ742" s="234"/>
      <c r="BA742" s="234"/>
      <c r="BB742" s="234"/>
      <c r="BC742" s="234"/>
      <c r="BD742" s="234"/>
      <c r="BE742" s="234"/>
      <c r="BF742" s="234"/>
      <c r="BG742" s="234"/>
      <c r="BH742" s="234"/>
    </row>
    <row r="743" spans="1:60" ht="24" customHeight="1" x14ac:dyDescent="0.25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  <c r="AB743" s="234"/>
      <c r="AC743" s="234"/>
      <c r="AD743" s="234"/>
      <c r="AE743" s="234"/>
      <c r="AF743" s="234"/>
      <c r="AG743" s="234"/>
      <c r="AH743" s="234"/>
      <c r="AI743" s="234"/>
      <c r="AJ743" s="234"/>
      <c r="AK743" s="234"/>
      <c r="AL743" s="234"/>
      <c r="AM743" s="234"/>
      <c r="AN743" s="201"/>
      <c r="AO743" s="234"/>
      <c r="AP743" s="234"/>
      <c r="AQ743" s="234"/>
      <c r="AR743" s="234"/>
      <c r="AS743" s="234"/>
      <c r="AT743" s="234"/>
      <c r="AU743" s="234"/>
      <c r="AV743" s="234"/>
      <c r="AW743" s="234"/>
      <c r="AX743" s="234"/>
      <c r="AY743" s="234"/>
      <c r="AZ743" s="234"/>
      <c r="BA743" s="234"/>
      <c r="BB743" s="234"/>
      <c r="BC743" s="234"/>
      <c r="BD743" s="234"/>
      <c r="BE743" s="234"/>
      <c r="BF743" s="234"/>
      <c r="BG743" s="234"/>
      <c r="BH743" s="234"/>
    </row>
    <row r="744" spans="1:60" ht="24" customHeight="1" x14ac:dyDescent="0.25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  <c r="AB744" s="234"/>
      <c r="AC744" s="234"/>
      <c r="AD744" s="234"/>
      <c r="AE744" s="234"/>
      <c r="AF744" s="234"/>
      <c r="AG744" s="234"/>
      <c r="AH744" s="234"/>
      <c r="AI744" s="234"/>
      <c r="AJ744" s="234"/>
      <c r="AK744" s="234"/>
      <c r="AL744" s="234"/>
      <c r="AM744" s="234"/>
      <c r="AN744" s="201"/>
      <c r="AO744" s="234"/>
      <c r="AP744" s="234"/>
      <c r="AQ744" s="234"/>
      <c r="AR744" s="234"/>
      <c r="AS744" s="234"/>
      <c r="AT744" s="234"/>
      <c r="AU744" s="234"/>
      <c r="AV744" s="234"/>
      <c r="AW744" s="234"/>
      <c r="AX744" s="234"/>
      <c r="AY744" s="234"/>
      <c r="AZ744" s="234"/>
      <c r="BA744" s="234"/>
      <c r="BB744" s="234"/>
      <c r="BC744" s="234"/>
      <c r="BD744" s="234"/>
      <c r="BE744" s="234"/>
      <c r="BF744" s="234"/>
      <c r="BG744" s="234"/>
      <c r="BH744" s="234"/>
    </row>
    <row r="745" spans="1:60" ht="24" customHeight="1" x14ac:dyDescent="0.2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  <c r="AB745" s="234"/>
      <c r="AC745" s="234"/>
      <c r="AD745" s="234"/>
      <c r="AE745" s="234"/>
      <c r="AF745" s="234"/>
      <c r="AG745" s="234"/>
      <c r="AH745" s="234"/>
      <c r="AI745" s="234"/>
      <c r="AJ745" s="234"/>
      <c r="AK745" s="234"/>
      <c r="AL745" s="234"/>
      <c r="AM745" s="234"/>
      <c r="AN745" s="201"/>
      <c r="AO745" s="234"/>
      <c r="AP745" s="234"/>
      <c r="AQ745" s="234"/>
      <c r="AR745" s="234"/>
      <c r="AS745" s="234"/>
      <c r="AT745" s="234"/>
      <c r="AU745" s="234"/>
      <c r="AV745" s="234"/>
      <c r="AW745" s="234"/>
      <c r="AX745" s="234"/>
      <c r="AY745" s="234"/>
      <c r="AZ745" s="234"/>
      <c r="BA745" s="234"/>
      <c r="BB745" s="234"/>
      <c r="BC745" s="234"/>
      <c r="BD745" s="234"/>
      <c r="BE745" s="234"/>
      <c r="BF745" s="234"/>
      <c r="BG745" s="234"/>
      <c r="BH745" s="234"/>
    </row>
    <row r="746" spans="1:60" ht="24" customHeight="1" x14ac:dyDescent="0.25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  <c r="AB746" s="234"/>
      <c r="AC746" s="234"/>
      <c r="AD746" s="234"/>
      <c r="AE746" s="234"/>
      <c r="AF746" s="234"/>
      <c r="AG746" s="234"/>
      <c r="AH746" s="234"/>
      <c r="AI746" s="234"/>
      <c r="AJ746" s="234"/>
      <c r="AK746" s="234"/>
      <c r="AL746" s="234"/>
      <c r="AM746" s="234"/>
      <c r="AN746" s="201"/>
      <c r="AO746" s="234"/>
      <c r="AP746" s="234"/>
      <c r="AQ746" s="234"/>
      <c r="AR746" s="234"/>
      <c r="AS746" s="234"/>
      <c r="AT746" s="234"/>
      <c r="AU746" s="234"/>
      <c r="AV746" s="234"/>
      <c r="AW746" s="234"/>
      <c r="AX746" s="234"/>
      <c r="AY746" s="234"/>
      <c r="AZ746" s="234"/>
      <c r="BA746" s="234"/>
      <c r="BB746" s="234"/>
      <c r="BC746" s="234"/>
      <c r="BD746" s="234"/>
      <c r="BE746" s="234"/>
      <c r="BF746" s="234"/>
      <c r="BG746" s="234"/>
      <c r="BH746" s="234"/>
    </row>
    <row r="747" spans="1:60" ht="24" customHeight="1" x14ac:dyDescent="0.25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  <c r="AB747" s="234"/>
      <c r="AC747" s="234"/>
      <c r="AD747" s="234"/>
      <c r="AE747" s="234"/>
      <c r="AF747" s="234"/>
      <c r="AG747" s="234"/>
      <c r="AH747" s="234"/>
      <c r="AI747" s="234"/>
      <c r="AJ747" s="234"/>
      <c r="AK747" s="234"/>
      <c r="AL747" s="234"/>
      <c r="AM747" s="234"/>
      <c r="AN747" s="201"/>
      <c r="AO747" s="234"/>
      <c r="AP747" s="234"/>
      <c r="AQ747" s="234"/>
      <c r="AR747" s="234"/>
      <c r="AS747" s="234"/>
      <c r="AT747" s="234"/>
      <c r="AU747" s="234"/>
      <c r="AV747" s="234"/>
      <c r="AW747" s="234"/>
      <c r="AX747" s="234"/>
      <c r="AY747" s="234"/>
      <c r="AZ747" s="234"/>
      <c r="BA747" s="234"/>
      <c r="BB747" s="234"/>
      <c r="BC747" s="234"/>
      <c r="BD747" s="234"/>
      <c r="BE747" s="234"/>
      <c r="BF747" s="234"/>
      <c r="BG747" s="234"/>
      <c r="BH747" s="234"/>
    </row>
    <row r="748" spans="1:60" ht="24" customHeight="1" x14ac:dyDescent="0.25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  <c r="AB748" s="234"/>
      <c r="AC748" s="234"/>
      <c r="AD748" s="234"/>
      <c r="AE748" s="234"/>
      <c r="AF748" s="234"/>
      <c r="AG748" s="234"/>
      <c r="AH748" s="234"/>
      <c r="AI748" s="234"/>
      <c r="AJ748" s="234"/>
      <c r="AK748" s="234"/>
      <c r="AL748" s="234"/>
      <c r="AM748" s="234"/>
      <c r="AN748" s="201"/>
      <c r="AO748" s="234"/>
      <c r="AP748" s="234"/>
      <c r="AQ748" s="234"/>
      <c r="AR748" s="234"/>
      <c r="AS748" s="234"/>
      <c r="AT748" s="234"/>
      <c r="AU748" s="234"/>
      <c r="AV748" s="234"/>
      <c r="AW748" s="234"/>
      <c r="AX748" s="234"/>
      <c r="AY748" s="234"/>
      <c r="AZ748" s="234"/>
      <c r="BA748" s="234"/>
      <c r="BB748" s="234"/>
      <c r="BC748" s="234"/>
      <c r="BD748" s="234"/>
      <c r="BE748" s="234"/>
      <c r="BF748" s="234"/>
      <c r="BG748" s="234"/>
      <c r="BH748" s="234"/>
    </row>
    <row r="749" spans="1:60" ht="24" customHeight="1" x14ac:dyDescent="0.25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  <c r="AB749" s="234"/>
      <c r="AC749" s="234"/>
      <c r="AD749" s="234"/>
      <c r="AE749" s="234"/>
      <c r="AF749" s="234"/>
      <c r="AG749" s="234"/>
      <c r="AH749" s="234"/>
      <c r="AI749" s="234"/>
      <c r="AJ749" s="234"/>
      <c r="AK749" s="234"/>
      <c r="AL749" s="234"/>
      <c r="AM749" s="234"/>
      <c r="AN749" s="201"/>
      <c r="AO749" s="234"/>
      <c r="AP749" s="234"/>
      <c r="AQ749" s="234"/>
      <c r="AR749" s="234"/>
      <c r="AS749" s="234"/>
      <c r="AT749" s="234"/>
      <c r="AU749" s="234"/>
      <c r="AV749" s="234"/>
      <c r="AW749" s="234"/>
      <c r="AX749" s="234"/>
      <c r="AY749" s="234"/>
      <c r="AZ749" s="234"/>
      <c r="BA749" s="234"/>
      <c r="BB749" s="234"/>
      <c r="BC749" s="234"/>
      <c r="BD749" s="234"/>
      <c r="BE749" s="234"/>
      <c r="BF749" s="234"/>
      <c r="BG749" s="234"/>
      <c r="BH749" s="234"/>
    </row>
    <row r="750" spans="1:60" ht="24" customHeight="1" x14ac:dyDescent="0.25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  <c r="AB750" s="234"/>
      <c r="AC750" s="234"/>
      <c r="AD750" s="234"/>
      <c r="AE750" s="234"/>
      <c r="AF750" s="234"/>
      <c r="AG750" s="234"/>
      <c r="AH750" s="234"/>
      <c r="AI750" s="234"/>
      <c r="AJ750" s="234"/>
      <c r="AK750" s="234"/>
      <c r="AL750" s="234"/>
      <c r="AM750" s="234"/>
      <c r="AN750" s="201"/>
      <c r="AO750" s="234"/>
      <c r="AP750" s="234"/>
      <c r="AQ750" s="234"/>
      <c r="AR750" s="234"/>
      <c r="AS750" s="234"/>
      <c r="AT750" s="234"/>
      <c r="AU750" s="234"/>
      <c r="AV750" s="234"/>
      <c r="AW750" s="234"/>
      <c r="AX750" s="234"/>
      <c r="AY750" s="234"/>
      <c r="AZ750" s="234"/>
      <c r="BA750" s="234"/>
      <c r="BB750" s="234"/>
      <c r="BC750" s="234"/>
      <c r="BD750" s="234"/>
      <c r="BE750" s="234"/>
      <c r="BF750" s="234"/>
      <c r="BG750" s="234"/>
      <c r="BH750" s="234"/>
    </row>
    <row r="751" spans="1:60" ht="24" customHeight="1" x14ac:dyDescent="0.25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  <c r="AB751" s="234"/>
      <c r="AC751" s="234"/>
      <c r="AD751" s="234"/>
      <c r="AE751" s="234"/>
      <c r="AF751" s="234"/>
      <c r="AG751" s="234"/>
      <c r="AH751" s="234"/>
      <c r="AI751" s="234"/>
      <c r="AJ751" s="234"/>
      <c r="AK751" s="234"/>
      <c r="AL751" s="234"/>
      <c r="AM751" s="234"/>
      <c r="AN751" s="201"/>
      <c r="AO751" s="234"/>
      <c r="AP751" s="234"/>
      <c r="AQ751" s="234"/>
      <c r="AR751" s="234"/>
      <c r="AS751" s="234"/>
      <c r="AT751" s="234"/>
      <c r="AU751" s="234"/>
      <c r="AV751" s="234"/>
      <c r="AW751" s="234"/>
      <c r="AX751" s="234"/>
      <c r="AY751" s="234"/>
      <c r="AZ751" s="234"/>
      <c r="BA751" s="234"/>
      <c r="BB751" s="234"/>
      <c r="BC751" s="234"/>
      <c r="BD751" s="234"/>
      <c r="BE751" s="234"/>
      <c r="BF751" s="234"/>
      <c r="BG751" s="234"/>
      <c r="BH751" s="234"/>
    </row>
    <row r="752" spans="1:60" ht="24" customHeight="1" x14ac:dyDescent="0.25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  <c r="AB752" s="234"/>
      <c r="AC752" s="234"/>
      <c r="AD752" s="234"/>
      <c r="AE752" s="234"/>
      <c r="AF752" s="234"/>
      <c r="AG752" s="234"/>
      <c r="AH752" s="234"/>
      <c r="AI752" s="234"/>
      <c r="AJ752" s="234"/>
      <c r="AK752" s="234"/>
      <c r="AL752" s="234"/>
      <c r="AM752" s="234"/>
      <c r="AN752" s="201"/>
      <c r="AO752" s="234"/>
      <c r="AP752" s="234"/>
      <c r="AQ752" s="234"/>
      <c r="AR752" s="234"/>
      <c r="AS752" s="234"/>
      <c r="AT752" s="234"/>
      <c r="AU752" s="234"/>
      <c r="AV752" s="234"/>
      <c r="AW752" s="234"/>
      <c r="AX752" s="234"/>
      <c r="AY752" s="234"/>
      <c r="AZ752" s="234"/>
      <c r="BA752" s="234"/>
      <c r="BB752" s="234"/>
      <c r="BC752" s="234"/>
      <c r="BD752" s="234"/>
      <c r="BE752" s="234"/>
      <c r="BF752" s="234"/>
      <c r="BG752" s="234"/>
      <c r="BH752" s="234"/>
    </row>
    <row r="753" spans="1:60" ht="24" customHeight="1" x14ac:dyDescent="0.25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  <c r="AB753" s="234"/>
      <c r="AC753" s="234"/>
      <c r="AD753" s="234"/>
      <c r="AE753" s="234"/>
      <c r="AF753" s="234"/>
      <c r="AG753" s="234"/>
      <c r="AH753" s="234"/>
      <c r="AI753" s="234"/>
      <c r="AJ753" s="234"/>
      <c r="AK753" s="234"/>
      <c r="AL753" s="234"/>
      <c r="AM753" s="234"/>
      <c r="AN753" s="201"/>
      <c r="AO753" s="234"/>
      <c r="AP753" s="234"/>
      <c r="AQ753" s="234"/>
      <c r="AR753" s="234"/>
      <c r="AS753" s="234"/>
      <c r="AT753" s="234"/>
      <c r="AU753" s="234"/>
      <c r="AV753" s="234"/>
      <c r="AW753" s="234"/>
      <c r="AX753" s="234"/>
      <c r="AY753" s="234"/>
      <c r="AZ753" s="234"/>
      <c r="BA753" s="234"/>
      <c r="BB753" s="234"/>
      <c r="BC753" s="234"/>
      <c r="BD753" s="234"/>
      <c r="BE753" s="234"/>
      <c r="BF753" s="234"/>
      <c r="BG753" s="234"/>
      <c r="BH753" s="234"/>
    </row>
    <row r="754" spans="1:60" ht="24" customHeight="1" x14ac:dyDescent="0.25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  <c r="AC754" s="234"/>
      <c r="AD754" s="234"/>
      <c r="AE754" s="234"/>
      <c r="AF754" s="234"/>
      <c r="AG754" s="234"/>
      <c r="AH754" s="234"/>
      <c r="AI754" s="234"/>
      <c r="AJ754" s="234"/>
      <c r="AK754" s="234"/>
      <c r="AL754" s="234"/>
      <c r="AM754" s="234"/>
      <c r="AN754" s="201"/>
      <c r="AO754" s="234"/>
      <c r="AP754" s="234"/>
      <c r="AQ754" s="234"/>
      <c r="AR754" s="234"/>
      <c r="AS754" s="234"/>
      <c r="AT754" s="234"/>
      <c r="AU754" s="234"/>
      <c r="AV754" s="234"/>
      <c r="AW754" s="234"/>
      <c r="AX754" s="234"/>
      <c r="AY754" s="234"/>
      <c r="AZ754" s="234"/>
      <c r="BA754" s="234"/>
      <c r="BB754" s="234"/>
      <c r="BC754" s="234"/>
      <c r="BD754" s="234"/>
      <c r="BE754" s="234"/>
      <c r="BF754" s="234"/>
      <c r="BG754" s="234"/>
      <c r="BH754" s="234"/>
    </row>
    <row r="755" spans="1:60" ht="24" customHeight="1" x14ac:dyDescent="0.2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  <c r="AB755" s="234"/>
      <c r="AC755" s="234"/>
      <c r="AD755" s="234"/>
      <c r="AE755" s="234"/>
      <c r="AF755" s="234"/>
      <c r="AG755" s="234"/>
      <c r="AH755" s="234"/>
      <c r="AI755" s="234"/>
      <c r="AJ755" s="234"/>
      <c r="AK755" s="234"/>
      <c r="AL755" s="234"/>
      <c r="AM755" s="234"/>
      <c r="AN755" s="201"/>
      <c r="AO755" s="234"/>
      <c r="AP755" s="234"/>
      <c r="AQ755" s="234"/>
      <c r="AR755" s="234"/>
      <c r="AS755" s="234"/>
      <c r="AT755" s="234"/>
      <c r="AU755" s="234"/>
      <c r="AV755" s="234"/>
      <c r="AW755" s="234"/>
      <c r="AX755" s="234"/>
      <c r="AY755" s="234"/>
      <c r="AZ755" s="234"/>
      <c r="BA755" s="234"/>
      <c r="BB755" s="234"/>
      <c r="BC755" s="234"/>
      <c r="BD755" s="234"/>
      <c r="BE755" s="234"/>
      <c r="BF755" s="234"/>
      <c r="BG755" s="234"/>
      <c r="BH755" s="234"/>
    </row>
    <row r="756" spans="1:60" ht="24" customHeight="1" x14ac:dyDescent="0.25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  <c r="AB756" s="234"/>
      <c r="AC756" s="234"/>
      <c r="AD756" s="234"/>
      <c r="AE756" s="234"/>
      <c r="AF756" s="234"/>
      <c r="AG756" s="234"/>
      <c r="AH756" s="234"/>
      <c r="AI756" s="234"/>
      <c r="AJ756" s="234"/>
      <c r="AK756" s="234"/>
      <c r="AL756" s="234"/>
      <c r="AM756" s="234"/>
      <c r="AN756" s="201"/>
      <c r="AO756" s="234"/>
      <c r="AP756" s="234"/>
      <c r="AQ756" s="234"/>
      <c r="AR756" s="234"/>
      <c r="AS756" s="234"/>
      <c r="AT756" s="234"/>
      <c r="AU756" s="234"/>
      <c r="AV756" s="234"/>
      <c r="AW756" s="234"/>
      <c r="AX756" s="234"/>
      <c r="AY756" s="234"/>
      <c r="AZ756" s="234"/>
      <c r="BA756" s="234"/>
      <c r="BB756" s="234"/>
      <c r="BC756" s="234"/>
      <c r="BD756" s="234"/>
      <c r="BE756" s="234"/>
      <c r="BF756" s="234"/>
      <c r="BG756" s="234"/>
      <c r="BH756" s="234"/>
    </row>
    <row r="757" spans="1:60" ht="24" customHeight="1" x14ac:dyDescent="0.25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  <c r="AB757" s="234"/>
      <c r="AC757" s="234"/>
      <c r="AD757" s="234"/>
      <c r="AE757" s="234"/>
      <c r="AF757" s="234"/>
      <c r="AG757" s="234"/>
      <c r="AH757" s="234"/>
      <c r="AI757" s="234"/>
      <c r="AJ757" s="234"/>
      <c r="AK757" s="234"/>
      <c r="AL757" s="234"/>
      <c r="AM757" s="234"/>
      <c r="AN757" s="201"/>
      <c r="AO757" s="234"/>
      <c r="AP757" s="234"/>
      <c r="AQ757" s="234"/>
      <c r="AR757" s="234"/>
      <c r="AS757" s="234"/>
      <c r="AT757" s="234"/>
      <c r="AU757" s="234"/>
      <c r="AV757" s="234"/>
      <c r="AW757" s="234"/>
      <c r="AX757" s="234"/>
      <c r="AY757" s="234"/>
      <c r="AZ757" s="234"/>
      <c r="BA757" s="234"/>
      <c r="BB757" s="234"/>
      <c r="BC757" s="234"/>
      <c r="BD757" s="234"/>
      <c r="BE757" s="234"/>
      <c r="BF757" s="234"/>
      <c r="BG757" s="234"/>
      <c r="BH757" s="234"/>
    </row>
    <row r="758" spans="1:60" ht="24" customHeight="1" x14ac:dyDescent="0.25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  <c r="AB758" s="234"/>
      <c r="AC758" s="234"/>
      <c r="AD758" s="234"/>
      <c r="AE758" s="234"/>
      <c r="AF758" s="234"/>
      <c r="AG758" s="234"/>
      <c r="AH758" s="234"/>
      <c r="AI758" s="234"/>
      <c r="AJ758" s="234"/>
      <c r="AK758" s="234"/>
      <c r="AL758" s="234"/>
      <c r="AM758" s="234"/>
      <c r="AN758" s="201"/>
      <c r="AO758" s="234"/>
      <c r="AP758" s="234"/>
      <c r="AQ758" s="234"/>
      <c r="AR758" s="234"/>
      <c r="AS758" s="234"/>
      <c r="AT758" s="234"/>
      <c r="AU758" s="234"/>
      <c r="AV758" s="234"/>
      <c r="AW758" s="234"/>
      <c r="AX758" s="234"/>
      <c r="AY758" s="234"/>
      <c r="AZ758" s="234"/>
      <c r="BA758" s="234"/>
      <c r="BB758" s="234"/>
      <c r="BC758" s="234"/>
      <c r="BD758" s="234"/>
      <c r="BE758" s="234"/>
      <c r="BF758" s="234"/>
      <c r="BG758" s="234"/>
      <c r="BH758" s="234"/>
    </row>
    <row r="759" spans="1:60" ht="24" customHeight="1" x14ac:dyDescent="0.25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  <c r="AB759" s="234"/>
      <c r="AC759" s="234"/>
      <c r="AD759" s="234"/>
      <c r="AE759" s="234"/>
      <c r="AF759" s="234"/>
      <c r="AG759" s="234"/>
      <c r="AH759" s="234"/>
      <c r="AI759" s="234"/>
      <c r="AJ759" s="234"/>
      <c r="AK759" s="234"/>
      <c r="AL759" s="234"/>
      <c r="AM759" s="234"/>
      <c r="AN759" s="201"/>
      <c r="AO759" s="234"/>
      <c r="AP759" s="234"/>
      <c r="AQ759" s="234"/>
      <c r="AR759" s="234"/>
      <c r="AS759" s="234"/>
      <c r="AT759" s="234"/>
      <c r="AU759" s="234"/>
      <c r="AV759" s="234"/>
      <c r="AW759" s="234"/>
      <c r="AX759" s="234"/>
      <c r="AY759" s="234"/>
      <c r="AZ759" s="234"/>
      <c r="BA759" s="234"/>
      <c r="BB759" s="234"/>
      <c r="BC759" s="234"/>
      <c r="BD759" s="234"/>
      <c r="BE759" s="234"/>
      <c r="BF759" s="234"/>
      <c r="BG759" s="234"/>
      <c r="BH759" s="234"/>
    </row>
    <row r="760" spans="1:60" ht="24" customHeight="1" x14ac:dyDescent="0.25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  <c r="AB760" s="234"/>
      <c r="AC760" s="234"/>
      <c r="AD760" s="234"/>
      <c r="AE760" s="234"/>
      <c r="AF760" s="234"/>
      <c r="AG760" s="234"/>
      <c r="AH760" s="234"/>
      <c r="AI760" s="234"/>
      <c r="AJ760" s="234"/>
      <c r="AK760" s="234"/>
      <c r="AL760" s="234"/>
      <c r="AM760" s="234"/>
      <c r="AN760" s="201"/>
      <c r="AO760" s="234"/>
      <c r="AP760" s="234"/>
      <c r="AQ760" s="234"/>
      <c r="AR760" s="234"/>
      <c r="AS760" s="234"/>
      <c r="AT760" s="234"/>
      <c r="AU760" s="234"/>
      <c r="AV760" s="234"/>
      <c r="AW760" s="234"/>
      <c r="AX760" s="234"/>
      <c r="AY760" s="234"/>
      <c r="AZ760" s="234"/>
      <c r="BA760" s="234"/>
      <c r="BB760" s="234"/>
      <c r="BC760" s="234"/>
      <c r="BD760" s="234"/>
      <c r="BE760" s="234"/>
      <c r="BF760" s="234"/>
      <c r="BG760" s="234"/>
      <c r="BH760" s="234"/>
    </row>
    <row r="761" spans="1:60" ht="24" customHeight="1" x14ac:dyDescent="0.25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  <c r="AB761" s="234"/>
      <c r="AC761" s="234"/>
      <c r="AD761" s="234"/>
      <c r="AE761" s="234"/>
      <c r="AF761" s="234"/>
      <c r="AG761" s="234"/>
      <c r="AH761" s="234"/>
      <c r="AI761" s="234"/>
      <c r="AJ761" s="234"/>
      <c r="AK761" s="234"/>
      <c r="AL761" s="234"/>
      <c r="AM761" s="234"/>
      <c r="AN761" s="201"/>
      <c r="AO761" s="234"/>
      <c r="AP761" s="234"/>
      <c r="AQ761" s="234"/>
      <c r="AR761" s="234"/>
      <c r="AS761" s="234"/>
      <c r="AT761" s="234"/>
      <c r="AU761" s="234"/>
      <c r="AV761" s="234"/>
      <c r="AW761" s="234"/>
      <c r="AX761" s="234"/>
      <c r="AY761" s="234"/>
      <c r="AZ761" s="234"/>
      <c r="BA761" s="234"/>
      <c r="BB761" s="234"/>
      <c r="BC761" s="234"/>
      <c r="BD761" s="234"/>
      <c r="BE761" s="234"/>
      <c r="BF761" s="234"/>
      <c r="BG761" s="234"/>
      <c r="BH761" s="234"/>
    </row>
    <row r="762" spans="1:60" ht="24" customHeight="1" x14ac:dyDescent="0.25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  <c r="AB762" s="234"/>
      <c r="AC762" s="234"/>
      <c r="AD762" s="234"/>
      <c r="AE762" s="234"/>
      <c r="AF762" s="234"/>
      <c r="AG762" s="234"/>
      <c r="AH762" s="234"/>
      <c r="AI762" s="234"/>
      <c r="AJ762" s="234"/>
      <c r="AK762" s="234"/>
      <c r="AL762" s="234"/>
      <c r="AM762" s="234"/>
      <c r="AN762" s="201"/>
      <c r="AO762" s="234"/>
      <c r="AP762" s="234"/>
      <c r="AQ762" s="234"/>
      <c r="AR762" s="234"/>
      <c r="AS762" s="234"/>
      <c r="AT762" s="234"/>
      <c r="AU762" s="234"/>
      <c r="AV762" s="234"/>
      <c r="AW762" s="234"/>
      <c r="AX762" s="234"/>
      <c r="AY762" s="234"/>
      <c r="AZ762" s="234"/>
      <c r="BA762" s="234"/>
      <c r="BB762" s="234"/>
      <c r="BC762" s="234"/>
      <c r="BD762" s="234"/>
      <c r="BE762" s="234"/>
      <c r="BF762" s="234"/>
      <c r="BG762" s="234"/>
      <c r="BH762" s="234"/>
    </row>
    <row r="763" spans="1:60" ht="24" customHeight="1" x14ac:dyDescent="0.25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  <c r="AB763" s="234"/>
      <c r="AC763" s="234"/>
      <c r="AD763" s="234"/>
      <c r="AE763" s="234"/>
      <c r="AF763" s="234"/>
      <c r="AG763" s="234"/>
      <c r="AH763" s="234"/>
      <c r="AI763" s="234"/>
      <c r="AJ763" s="234"/>
      <c r="AK763" s="234"/>
      <c r="AL763" s="234"/>
      <c r="AM763" s="234"/>
      <c r="AN763" s="201"/>
      <c r="AO763" s="234"/>
      <c r="AP763" s="234"/>
      <c r="AQ763" s="234"/>
      <c r="AR763" s="234"/>
      <c r="AS763" s="234"/>
      <c r="AT763" s="234"/>
      <c r="AU763" s="234"/>
      <c r="AV763" s="234"/>
      <c r="AW763" s="234"/>
      <c r="AX763" s="234"/>
      <c r="AY763" s="234"/>
      <c r="AZ763" s="234"/>
      <c r="BA763" s="234"/>
      <c r="BB763" s="234"/>
      <c r="BC763" s="234"/>
      <c r="BD763" s="234"/>
      <c r="BE763" s="234"/>
      <c r="BF763" s="234"/>
      <c r="BG763" s="234"/>
      <c r="BH763" s="234"/>
    </row>
    <row r="764" spans="1:60" ht="24" customHeight="1" x14ac:dyDescent="0.25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  <c r="AB764" s="234"/>
      <c r="AC764" s="234"/>
      <c r="AD764" s="234"/>
      <c r="AE764" s="234"/>
      <c r="AF764" s="234"/>
      <c r="AG764" s="234"/>
      <c r="AH764" s="234"/>
      <c r="AI764" s="234"/>
      <c r="AJ764" s="234"/>
      <c r="AK764" s="234"/>
      <c r="AL764" s="234"/>
      <c r="AM764" s="234"/>
      <c r="AN764" s="201"/>
      <c r="AO764" s="234"/>
      <c r="AP764" s="234"/>
      <c r="AQ764" s="234"/>
      <c r="AR764" s="234"/>
      <c r="AS764" s="234"/>
      <c r="AT764" s="234"/>
      <c r="AU764" s="234"/>
      <c r="AV764" s="234"/>
      <c r="AW764" s="234"/>
      <c r="AX764" s="234"/>
      <c r="AY764" s="234"/>
      <c r="AZ764" s="234"/>
      <c r="BA764" s="234"/>
      <c r="BB764" s="234"/>
      <c r="BC764" s="234"/>
      <c r="BD764" s="234"/>
      <c r="BE764" s="234"/>
      <c r="BF764" s="234"/>
      <c r="BG764" s="234"/>
      <c r="BH764" s="234"/>
    </row>
    <row r="765" spans="1:60" ht="24" customHeight="1" x14ac:dyDescent="0.2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  <c r="AB765" s="234"/>
      <c r="AC765" s="234"/>
      <c r="AD765" s="234"/>
      <c r="AE765" s="234"/>
      <c r="AF765" s="234"/>
      <c r="AG765" s="234"/>
      <c r="AH765" s="234"/>
      <c r="AI765" s="234"/>
      <c r="AJ765" s="234"/>
      <c r="AK765" s="234"/>
      <c r="AL765" s="234"/>
      <c r="AM765" s="234"/>
      <c r="AN765" s="201"/>
      <c r="AO765" s="234"/>
      <c r="AP765" s="234"/>
      <c r="AQ765" s="234"/>
      <c r="AR765" s="234"/>
      <c r="AS765" s="234"/>
      <c r="AT765" s="234"/>
      <c r="AU765" s="234"/>
      <c r="AV765" s="234"/>
      <c r="AW765" s="234"/>
      <c r="AX765" s="234"/>
      <c r="AY765" s="234"/>
      <c r="AZ765" s="234"/>
      <c r="BA765" s="234"/>
      <c r="BB765" s="234"/>
      <c r="BC765" s="234"/>
      <c r="BD765" s="234"/>
      <c r="BE765" s="234"/>
      <c r="BF765" s="234"/>
      <c r="BG765" s="234"/>
      <c r="BH765" s="234"/>
    </row>
    <row r="766" spans="1:60" ht="24" customHeight="1" x14ac:dyDescent="0.25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  <c r="AB766" s="234"/>
      <c r="AC766" s="234"/>
      <c r="AD766" s="234"/>
      <c r="AE766" s="234"/>
      <c r="AF766" s="234"/>
      <c r="AG766" s="234"/>
      <c r="AH766" s="234"/>
      <c r="AI766" s="234"/>
      <c r="AJ766" s="234"/>
      <c r="AK766" s="234"/>
      <c r="AL766" s="234"/>
      <c r="AM766" s="234"/>
      <c r="AN766" s="201"/>
      <c r="AO766" s="234"/>
      <c r="AP766" s="234"/>
      <c r="AQ766" s="234"/>
      <c r="AR766" s="234"/>
      <c r="AS766" s="234"/>
      <c r="AT766" s="234"/>
      <c r="AU766" s="234"/>
      <c r="AV766" s="234"/>
      <c r="AW766" s="234"/>
      <c r="AX766" s="234"/>
      <c r="AY766" s="234"/>
      <c r="AZ766" s="234"/>
      <c r="BA766" s="234"/>
      <c r="BB766" s="234"/>
      <c r="BC766" s="234"/>
      <c r="BD766" s="234"/>
      <c r="BE766" s="234"/>
      <c r="BF766" s="234"/>
      <c r="BG766" s="234"/>
      <c r="BH766" s="234"/>
    </row>
    <row r="767" spans="1:60" ht="24" customHeight="1" x14ac:dyDescent="0.25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  <c r="AB767" s="234"/>
      <c r="AC767" s="234"/>
      <c r="AD767" s="234"/>
      <c r="AE767" s="234"/>
      <c r="AF767" s="234"/>
      <c r="AG767" s="234"/>
      <c r="AH767" s="234"/>
      <c r="AI767" s="234"/>
      <c r="AJ767" s="234"/>
      <c r="AK767" s="234"/>
      <c r="AL767" s="234"/>
      <c r="AM767" s="234"/>
      <c r="AN767" s="201"/>
      <c r="AO767" s="234"/>
      <c r="AP767" s="234"/>
      <c r="AQ767" s="234"/>
      <c r="AR767" s="234"/>
      <c r="AS767" s="234"/>
      <c r="AT767" s="234"/>
      <c r="AU767" s="234"/>
      <c r="AV767" s="234"/>
      <c r="AW767" s="234"/>
      <c r="AX767" s="234"/>
      <c r="AY767" s="234"/>
      <c r="AZ767" s="234"/>
      <c r="BA767" s="234"/>
      <c r="BB767" s="234"/>
      <c r="BC767" s="234"/>
      <c r="BD767" s="234"/>
      <c r="BE767" s="234"/>
      <c r="BF767" s="234"/>
      <c r="BG767" s="234"/>
      <c r="BH767" s="234"/>
    </row>
    <row r="768" spans="1:60" ht="24" customHeight="1" x14ac:dyDescent="0.25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  <c r="AB768" s="234"/>
      <c r="AC768" s="234"/>
      <c r="AD768" s="234"/>
      <c r="AE768" s="234"/>
      <c r="AF768" s="234"/>
      <c r="AG768" s="234"/>
      <c r="AH768" s="234"/>
      <c r="AI768" s="234"/>
      <c r="AJ768" s="234"/>
      <c r="AK768" s="234"/>
      <c r="AL768" s="234"/>
      <c r="AM768" s="234"/>
      <c r="AN768" s="201"/>
      <c r="AO768" s="234"/>
      <c r="AP768" s="234"/>
      <c r="AQ768" s="234"/>
      <c r="AR768" s="234"/>
      <c r="AS768" s="234"/>
      <c r="AT768" s="234"/>
      <c r="AU768" s="234"/>
      <c r="AV768" s="234"/>
      <c r="AW768" s="234"/>
      <c r="AX768" s="234"/>
      <c r="AY768" s="234"/>
      <c r="AZ768" s="234"/>
      <c r="BA768" s="234"/>
      <c r="BB768" s="234"/>
      <c r="BC768" s="234"/>
      <c r="BD768" s="234"/>
      <c r="BE768" s="234"/>
      <c r="BF768" s="234"/>
      <c r="BG768" s="234"/>
      <c r="BH768" s="234"/>
    </row>
    <row r="769" spans="1:60" ht="24" customHeight="1" x14ac:dyDescent="0.25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  <c r="AB769" s="234"/>
      <c r="AC769" s="234"/>
      <c r="AD769" s="234"/>
      <c r="AE769" s="234"/>
      <c r="AF769" s="234"/>
      <c r="AG769" s="234"/>
      <c r="AH769" s="234"/>
      <c r="AI769" s="234"/>
      <c r="AJ769" s="234"/>
      <c r="AK769" s="234"/>
      <c r="AL769" s="234"/>
      <c r="AM769" s="234"/>
      <c r="AN769" s="201"/>
      <c r="AO769" s="234"/>
      <c r="AP769" s="234"/>
      <c r="AQ769" s="234"/>
      <c r="AR769" s="234"/>
      <c r="AS769" s="234"/>
      <c r="AT769" s="234"/>
      <c r="AU769" s="234"/>
      <c r="AV769" s="234"/>
      <c r="AW769" s="234"/>
      <c r="AX769" s="234"/>
      <c r="AY769" s="234"/>
      <c r="AZ769" s="234"/>
      <c r="BA769" s="234"/>
      <c r="BB769" s="234"/>
      <c r="BC769" s="234"/>
      <c r="BD769" s="234"/>
      <c r="BE769" s="234"/>
      <c r="BF769" s="234"/>
      <c r="BG769" s="234"/>
      <c r="BH769" s="234"/>
    </row>
    <row r="770" spans="1:60" ht="24" customHeight="1" x14ac:dyDescent="0.25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  <c r="AB770" s="234"/>
      <c r="AC770" s="234"/>
      <c r="AD770" s="234"/>
      <c r="AE770" s="234"/>
      <c r="AF770" s="234"/>
      <c r="AG770" s="234"/>
      <c r="AH770" s="234"/>
      <c r="AI770" s="234"/>
      <c r="AJ770" s="234"/>
      <c r="AK770" s="234"/>
      <c r="AL770" s="234"/>
      <c r="AM770" s="234"/>
      <c r="AN770" s="201"/>
      <c r="AO770" s="234"/>
      <c r="AP770" s="234"/>
      <c r="AQ770" s="234"/>
      <c r="AR770" s="234"/>
      <c r="AS770" s="234"/>
      <c r="AT770" s="234"/>
      <c r="AU770" s="234"/>
      <c r="AV770" s="234"/>
      <c r="AW770" s="234"/>
      <c r="AX770" s="234"/>
      <c r="AY770" s="234"/>
      <c r="AZ770" s="234"/>
      <c r="BA770" s="234"/>
      <c r="BB770" s="234"/>
      <c r="BC770" s="234"/>
      <c r="BD770" s="234"/>
      <c r="BE770" s="234"/>
      <c r="BF770" s="234"/>
      <c r="BG770" s="234"/>
      <c r="BH770" s="234"/>
    </row>
    <row r="771" spans="1:60" ht="24" customHeight="1" x14ac:dyDescent="0.25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  <c r="AB771" s="234"/>
      <c r="AC771" s="234"/>
      <c r="AD771" s="234"/>
      <c r="AE771" s="234"/>
      <c r="AF771" s="234"/>
      <c r="AG771" s="234"/>
      <c r="AH771" s="234"/>
      <c r="AI771" s="234"/>
      <c r="AJ771" s="234"/>
      <c r="AK771" s="234"/>
      <c r="AL771" s="234"/>
      <c r="AM771" s="234"/>
      <c r="AN771" s="201"/>
      <c r="AO771" s="234"/>
      <c r="AP771" s="234"/>
      <c r="AQ771" s="234"/>
      <c r="AR771" s="234"/>
      <c r="AS771" s="234"/>
      <c r="AT771" s="234"/>
      <c r="AU771" s="234"/>
      <c r="AV771" s="234"/>
      <c r="AW771" s="234"/>
      <c r="AX771" s="234"/>
      <c r="AY771" s="234"/>
      <c r="AZ771" s="234"/>
      <c r="BA771" s="234"/>
      <c r="BB771" s="234"/>
      <c r="BC771" s="234"/>
      <c r="BD771" s="234"/>
      <c r="BE771" s="234"/>
      <c r="BF771" s="234"/>
      <c r="BG771" s="234"/>
      <c r="BH771" s="234"/>
    </row>
    <row r="772" spans="1:60" ht="24" customHeight="1" x14ac:dyDescent="0.25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  <c r="AB772" s="234"/>
      <c r="AC772" s="234"/>
      <c r="AD772" s="234"/>
      <c r="AE772" s="234"/>
      <c r="AF772" s="234"/>
      <c r="AG772" s="234"/>
      <c r="AH772" s="234"/>
      <c r="AI772" s="234"/>
      <c r="AJ772" s="234"/>
      <c r="AK772" s="234"/>
      <c r="AL772" s="234"/>
      <c r="AM772" s="234"/>
      <c r="AN772" s="201"/>
      <c r="AO772" s="234"/>
      <c r="AP772" s="234"/>
      <c r="AQ772" s="234"/>
      <c r="AR772" s="234"/>
      <c r="AS772" s="234"/>
      <c r="AT772" s="234"/>
      <c r="AU772" s="234"/>
      <c r="AV772" s="234"/>
      <c r="AW772" s="234"/>
      <c r="AX772" s="234"/>
      <c r="AY772" s="234"/>
      <c r="AZ772" s="234"/>
      <c r="BA772" s="234"/>
      <c r="BB772" s="234"/>
      <c r="BC772" s="234"/>
      <c r="BD772" s="234"/>
      <c r="BE772" s="234"/>
      <c r="BF772" s="234"/>
      <c r="BG772" s="234"/>
      <c r="BH772" s="234"/>
    </row>
    <row r="773" spans="1:60" ht="24" customHeight="1" x14ac:dyDescent="0.25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  <c r="AB773" s="234"/>
      <c r="AC773" s="234"/>
      <c r="AD773" s="234"/>
      <c r="AE773" s="234"/>
      <c r="AF773" s="234"/>
      <c r="AG773" s="234"/>
      <c r="AH773" s="234"/>
      <c r="AI773" s="234"/>
      <c r="AJ773" s="234"/>
      <c r="AK773" s="234"/>
      <c r="AL773" s="234"/>
      <c r="AM773" s="234"/>
      <c r="AN773" s="201"/>
      <c r="AO773" s="234"/>
      <c r="AP773" s="234"/>
      <c r="AQ773" s="234"/>
      <c r="AR773" s="234"/>
      <c r="AS773" s="234"/>
      <c r="AT773" s="234"/>
      <c r="AU773" s="234"/>
      <c r="AV773" s="234"/>
      <c r="AW773" s="234"/>
      <c r="AX773" s="234"/>
      <c r="AY773" s="234"/>
      <c r="AZ773" s="234"/>
      <c r="BA773" s="234"/>
      <c r="BB773" s="234"/>
      <c r="BC773" s="234"/>
      <c r="BD773" s="234"/>
      <c r="BE773" s="234"/>
      <c r="BF773" s="234"/>
      <c r="BG773" s="234"/>
      <c r="BH773" s="234"/>
    </row>
    <row r="774" spans="1:60" ht="24" customHeight="1" x14ac:dyDescent="0.25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  <c r="AB774" s="234"/>
      <c r="AC774" s="234"/>
      <c r="AD774" s="234"/>
      <c r="AE774" s="234"/>
      <c r="AF774" s="234"/>
      <c r="AG774" s="234"/>
      <c r="AH774" s="234"/>
      <c r="AI774" s="234"/>
      <c r="AJ774" s="234"/>
      <c r="AK774" s="234"/>
      <c r="AL774" s="234"/>
      <c r="AM774" s="234"/>
      <c r="AN774" s="201"/>
      <c r="AO774" s="234"/>
      <c r="AP774" s="234"/>
      <c r="AQ774" s="234"/>
      <c r="AR774" s="234"/>
      <c r="AS774" s="234"/>
      <c r="AT774" s="234"/>
      <c r="AU774" s="234"/>
      <c r="AV774" s="234"/>
      <c r="AW774" s="234"/>
      <c r="AX774" s="234"/>
      <c r="AY774" s="234"/>
      <c r="AZ774" s="234"/>
      <c r="BA774" s="234"/>
      <c r="BB774" s="234"/>
      <c r="BC774" s="234"/>
      <c r="BD774" s="234"/>
      <c r="BE774" s="234"/>
      <c r="BF774" s="234"/>
      <c r="BG774" s="234"/>
      <c r="BH774" s="234"/>
    </row>
    <row r="775" spans="1:60" ht="24" customHeight="1" x14ac:dyDescent="0.2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  <c r="AB775" s="234"/>
      <c r="AC775" s="234"/>
      <c r="AD775" s="234"/>
      <c r="AE775" s="234"/>
      <c r="AF775" s="234"/>
      <c r="AG775" s="234"/>
      <c r="AH775" s="234"/>
      <c r="AI775" s="234"/>
      <c r="AJ775" s="234"/>
      <c r="AK775" s="234"/>
      <c r="AL775" s="234"/>
      <c r="AM775" s="234"/>
      <c r="AN775" s="201"/>
      <c r="AO775" s="234"/>
      <c r="AP775" s="234"/>
      <c r="AQ775" s="234"/>
      <c r="AR775" s="234"/>
      <c r="AS775" s="234"/>
      <c r="AT775" s="234"/>
      <c r="AU775" s="234"/>
      <c r="AV775" s="234"/>
      <c r="AW775" s="234"/>
      <c r="AX775" s="234"/>
      <c r="AY775" s="234"/>
      <c r="AZ775" s="234"/>
      <c r="BA775" s="234"/>
      <c r="BB775" s="234"/>
      <c r="BC775" s="234"/>
      <c r="BD775" s="234"/>
      <c r="BE775" s="234"/>
      <c r="BF775" s="234"/>
      <c r="BG775" s="234"/>
      <c r="BH775" s="234"/>
    </row>
    <row r="776" spans="1:60" ht="24" customHeight="1" x14ac:dyDescent="0.25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  <c r="AB776" s="234"/>
      <c r="AC776" s="234"/>
      <c r="AD776" s="234"/>
      <c r="AE776" s="234"/>
      <c r="AF776" s="234"/>
      <c r="AG776" s="234"/>
      <c r="AH776" s="234"/>
      <c r="AI776" s="234"/>
      <c r="AJ776" s="234"/>
      <c r="AK776" s="234"/>
      <c r="AL776" s="234"/>
      <c r="AM776" s="234"/>
      <c r="AN776" s="201"/>
      <c r="AO776" s="234"/>
      <c r="AP776" s="234"/>
      <c r="AQ776" s="234"/>
      <c r="AR776" s="234"/>
      <c r="AS776" s="234"/>
      <c r="AT776" s="234"/>
      <c r="AU776" s="234"/>
      <c r="AV776" s="234"/>
      <c r="AW776" s="234"/>
      <c r="AX776" s="234"/>
      <c r="AY776" s="234"/>
      <c r="AZ776" s="234"/>
      <c r="BA776" s="234"/>
      <c r="BB776" s="234"/>
      <c r="BC776" s="234"/>
      <c r="BD776" s="234"/>
      <c r="BE776" s="234"/>
      <c r="BF776" s="234"/>
      <c r="BG776" s="234"/>
      <c r="BH776" s="234"/>
    </row>
    <row r="777" spans="1:60" ht="24" customHeight="1" x14ac:dyDescent="0.25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  <c r="AB777" s="234"/>
      <c r="AC777" s="234"/>
      <c r="AD777" s="234"/>
      <c r="AE777" s="234"/>
      <c r="AF777" s="234"/>
      <c r="AG777" s="234"/>
      <c r="AH777" s="234"/>
      <c r="AI777" s="234"/>
      <c r="AJ777" s="234"/>
      <c r="AK777" s="234"/>
      <c r="AL777" s="234"/>
      <c r="AM777" s="234"/>
      <c r="AN777" s="201"/>
      <c r="AO777" s="234"/>
      <c r="AP777" s="234"/>
      <c r="AQ777" s="234"/>
      <c r="AR777" s="234"/>
      <c r="AS777" s="234"/>
      <c r="AT777" s="234"/>
      <c r="AU777" s="234"/>
      <c r="AV777" s="234"/>
      <c r="AW777" s="234"/>
      <c r="AX777" s="234"/>
      <c r="AY777" s="234"/>
      <c r="AZ777" s="234"/>
      <c r="BA777" s="234"/>
      <c r="BB777" s="234"/>
      <c r="BC777" s="234"/>
      <c r="BD777" s="234"/>
      <c r="BE777" s="234"/>
      <c r="BF777" s="234"/>
      <c r="BG777" s="234"/>
      <c r="BH777" s="234"/>
    </row>
    <row r="778" spans="1:60" ht="24" customHeight="1" x14ac:dyDescent="0.25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  <c r="AB778" s="234"/>
      <c r="AC778" s="234"/>
      <c r="AD778" s="234"/>
      <c r="AE778" s="234"/>
      <c r="AF778" s="234"/>
      <c r="AG778" s="234"/>
      <c r="AH778" s="234"/>
      <c r="AI778" s="234"/>
      <c r="AJ778" s="234"/>
      <c r="AK778" s="234"/>
      <c r="AL778" s="234"/>
      <c r="AM778" s="234"/>
      <c r="AN778" s="201"/>
      <c r="AO778" s="234"/>
      <c r="AP778" s="234"/>
      <c r="AQ778" s="234"/>
      <c r="AR778" s="234"/>
      <c r="AS778" s="234"/>
      <c r="AT778" s="234"/>
      <c r="AU778" s="234"/>
      <c r="AV778" s="234"/>
      <c r="AW778" s="234"/>
      <c r="AX778" s="234"/>
      <c r="AY778" s="234"/>
      <c r="AZ778" s="234"/>
      <c r="BA778" s="234"/>
      <c r="BB778" s="234"/>
      <c r="BC778" s="234"/>
      <c r="BD778" s="234"/>
      <c r="BE778" s="234"/>
      <c r="BF778" s="234"/>
      <c r="BG778" s="234"/>
      <c r="BH778" s="234"/>
    </row>
    <row r="779" spans="1:60" ht="24" customHeight="1" x14ac:dyDescent="0.25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  <c r="AB779" s="234"/>
      <c r="AC779" s="234"/>
      <c r="AD779" s="234"/>
      <c r="AE779" s="234"/>
      <c r="AF779" s="234"/>
      <c r="AG779" s="234"/>
      <c r="AH779" s="234"/>
      <c r="AI779" s="234"/>
      <c r="AJ779" s="234"/>
      <c r="AK779" s="234"/>
      <c r="AL779" s="234"/>
      <c r="AM779" s="234"/>
      <c r="AN779" s="201"/>
      <c r="AO779" s="234"/>
      <c r="AP779" s="234"/>
      <c r="AQ779" s="234"/>
      <c r="AR779" s="234"/>
      <c r="AS779" s="234"/>
      <c r="AT779" s="234"/>
      <c r="AU779" s="234"/>
      <c r="AV779" s="234"/>
      <c r="AW779" s="234"/>
      <c r="AX779" s="234"/>
      <c r="AY779" s="234"/>
      <c r="AZ779" s="234"/>
      <c r="BA779" s="234"/>
      <c r="BB779" s="234"/>
      <c r="BC779" s="234"/>
      <c r="BD779" s="234"/>
      <c r="BE779" s="234"/>
      <c r="BF779" s="234"/>
      <c r="BG779" s="234"/>
      <c r="BH779" s="234"/>
    </row>
    <row r="780" spans="1:60" ht="24" customHeight="1" x14ac:dyDescent="0.25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  <c r="AB780" s="234"/>
      <c r="AC780" s="234"/>
      <c r="AD780" s="234"/>
      <c r="AE780" s="234"/>
      <c r="AF780" s="234"/>
      <c r="AG780" s="234"/>
      <c r="AH780" s="234"/>
      <c r="AI780" s="234"/>
      <c r="AJ780" s="234"/>
      <c r="AK780" s="234"/>
      <c r="AL780" s="234"/>
      <c r="AM780" s="234"/>
      <c r="AN780" s="201"/>
      <c r="AO780" s="234"/>
      <c r="AP780" s="234"/>
      <c r="AQ780" s="234"/>
      <c r="AR780" s="234"/>
      <c r="AS780" s="234"/>
      <c r="AT780" s="234"/>
      <c r="AU780" s="234"/>
      <c r="AV780" s="234"/>
      <c r="AW780" s="234"/>
      <c r="AX780" s="234"/>
      <c r="AY780" s="234"/>
      <c r="AZ780" s="234"/>
      <c r="BA780" s="234"/>
      <c r="BB780" s="234"/>
      <c r="BC780" s="234"/>
      <c r="BD780" s="234"/>
      <c r="BE780" s="234"/>
      <c r="BF780" s="234"/>
      <c r="BG780" s="234"/>
      <c r="BH780" s="234"/>
    </row>
    <row r="781" spans="1:60" ht="24" customHeight="1" x14ac:dyDescent="0.25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  <c r="AB781" s="234"/>
      <c r="AC781" s="234"/>
      <c r="AD781" s="234"/>
      <c r="AE781" s="234"/>
      <c r="AF781" s="234"/>
      <c r="AG781" s="234"/>
      <c r="AH781" s="234"/>
      <c r="AI781" s="234"/>
      <c r="AJ781" s="234"/>
      <c r="AK781" s="234"/>
      <c r="AL781" s="234"/>
      <c r="AM781" s="234"/>
      <c r="AN781" s="201"/>
      <c r="AO781" s="234"/>
      <c r="AP781" s="234"/>
      <c r="AQ781" s="234"/>
      <c r="AR781" s="234"/>
      <c r="AS781" s="234"/>
      <c r="AT781" s="234"/>
      <c r="AU781" s="234"/>
      <c r="AV781" s="234"/>
      <c r="AW781" s="234"/>
      <c r="AX781" s="234"/>
      <c r="AY781" s="234"/>
      <c r="AZ781" s="234"/>
      <c r="BA781" s="234"/>
      <c r="BB781" s="234"/>
      <c r="BC781" s="234"/>
      <c r="BD781" s="234"/>
      <c r="BE781" s="234"/>
      <c r="BF781" s="234"/>
      <c r="BG781" s="234"/>
      <c r="BH781" s="234"/>
    </row>
    <row r="782" spans="1:60" ht="24" customHeight="1" x14ac:dyDescent="0.25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  <c r="AB782" s="234"/>
      <c r="AC782" s="234"/>
      <c r="AD782" s="234"/>
      <c r="AE782" s="234"/>
      <c r="AF782" s="234"/>
      <c r="AG782" s="234"/>
      <c r="AH782" s="234"/>
      <c r="AI782" s="234"/>
      <c r="AJ782" s="234"/>
      <c r="AK782" s="234"/>
      <c r="AL782" s="234"/>
      <c r="AM782" s="234"/>
      <c r="AN782" s="201"/>
      <c r="AO782" s="234"/>
      <c r="AP782" s="234"/>
      <c r="AQ782" s="234"/>
      <c r="AR782" s="234"/>
      <c r="AS782" s="234"/>
      <c r="AT782" s="234"/>
      <c r="AU782" s="234"/>
      <c r="AV782" s="234"/>
      <c r="AW782" s="234"/>
      <c r="AX782" s="234"/>
      <c r="AY782" s="234"/>
      <c r="AZ782" s="234"/>
      <c r="BA782" s="234"/>
      <c r="BB782" s="234"/>
      <c r="BC782" s="234"/>
      <c r="BD782" s="234"/>
      <c r="BE782" s="234"/>
      <c r="BF782" s="234"/>
      <c r="BG782" s="234"/>
      <c r="BH782" s="234"/>
    </row>
    <row r="783" spans="1:60" ht="24" customHeight="1" x14ac:dyDescent="0.25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  <c r="AB783" s="234"/>
      <c r="AC783" s="234"/>
      <c r="AD783" s="234"/>
      <c r="AE783" s="234"/>
      <c r="AF783" s="234"/>
      <c r="AG783" s="234"/>
      <c r="AH783" s="234"/>
      <c r="AI783" s="234"/>
      <c r="AJ783" s="234"/>
      <c r="AK783" s="234"/>
      <c r="AL783" s="234"/>
      <c r="AM783" s="234"/>
      <c r="AN783" s="201"/>
      <c r="AO783" s="234"/>
      <c r="AP783" s="234"/>
      <c r="AQ783" s="234"/>
      <c r="AR783" s="234"/>
      <c r="AS783" s="234"/>
      <c r="AT783" s="234"/>
      <c r="AU783" s="234"/>
      <c r="AV783" s="234"/>
      <c r="AW783" s="234"/>
      <c r="AX783" s="234"/>
      <c r="AY783" s="234"/>
      <c r="AZ783" s="234"/>
      <c r="BA783" s="234"/>
      <c r="BB783" s="234"/>
      <c r="BC783" s="234"/>
      <c r="BD783" s="234"/>
      <c r="BE783" s="234"/>
      <c r="BF783" s="234"/>
      <c r="BG783" s="234"/>
      <c r="BH783" s="234"/>
    </row>
    <row r="784" spans="1:60" ht="24" customHeight="1" x14ac:dyDescent="0.25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  <c r="AB784" s="234"/>
      <c r="AC784" s="234"/>
      <c r="AD784" s="234"/>
      <c r="AE784" s="234"/>
      <c r="AF784" s="234"/>
      <c r="AG784" s="234"/>
      <c r="AH784" s="234"/>
      <c r="AI784" s="234"/>
      <c r="AJ784" s="234"/>
      <c r="AK784" s="234"/>
      <c r="AL784" s="234"/>
      <c r="AM784" s="234"/>
      <c r="AN784" s="201"/>
      <c r="AO784" s="234"/>
      <c r="AP784" s="234"/>
      <c r="AQ784" s="234"/>
      <c r="AR784" s="234"/>
      <c r="AS784" s="234"/>
      <c r="AT784" s="234"/>
      <c r="AU784" s="234"/>
      <c r="AV784" s="234"/>
      <c r="AW784" s="234"/>
      <c r="AX784" s="234"/>
      <c r="AY784" s="234"/>
      <c r="AZ784" s="234"/>
      <c r="BA784" s="234"/>
      <c r="BB784" s="234"/>
      <c r="BC784" s="234"/>
      <c r="BD784" s="234"/>
      <c r="BE784" s="234"/>
      <c r="BF784" s="234"/>
      <c r="BG784" s="234"/>
      <c r="BH784" s="234"/>
    </row>
    <row r="785" spans="1:60" ht="24" customHeight="1" x14ac:dyDescent="0.2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  <c r="AB785" s="234"/>
      <c r="AC785" s="234"/>
      <c r="AD785" s="234"/>
      <c r="AE785" s="234"/>
      <c r="AF785" s="234"/>
      <c r="AG785" s="234"/>
      <c r="AH785" s="234"/>
      <c r="AI785" s="234"/>
      <c r="AJ785" s="234"/>
      <c r="AK785" s="234"/>
      <c r="AL785" s="234"/>
      <c r="AM785" s="234"/>
      <c r="AN785" s="201"/>
      <c r="AO785" s="234"/>
      <c r="AP785" s="234"/>
      <c r="AQ785" s="234"/>
      <c r="AR785" s="234"/>
      <c r="AS785" s="234"/>
      <c r="AT785" s="234"/>
      <c r="AU785" s="234"/>
      <c r="AV785" s="234"/>
      <c r="AW785" s="234"/>
      <c r="AX785" s="234"/>
      <c r="AY785" s="234"/>
      <c r="AZ785" s="234"/>
      <c r="BA785" s="234"/>
      <c r="BB785" s="234"/>
      <c r="BC785" s="234"/>
      <c r="BD785" s="234"/>
      <c r="BE785" s="234"/>
      <c r="BF785" s="234"/>
      <c r="BG785" s="234"/>
      <c r="BH785" s="234"/>
    </row>
    <row r="786" spans="1:60" ht="24" customHeight="1" x14ac:dyDescent="0.25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  <c r="AB786" s="234"/>
      <c r="AC786" s="234"/>
      <c r="AD786" s="234"/>
      <c r="AE786" s="234"/>
      <c r="AF786" s="234"/>
      <c r="AG786" s="234"/>
      <c r="AH786" s="234"/>
      <c r="AI786" s="234"/>
      <c r="AJ786" s="234"/>
      <c r="AK786" s="234"/>
      <c r="AL786" s="234"/>
      <c r="AM786" s="234"/>
      <c r="AN786" s="201"/>
      <c r="AO786" s="234"/>
      <c r="AP786" s="234"/>
      <c r="AQ786" s="234"/>
      <c r="AR786" s="234"/>
      <c r="AS786" s="234"/>
      <c r="AT786" s="234"/>
      <c r="AU786" s="234"/>
      <c r="AV786" s="234"/>
      <c r="AW786" s="234"/>
      <c r="AX786" s="234"/>
      <c r="AY786" s="234"/>
      <c r="AZ786" s="234"/>
      <c r="BA786" s="234"/>
      <c r="BB786" s="234"/>
      <c r="BC786" s="234"/>
      <c r="BD786" s="234"/>
      <c r="BE786" s="234"/>
      <c r="BF786" s="234"/>
      <c r="BG786" s="234"/>
      <c r="BH786" s="234"/>
    </row>
    <row r="787" spans="1:60" ht="24" customHeight="1" x14ac:dyDescent="0.25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  <c r="AB787" s="234"/>
      <c r="AC787" s="234"/>
      <c r="AD787" s="234"/>
      <c r="AE787" s="234"/>
      <c r="AF787" s="234"/>
      <c r="AG787" s="234"/>
      <c r="AH787" s="234"/>
      <c r="AI787" s="234"/>
      <c r="AJ787" s="234"/>
      <c r="AK787" s="234"/>
      <c r="AL787" s="234"/>
      <c r="AM787" s="234"/>
      <c r="AN787" s="201"/>
      <c r="AO787" s="234"/>
      <c r="AP787" s="234"/>
      <c r="AQ787" s="234"/>
      <c r="AR787" s="234"/>
      <c r="AS787" s="234"/>
      <c r="AT787" s="234"/>
      <c r="AU787" s="234"/>
      <c r="AV787" s="234"/>
      <c r="AW787" s="234"/>
      <c r="AX787" s="234"/>
      <c r="AY787" s="234"/>
      <c r="AZ787" s="234"/>
      <c r="BA787" s="234"/>
      <c r="BB787" s="234"/>
      <c r="BC787" s="234"/>
      <c r="BD787" s="234"/>
      <c r="BE787" s="234"/>
      <c r="BF787" s="234"/>
      <c r="BG787" s="234"/>
      <c r="BH787" s="234"/>
    </row>
    <row r="788" spans="1:60" ht="24" customHeight="1" x14ac:dyDescent="0.25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  <c r="AB788" s="234"/>
      <c r="AC788" s="234"/>
      <c r="AD788" s="234"/>
      <c r="AE788" s="234"/>
      <c r="AF788" s="234"/>
      <c r="AG788" s="234"/>
      <c r="AH788" s="234"/>
      <c r="AI788" s="234"/>
      <c r="AJ788" s="234"/>
      <c r="AK788" s="234"/>
      <c r="AL788" s="234"/>
      <c r="AM788" s="234"/>
      <c r="AN788" s="201"/>
      <c r="AO788" s="234"/>
      <c r="AP788" s="234"/>
      <c r="AQ788" s="234"/>
      <c r="AR788" s="234"/>
      <c r="AS788" s="234"/>
      <c r="AT788" s="234"/>
      <c r="AU788" s="234"/>
      <c r="AV788" s="234"/>
      <c r="AW788" s="234"/>
      <c r="AX788" s="234"/>
      <c r="AY788" s="234"/>
      <c r="AZ788" s="234"/>
      <c r="BA788" s="234"/>
      <c r="BB788" s="234"/>
      <c r="BC788" s="234"/>
      <c r="BD788" s="234"/>
      <c r="BE788" s="234"/>
      <c r="BF788" s="234"/>
      <c r="BG788" s="234"/>
      <c r="BH788" s="234"/>
    </row>
    <row r="789" spans="1:60" ht="24" customHeight="1" x14ac:dyDescent="0.25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  <c r="AB789" s="234"/>
      <c r="AC789" s="234"/>
      <c r="AD789" s="234"/>
      <c r="AE789" s="234"/>
      <c r="AF789" s="234"/>
      <c r="AG789" s="234"/>
      <c r="AH789" s="234"/>
      <c r="AI789" s="234"/>
      <c r="AJ789" s="234"/>
      <c r="AK789" s="234"/>
      <c r="AL789" s="234"/>
      <c r="AM789" s="234"/>
      <c r="AN789" s="201"/>
      <c r="AO789" s="234"/>
      <c r="AP789" s="234"/>
      <c r="AQ789" s="234"/>
      <c r="AR789" s="234"/>
      <c r="AS789" s="234"/>
      <c r="AT789" s="234"/>
      <c r="AU789" s="234"/>
      <c r="AV789" s="234"/>
      <c r="AW789" s="234"/>
      <c r="AX789" s="234"/>
      <c r="AY789" s="234"/>
      <c r="AZ789" s="234"/>
      <c r="BA789" s="234"/>
      <c r="BB789" s="234"/>
      <c r="BC789" s="234"/>
      <c r="BD789" s="234"/>
      <c r="BE789" s="234"/>
      <c r="BF789" s="234"/>
      <c r="BG789" s="234"/>
      <c r="BH789" s="234"/>
    </row>
    <row r="790" spans="1:60" ht="24" customHeight="1" x14ac:dyDescent="0.25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  <c r="AB790" s="234"/>
      <c r="AC790" s="234"/>
      <c r="AD790" s="234"/>
      <c r="AE790" s="234"/>
      <c r="AF790" s="234"/>
      <c r="AG790" s="234"/>
      <c r="AH790" s="234"/>
      <c r="AI790" s="234"/>
      <c r="AJ790" s="234"/>
      <c r="AK790" s="234"/>
      <c r="AL790" s="234"/>
      <c r="AM790" s="234"/>
      <c r="AN790" s="201"/>
      <c r="AO790" s="234"/>
      <c r="AP790" s="234"/>
      <c r="AQ790" s="234"/>
      <c r="AR790" s="234"/>
      <c r="AS790" s="234"/>
      <c r="AT790" s="234"/>
      <c r="AU790" s="234"/>
      <c r="AV790" s="234"/>
      <c r="AW790" s="234"/>
      <c r="AX790" s="234"/>
      <c r="AY790" s="234"/>
      <c r="AZ790" s="234"/>
      <c r="BA790" s="234"/>
      <c r="BB790" s="234"/>
      <c r="BC790" s="234"/>
      <c r="BD790" s="234"/>
      <c r="BE790" s="234"/>
      <c r="BF790" s="234"/>
      <c r="BG790" s="234"/>
      <c r="BH790" s="234"/>
    </row>
    <row r="791" spans="1:60" ht="24" customHeight="1" x14ac:dyDescent="0.25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  <c r="AB791" s="234"/>
      <c r="AC791" s="234"/>
      <c r="AD791" s="234"/>
      <c r="AE791" s="234"/>
      <c r="AF791" s="234"/>
      <c r="AG791" s="234"/>
      <c r="AH791" s="234"/>
      <c r="AI791" s="234"/>
      <c r="AJ791" s="234"/>
      <c r="AK791" s="234"/>
      <c r="AL791" s="234"/>
      <c r="AM791" s="234"/>
      <c r="AN791" s="201"/>
      <c r="AO791" s="234"/>
      <c r="AP791" s="234"/>
      <c r="AQ791" s="234"/>
      <c r="AR791" s="234"/>
      <c r="AS791" s="234"/>
      <c r="AT791" s="234"/>
      <c r="AU791" s="234"/>
      <c r="AV791" s="234"/>
      <c r="AW791" s="234"/>
      <c r="AX791" s="234"/>
      <c r="AY791" s="234"/>
      <c r="AZ791" s="234"/>
      <c r="BA791" s="234"/>
      <c r="BB791" s="234"/>
      <c r="BC791" s="234"/>
      <c r="BD791" s="234"/>
      <c r="BE791" s="234"/>
      <c r="BF791" s="234"/>
      <c r="BG791" s="234"/>
      <c r="BH791" s="234"/>
    </row>
    <row r="792" spans="1:60" ht="24" customHeight="1" x14ac:dyDescent="0.25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  <c r="AB792" s="234"/>
      <c r="AC792" s="234"/>
      <c r="AD792" s="234"/>
      <c r="AE792" s="234"/>
      <c r="AF792" s="234"/>
      <c r="AG792" s="234"/>
      <c r="AH792" s="234"/>
      <c r="AI792" s="234"/>
      <c r="AJ792" s="234"/>
      <c r="AK792" s="234"/>
      <c r="AL792" s="234"/>
      <c r="AM792" s="234"/>
      <c r="AN792" s="201"/>
      <c r="AO792" s="234"/>
      <c r="AP792" s="234"/>
      <c r="AQ792" s="234"/>
      <c r="AR792" s="234"/>
      <c r="AS792" s="234"/>
      <c r="AT792" s="234"/>
      <c r="AU792" s="234"/>
      <c r="AV792" s="234"/>
      <c r="AW792" s="234"/>
      <c r="AX792" s="234"/>
      <c r="AY792" s="234"/>
      <c r="AZ792" s="234"/>
      <c r="BA792" s="234"/>
      <c r="BB792" s="234"/>
      <c r="BC792" s="234"/>
      <c r="BD792" s="234"/>
      <c r="BE792" s="234"/>
      <c r="BF792" s="234"/>
      <c r="BG792" s="234"/>
      <c r="BH792" s="234"/>
    </row>
    <row r="793" spans="1:60" ht="24" customHeight="1" x14ac:dyDescent="0.25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  <c r="AB793" s="234"/>
      <c r="AC793" s="234"/>
      <c r="AD793" s="234"/>
      <c r="AE793" s="234"/>
      <c r="AF793" s="234"/>
      <c r="AG793" s="234"/>
      <c r="AH793" s="234"/>
      <c r="AI793" s="234"/>
      <c r="AJ793" s="234"/>
      <c r="AK793" s="234"/>
      <c r="AL793" s="234"/>
      <c r="AM793" s="234"/>
      <c r="AN793" s="201"/>
      <c r="AO793" s="234"/>
      <c r="AP793" s="234"/>
      <c r="AQ793" s="234"/>
      <c r="AR793" s="234"/>
      <c r="AS793" s="234"/>
      <c r="AT793" s="234"/>
      <c r="AU793" s="234"/>
      <c r="AV793" s="234"/>
      <c r="AW793" s="234"/>
      <c r="AX793" s="234"/>
      <c r="AY793" s="234"/>
      <c r="AZ793" s="234"/>
      <c r="BA793" s="234"/>
      <c r="BB793" s="234"/>
      <c r="BC793" s="234"/>
      <c r="BD793" s="234"/>
      <c r="BE793" s="234"/>
      <c r="BF793" s="234"/>
      <c r="BG793" s="234"/>
      <c r="BH793" s="234"/>
    </row>
    <row r="794" spans="1:60" ht="24" customHeight="1" x14ac:dyDescent="0.25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  <c r="AB794" s="234"/>
      <c r="AC794" s="234"/>
      <c r="AD794" s="234"/>
      <c r="AE794" s="234"/>
      <c r="AF794" s="234"/>
      <c r="AG794" s="234"/>
      <c r="AH794" s="234"/>
      <c r="AI794" s="234"/>
      <c r="AJ794" s="234"/>
      <c r="AK794" s="234"/>
      <c r="AL794" s="234"/>
      <c r="AM794" s="234"/>
      <c r="AN794" s="201"/>
      <c r="AO794" s="234"/>
      <c r="AP794" s="234"/>
      <c r="AQ794" s="234"/>
      <c r="AR794" s="234"/>
      <c r="AS794" s="234"/>
      <c r="AT794" s="234"/>
      <c r="AU794" s="234"/>
      <c r="AV794" s="234"/>
      <c r="AW794" s="234"/>
      <c r="AX794" s="234"/>
      <c r="AY794" s="234"/>
      <c r="AZ794" s="234"/>
      <c r="BA794" s="234"/>
      <c r="BB794" s="234"/>
      <c r="BC794" s="234"/>
      <c r="BD794" s="234"/>
      <c r="BE794" s="234"/>
      <c r="BF794" s="234"/>
      <c r="BG794" s="234"/>
      <c r="BH794" s="234"/>
    </row>
    <row r="795" spans="1:60" ht="24" customHeight="1" x14ac:dyDescent="0.2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  <c r="AB795" s="234"/>
      <c r="AC795" s="234"/>
      <c r="AD795" s="234"/>
      <c r="AE795" s="234"/>
      <c r="AF795" s="234"/>
      <c r="AG795" s="234"/>
      <c r="AH795" s="234"/>
      <c r="AI795" s="234"/>
      <c r="AJ795" s="234"/>
      <c r="AK795" s="234"/>
      <c r="AL795" s="234"/>
      <c r="AM795" s="234"/>
      <c r="AN795" s="201"/>
      <c r="AO795" s="234"/>
      <c r="AP795" s="234"/>
      <c r="AQ795" s="234"/>
      <c r="AR795" s="234"/>
      <c r="AS795" s="234"/>
      <c r="AT795" s="234"/>
      <c r="AU795" s="234"/>
      <c r="AV795" s="234"/>
      <c r="AW795" s="234"/>
      <c r="AX795" s="234"/>
      <c r="AY795" s="234"/>
      <c r="AZ795" s="234"/>
      <c r="BA795" s="234"/>
      <c r="BB795" s="234"/>
      <c r="BC795" s="234"/>
      <c r="BD795" s="234"/>
      <c r="BE795" s="234"/>
      <c r="BF795" s="234"/>
      <c r="BG795" s="234"/>
      <c r="BH795" s="234"/>
    </row>
    <row r="796" spans="1:60" ht="24" customHeight="1" x14ac:dyDescent="0.25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  <c r="AB796" s="234"/>
      <c r="AC796" s="234"/>
      <c r="AD796" s="234"/>
      <c r="AE796" s="234"/>
      <c r="AF796" s="234"/>
      <c r="AG796" s="234"/>
      <c r="AH796" s="234"/>
      <c r="AI796" s="234"/>
      <c r="AJ796" s="234"/>
      <c r="AK796" s="234"/>
      <c r="AL796" s="234"/>
      <c r="AM796" s="234"/>
      <c r="AN796" s="201"/>
      <c r="AO796" s="234"/>
      <c r="AP796" s="234"/>
      <c r="AQ796" s="234"/>
      <c r="AR796" s="234"/>
      <c r="AS796" s="234"/>
      <c r="AT796" s="234"/>
      <c r="AU796" s="234"/>
      <c r="AV796" s="234"/>
      <c r="AW796" s="234"/>
      <c r="AX796" s="234"/>
      <c r="AY796" s="234"/>
      <c r="AZ796" s="234"/>
      <c r="BA796" s="234"/>
      <c r="BB796" s="234"/>
      <c r="BC796" s="234"/>
      <c r="BD796" s="234"/>
      <c r="BE796" s="234"/>
      <c r="BF796" s="234"/>
      <c r="BG796" s="234"/>
      <c r="BH796" s="234"/>
    </row>
    <row r="797" spans="1:60" ht="24" customHeight="1" x14ac:dyDescent="0.25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  <c r="AB797" s="234"/>
      <c r="AC797" s="234"/>
      <c r="AD797" s="234"/>
      <c r="AE797" s="234"/>
      <c r="AF797" s="234"/>
      <c r="AG797" s="234"/>
      <c r="AH797" s="234"/>
      <c r="AI797" s="234"/>
      <c r="AJ797" s="234"/>
      <c r="AK797" s="234"/>
      <c r="AL797" s="234"/>
      <c r="AM797" s="234"/>
      <c r="AN797" s="201"/>
      <c r="AO797" s="234"/>
      <c r="AP797" s="234"/>
      <c r="AQ797" s="234"/>
      <c r="AR797" s="234"/>
      <c r="AS797" s="234"/>
      <c r="AT797" s="234"/>
      <c r="AU797" s="234"/>
      <c r="AV797" s="234"/>
      <c r="AW797" s="234"/>
      <c r="AX797" s="234"/>
      <c r="AY797" s="234"/>
      <c r="AZ797" s="234"/>
      <c r="BA797" s="234"/>
      <c r="BB797" s="234"/>
      <c r="BC797" s="234"/>
      <c r="BD797" s="234"/>
      <c r="BE797" s="234"/>
      <c r="BF797" s="234"/>
      <c r="BG797" s="234"/>
      <c r="BH797" s="234"/>
    </row>
    <row r="798" spans="1:60" ht="24" customHeight="1" x14ac:dyDescent="0.25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  <c r="AB798" s="234"/>
      <c r="AC798" s="234"/>
      <c r="AD798" s="234"/>
      <c r="AE798" s="234"/>
      <c r="AF798" s="234"/>
      <c r="AG798" s="234"/>
      <c r="AH798" s="234"/>
      <c r="AI798" s="234"/>
      <c r="AJ798" s="234"/>
      <c r="AK798" s="234"/>
      <c r="AL798" s="234"/>
      <c r="AM798" s="234"/>
      <c r="AN798" s="201"/>
      <c r="AO798" s="234"/>
      <c r="AP798" s="234"/>
      <c r="AQ798" s="234"/>
      <c r="AR798" s="234"/>
      <c r="AS798" s="234"/>
      <c r="AT798" s="234"/>
      <c r="AU798" s="234"/>
      <c r="AV798" s="234"/>
      <c r="AW798" s="234"/>
      <c r="AX798" s="234"/>
      <c r="AY798" s="234"/>
      <c r="AZ798" s="234"/>
      <c r="BA798" s="234"/>
      <c r="BB798" s="234"/>
      <c r="BC798" s="234"/>
      <c r="BD798" s="234"/>
      <c r="BE798" s="234"/>
      <c r="BF798" s="234"/>
      <c r="BG798" s="234"/>
      <c r="BH798" s="234"/>
    </row>
    <row r="799" spans="1:60" ht="24" customHeight="1" x14ac:dyDescent="0.25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  <c r="AB799" s="234"/>
      <c r="AC799" s="234"/>
      <c r="AD799" s="234"/>
      <c r="AE799" s="234"/>
      <c r="AF799" s="234"/>
      <c r="AG799" s="234"/>
      <c r="AH799" s="234"/>
      <c r="AI799" s="234"/>
      <c r="AJ799" s="234"/>
      <c r="AK799" s="234"/>
      <c r="AL799" s="234"/>
      <c r="AM799" s="234"/>
      <c r="AN799" s="201"/>
      <c r="AO799" s="234"/>
      <c r="AP799" s="234"/>
      <c r="AQ799" s="234"/>
      <c r="AR799" s="234"/>
      <c r="AS799" s="234"/>
      <c r="AT799" s="234"/>
      <c r="AU799" s="234"/>
      <c r="AV799" s="234"/>
      <c r="AW799" s="234"/>
      <c r="AX799" s="234"/>
      <c r="AY799" s="234"/>
      <c r="AZ799" s="234"/>
      <c r="BA799" s="234"/>
      <c r="BB799" s="234"/>
      <c r="BC799" s="234"/>
      <c r="BD799" s="234"/>
      <c r="BE799" s="234"/>
      <c r="BF799" s="234"/>
      <c r="BG799" s="234"/>
      <c r="BH799" s="234"/>
    </row>
    <row r="800" spans="1:60" ht="24" customHeight="1" x14ac:dyDescent="0.25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  <c r="AB800" s="234"/>
      <c r="AC800" s="234"/>
      <c r="AD800" s="234"/>
      <c r="AE800" s="234"/>
      <c r="AF800" s="234"/>
      <c r="AG800" s="234"/>
      <c r="AH800" s="234"/>
      <c r="AI800" s="234"/>
      <c r="AJ800" s="234"/>
      <c r="AK800" s="234"/>
      <c r="AL800" s="234"/>
      <c r="AM800" s="234"/>
      <c r="AN800" s="201"/>
      <c r="AO800" s="234"/>
      <c r="AP800" s="234"/>
      <c r="AQ800" s="234"/>
      <c r="AR800" s="234"/>
      <c r="AS800" s="234"/>
      <c r="AT800" s="234"/>
      <c r="AU800" s="234"/>
      <c r="AV800" s="234"/>
      <c r="AW800" s="234"/>
      <c r="AX800" s="234"/>
      <c r="AY800" s="234"/>
      <c r="AZ800" s="234"/>
      <c r="BA800" s="234"/>
      <c r="BB800" s="234"/>
      <c r="BC800" s="234"/>
      <c r="BD800" s="234"/>
      <c r="BE800" s="234"/>
      <c r="BF800" s="234"/>
      <c r="BG800" s="234"/>
      <c r="BH800" s="234"/>
    </row>
    <row r="801" spans="1:60" ht="24" customHeight="1" x14ac:dyDescent="0.25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  <c r="AB801" s="234"/>
      <c r="AC801" s="234"/>
      <c r="AD801" s="234"/>
      <c r="AE801" s="234"/>
      <c r="AF801" s="234"/>
      <c r="AG801" s="234"/>
      <c r="AH801" s="234"/>
      <c r="AI801" s="234"/>
      <c r="AJ801" s="234"/>
      <c r="AK801" s="234"/>
      <c r="AL801" s="234"/>
      <c r="AM801" s="234"/>
      <c r="AN801" s="201"/>
      <c r="AO801" s="234"/>
      <c r="AP801" s="234"/>
      <c r="AQ801" s="234"/>
      <c r="AR801" s="234"/>
      <c r="AS801" s="234"/>
      <c r="AT801" s="234"/>
      <c r="AU801" s="234"/>
      <c r="AV801" s="234"/>
      <c r="AW801" s="234"/>
      <c r="AX801" s="234"/>
      <c r="AY801" s="234"/>
      <c r="AZ801" s="234"/>
      <c r="BA801" s="234"/>
      <c r="BB801" s="234"/>
      <c r="BC801" s="234"/>
      <c r="BD801" s="234"/>
      <c r="BE801" s="234"/>
      <c r="BF801" s="234"/>
      <c r="BG801" s="234"/>
      <c r="BH801" s="234"/>
    </row>
    <row r="802" spans="1:60" ht="24" customHeight="1" x14ac:dyDescent="0.25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  <c r="AB802" s="234"/>
      <c r="AC802" s="234"/>
      <c r="AD802" s="234"/>
      <c r="AE802" s="234"/>
      <c r="AF802" s="234"/>
      <c r="AG802" s="234"/>
      <c r="AH802" s="234"/>
      <c r="AI802" s="234"/>
      <c r="AJ802" s="234"/>
      <c r="AK802" s="234"/>
      <c r="AL802" s="234"/>
      <c r="AM802" s="234"/>
      <c r="AN802" s="201"/>
      <c r="AO802" s="234"/>
      <c r="AP802" s="234"/>
      <c r="AQ802" s="234"/>
      <c r="AR802" s="234"/>
      <c r="AS802" s="234"/>
      <c r="AT802" s="234"/>
      <c r="AU802" s="234"/>
      <c r="AV802" s="234"/>
      <c r="AW802" s="234"/>
      <c r="AX802" s="234"/>
      <c r="AY802" s="234"/>
      <c r="AZ802" s="234"/>
      <c r="BA802" s="234"/>
      <c r="BB802" s="234"/>
      <c r="BC802" s="234"/>
      <c r="BD802" s="234"/>
      <c r="BE802" s="234"/>
      <c r="BF802" s="234"/>
      <c r="BG802" s="234"/>
      <c r="BH802" s="234"/>
    </row>
    <row r="803" spans="1:60" ht="24" customHeight="1" x14ac:dyDescent="0.25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  <c r="AB803" s="234"/>
      <c r="AC803" s="234"/>
      <c r="AD803" s="234"/>
      <c r="AE803" s="234"/>
      <c r="AF803" s="234"/>
      <c r="AG803" s="234"/>
      <c r="AH803" s="234"/>
      <c r="AI803" s="234"/>
      <c r="AJ803" s="234"/>
      <c r="AK803" s="234"/>
      <c r="AL803" s="234"/>
      <c r="AM803" s="234"/>
      <c r="AN803" s="201"/>
      <c r="AO803" s="234"/>
      <c r="AP803" s="234"/>
      <c r="AQ803" s="234"/>
      <c r="AR803" s="234"/>
      <c r="AS803" s="234"/>
      <c r="AT803" s="234"/>
      <c r="AU803" s="234"/>
      <c r="AV803" s="234"/>
      <c r="AW803" s="234"/>
      <c r="AX803" s="234"/>
      <c r="AY803" s="234"/>
      <c r="AZ803" s="234"/>
      <c r="BA803" s="234"/>
      <c r="BB803" s="234"/>
      <c r="BC803" s="234"/>
      <c r="BD803" s="234"/>
      <c r="BE803" s="234"/>
      <c r="BF803" s="234"/>
      <c r="BG803" s="234"/>
      <c r="BH803" s="234"/>
    </row>
    <row r="804" spans="1:60" ht="24" customHeight="1" x14ac:dyDescent="0.25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  <c r="AB804" s="234"/>
      <c r="AC804" s="234"/>
      <c r="AD804" s="234"/>
      <c r="AE804" s="234"/>
      <c r="AF804" s="234"/>
      <c r="AG804" s="234"/>
      <c r="AH804" s="234"/>
      <c r="AI804" s="234"/>
      <c r="AJ804" s="234"/>
      <c r="AK804" s="234"/>
      <c r="AL804" s="234"/>
      <c r="AM804" s="234"/>
      <c r="AN804" s="201"/>
      <c r="AO804" s="234"/>
      <c r="AP804" s="234"/>
      <c r="AQ804" s="234"/>
      <c r="AR804" s="234"/>
      <c r="AS804" s="234"/>
      <c r="AT804" s="234"/>
      <c r="AU804" s="234"/>
      <c r="AV804" s="234"/>
      <c r="AW804" s="234"/>
      <c r="AX804" s="234"/>
      <c r="AY804" s="234"/>
      <c r="AZ804" s="234"/>
      <c r="BA804" s="234"/>
      <c r="BB804" s="234"/>
      <c r="BC804" s="234"/>
      <c r="BD804" s="234"/>
      <c r="BE804" s="234"/>
      <c r="BF804" s="234"/>
      <c r="BG804" s="234"/>
      <c r="BH804" s="234"/>
    </row>
    <row r="805" spans="1:60" ht="24" customHeight="1" x14ac:dyDescent="0.2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  <c r="AB805" s="234"/>
      <c r="AC805" s="234"/>
      <c r="AD805" s="234"/>
      <c r="AE805" s="234"/>
      <c r="AF805" s="234"/>
      <c r="AG805" s="234"/>
      <c r="AH805" s="234"/>
      <c r="AI805" s="234"/>
      <c r="AJ805" s="234"/>
      <c r="AK805" s="234"/>
      <c r="AL805" s="234"/>
      <c r="AM805" s="234"/>
      <c r="AN805" s="201"/>
      <c r="AO805" s="234"/>
      <c r="AP805" s="234"/>
      <c r="AQ805" s="234"/>
      <c r="AR805" s="234"/>
      <c r="AS805" s="234"/>
      <c r="AT805" s="234"/>
      <c r="AU805" s="234"/>
      <c r="AV805" s="234"/>
      <c r="AW805" s="234"/>
      <c r="AX805" s="234"/>
      <c r="AY805" s="234"/>
      <c r="AZ805" s="234"/>
      <c r="BA805" s="234"/>
      <c r="BB805" s="234"/>
      <c r="BC805" s="234"/>
      <c r="BD805" s="234"/>
      <c r="BE805" s="234"/>
      <c r="BF805" s="234"/>
      <c r="BG805" s="234"/>
      <c r="BH805" s="234"/>
    </row>
    <row r="806" spans="1:60" ht="24" customHeight="1" x14ac:dyDescent="0.25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  <c r="AB806" s="234"/>
      <c r="AC806" s="234"/>
      <c r="AD806" s="234"/>
      <c r="AE806" s="234"/>
      <c r="AF806" s="234"/>
      <c r="AG806" s="234"/>
      <c r="AH806" s="234"/>
      <c r="AI806" s="234"/>
      <c r="AJ806" s="234"/>
      <c r="AK806" s="234"/>
      <c r="AL806" s="234"/>
      <c r="AM806" s="234"/>
      <c r="AN806" s="201"/>
      <c r="AO806" s="234"/>
      <c r="AP806" s="234"/>
      <c r="AQ806" s="234"/>
      <c r="AR806" s="234"/>
      <c r="AS806" s="234"/>
      <c r="AT806" s="234"/>
      <c r="AU806" s="234"/>
      <c r="AV806" s="234"/>
      <c r="AW806" s="234"/>
      <c r="AX806" s="234"/>
      <c r="AY806" s="234"/>
      <c r="AZ806" s="234"/>
      <c r="BA806" s="234"/>
      <c r="BB806" s="234"/>
      <c r="BC806" s="234"/>
      <c r="BD806" s="234"/>
      <c r="BE806" s="234"/>
      <c r="BF806" s="234"/>
      <c r="BG806" s="234"/>
      <c r="BH806" s="234"/>
    </row>
    <row r="807" spans="1:60" ht="24" customHeight="1" x14ac:dyDescent="0.25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  <c r="AC807" s="234"/>
      <c r="AD807" s="234"/>
      <c r="AE807" s="234"/>
      <c r="AF807" s="234"/>
      <c r="AG807" s="234"/>
      <c r="AH807" s="234"/>
      <c r="AI807" s="234"/>
      <c r="AJ807" s="234"/>
      <c r="AK807" s="234"/>
      <c r="AL807" s="234"/>
      <c r="AM807" s="234"/>
      <c r="AN807" s="201"/>
      <c r="AO807" s="234"/>
      <c r="AP807" s="234"/>
      <c r="AQ807" s="234"/>
      <c r="AR807" s="234"/>
      <c r="AS807" s="234"/>
      <c r="AT807" s="234"/>
      <c r="AU807" s="234"/>
      <c r="AV807" s="234"/>
      <c r="AW807" s="234"/>
      <c r="AX807" s="234"/>
      <c r="AY807" s="234"/>
      <c r="AZ807" s="234"/>
      <c r="BA807" s="234"/>
      <c r="BB807" s="234"/>
      <c r="BC807" s="234"/>
      <c r="BD807" s="234"/>
      <c r="BE807" s="234"/>
      <c r="BF807" s="234"/>
      <c r="BG807" s="234"/>
      <c r="BH807" s="234"/>
    </row>
    <row r="808" spans="1:60" ht="24" customHeight="1" x14ac:dyDescent="0.25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  <c r="AB808" s="234"/>
      <c r="AC808" s="234"/>
      <c r="AD808" s="234"/>
      <c r="AE808" s="234"/>
      <c r="AF808" s="234"/>
      <c r="AG808" s="234"/>
      <c r="AH808" s="234"/>
      <c r="AI808" s="234"/>
      <c r="AJ808" s="234"/>
      <c r="AK808" s="234"/>
      <c r="AL808" s="234"/>
      <c r="AM808" s="234"/>
      <c r="AN808" s="201"/>
      <c r="AO808" s="234"/>
      <c r="AP808" s="234"/>
      <c r="AQ808" s="234"/>
      <c r="AR808" s="234"/>
      <c r="AS808" s="234"/>
      <c r="AT808" s="234"/>
      <c r="AU808" s="234"/>
      <c r="AV808" s="234"/>
      <c r="AW808" s="234"/>
      <c r="AX808" s="234"/>
      <c r="AY808" s="234"/>
      <c r="AZ808" s="234"/>
      <c r="BA808" s="234"/>
      <c r="BB808" s="234"/>
      <c r="BC808" s="234"/>
      <c r="BD808" s="234"/>
      <c r="BE808" s="234"/>
      <c r="BF808" s="234"/>
      <c r="BG808" s="234"/>
      <c r="BH808" s="234"/>
    </row>
    <row r="809" spans="1:60" ht="24" customHeight="1" x14ac:dyDescent="0.25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  <c r="AB809" s="234"/>
      <c r="AC809" s="234"/>
      <c r="AD809" s="234"/>
      <c r="AE809" s="234"/>
      <c r="AF809" s="234"/>
      <c r="AG809" s="234"/>
      <c r="AH809" s="234"/>
      <c r="AI809" s="234"/>
      <c r="AJ809" s="234"/>
      <c r="AK809" s="234"/>
      <c r="AL809" s="234"/>
      <c r="AM809" s="234"/>
      <c r="AN809" s="201"/>
      <c r="AO809" s="234"/>
      <c r="AP809" s="234"/>
      <c r="AQ809" s="234"/>
      <c r="AR809" s="234"/>
      <c r="AS809" s="234"/>
      <c r="AT809" s="234"/>
      <c r="AU809" s="234"/>
      <c r="AV809" s="234"/>
      <c r="AW809" s="234"/>
      <c r="AX809" s="234"/>
      <c r="AY809" s="234"/>
      <c r="AZ809" s="234"/>
      <c r="BA809" s="234"/>
      <c r="BB809" s="234"/>
      <c r="BC809" s="234"/>
      <c r="BD809" s="234"/>
      <c r="BE809" s="234"/>
      <c r="BF809" s="234"/>
      <c r="BG809" s="234"/>
      <c r="BH809" s="234"/>
    </row>
    <row r="810" spans="1:60" ht="24" customHeight="1" x14ac:dyDescent="0.25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  <c r="AB810" s="234"/>
      <c r="AC810" s="234"/>
      <c r="AD810" s="234"/>
      <c r="AE810" s="234"/>
      <c r="AF810" s="234"/>
      <c r="AG810" s="234"/>
      <c r="AH810" s="234"/>
      <c r="AI810" s="234"/>
      <c r="AJ810" s="234"/>
      <c r="AK810" s="234"/>
      <c r="AL810" s="234"/>
      <c r="AM810" s="234"/>
      <c r="AN810" s="201"/>
      <c r="AO810" s="234"/>
      <c r="AP810" s="234"/>
      <c r="AQ810" s="234"/>
      <c r="AR810" s="234"/>
      <c r="AS810" s="234"/>
      <c r="AT810" s="234"/>
      <c r="AU810" s="234"/>
      <c r="AV810" s="234"/>
      <c r="AW810" s="234"/>
      <c r="AX810" s="234"/>
      <c r="AY810" s="234"/>
      <c r="AZ810" s="234"/>
      <c r="BA810" s="234"/>
      <c r="BB810" s="234"/>
      <c r="BC810" s="234"/>
      <c r="BD810" s="234"/>
      <c r="BE810" s="234"/>
      <c r="BF810" s="234"/>
      <c r="BG810" s="234"/>
      <c r="BH810" s="234"/>
    </row>
    <row r="811" spans="1:60" ht="24" customHeight="1" x14ac:dyDescent="0.25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  <c r="AB811" s="234"/>
      <c r="AC811" s="234"/>
      <c r="AD811" s="234"/>
      <c r="AE811" s="234"/>
      <c r="AF811" s="234"/>
      <c r="AG811" s="234"/>
      <c r="AH811" s="234"/>
      <c r="AI811" s="234"/>
      <c r="AJ811" s="234"/>
      <c r="AK811" s="234"/>
      <c r="AL811" s="234"/>
      <c r="AM811" s="234"/>
      <c r="AN811" s="201"/>
      <c r="AO811" s="234"/>
      <c r="AP811" s="234"/>
      <c r="AQ811" s="234"/>
      <c r="AR811" s="234"/>
      <c r="AS811" s="234"/>
      <c r="AT811" s="234"/>
      <c r="AU811" s="234"/>
      <c r="AV811" s="234"/>
      <c r="AW811" s="234"/>
      <c r="AX811" s="234"/>
      <c r="AY811" s="234"/>
      <c r="AZ811" s="234"/>
      <c r="BA811" s="234"/>
      <c r="BB811" s="234"/>
      <c r="BC811" s="234"/>
      <c r="BD811" s="234"/>
      <c r="BE811" s="234"/>
      <c r="BF811" s="234"/>
      <c r="BG811" s="234"/>
      <c r="BH811" s="234"/>
    </row>
    <row r="812" spans="1:60" ht="24" customHeight="1" x14ac:dyDescent="0.25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  <c r="AB812" s="234"/>
      <c r="AC812" s="234"/>
      <c r="AD812" s="234"/>
      <c r="AE812" s="234"/>
      <c r="AF812" s="234"/>
      <c r="AG812" s="234"/>
      <c r="AH812" s="234"/>
      <c r="AI812" s="234"/>
      <c r="AJ812" s="234"/>
      <c r="AK812" s="234"/>
      <c r="AL812" s="234"/>
      <c r="AM812" s="234"/>
      <c r="AN812" s="201"/>
      <c r="AO812" s="234"/>
      <c r="AP812" s="234"/>
      <c r="AQ812" s="234"/>
      <c r="AR812" s="234"/>
      <c r="AS812" s="234"/>
      <c r="AT812" s="234"/>
      <c r="AU812" s="234"/>
      <c r="AV812" s="234"/>
      <c r="AW812" s="234"/>
      <c r="AX812" s="234"/>
      <c r="AY812" s="234"/>
      <c r="AZ812" s="234"/>
      <c r="BA812" s="234"/>
      <c r="BB812" s="234"/>
      <c r="BC812" s="234"/>
      <c r="BD812" s="234"/>
      <c r="BE812" s="234"/>
      <c r="BF812" s="234"/>
      <c r="BG812" s="234"/>
      <c r="BH812" s="234"/>
    </row>
    <row r="813" spans="1:60" ht="24" customHeight="1" x14ac:dyDescent="0.25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  <c r="AB813" s="234"/>
      <c r="AC813" s="234"/>
      <c r="AD813" s="234"/>
      <c r="AE813" s="234"/>
      <c r="AF813" s="234"/>
      <c r="AG813" s="234"/>
      <c r="AH813" s="234"/>
      <c r="AI813" s="234"/>
      <c r="AJ813" s="234"/>
      <c r="AK813" s="234"/>
      <c r="AL813" s="234"/>
      <c r="AM813" s="234"/>
      <c r="AN813" s="201"/>
      <c r="AO813" s="234"/>
      <c r="AP813" s="234"/>
      <c r="AQ813" s="234"/>
      <c r="AR813" s="234"/>
      <c r="AS813" s="234"/>
      <c r="AT813" s="234"/>
      <c r="AU813" s="234"/>
      <c r="AV813" s="234"/>
      <c r="AW813" s="234"/>
      <c r="AX813" s="234"/>
      <c r="AY813" s="234"/>
      <c r="AZ813" s="234"/>
      <c r="BA813" s="234"/>
      <c r="BB813" s="234"/>
      <c r="BC813" s="234"/>
      <c r="BD813" s="234"/>
      <c r="BE813" s="234"/>
      <c r="BF813" s="234"/>
      <c r="BG813" s="234"/>
      <c r="BH813" s="234"/>
    </row>
    <row r="814" spans="1:60" ht="24" customHeight="1" x14ac:dyDescent="0.25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  <c r="AB814" s="234"/>
      <c r="AC814" s="234"/>
      <c r="AD814" s="234"/>
      <c r="AE814" s="234"/>
      <c r="AF814" s="234"/>
      <c r="AG814" s="234"/>
      <c r="AH814" s="234"/>
      <c r="AI814" s="234"/>
      <c r="AJ814" s="234"/>
      <c r="AK814" s="234"/>
      <c r="AL814" s="234"/>
      <c r="AM814" s="234"/>
      <c r="AN814" s="201"/>
      <c r="AO814" s="234"/>
      <c r="AP814" s="234"/>
      <c r="AQ814" s="234"/>
      <c r="AR814" s="234"/>
      <c r="AS814" s="234"/>
      <c r="AT814" s="234"/>
      <c r="AU814" s="234"/>
      <c r="AV814" s="234"/>
      <c r="AW814" s="234"/>
      <c r="AX814" s="234"/>
      <c r="AY814" s="234"/>
      <c r="AZ814" s="234"/>
      <c r="BA814" s="234"/>
      <c r="BB814" s="234"/>
      <c r="BC814" s="234"/>
      <c r="BD814" s="234"/>
      <c r="BE814" s="234"/>
      <c r="BF814" s="234"/>
      <c r="BG814" s="234"/>
      <c r="BH814" s="234"/>
    </row>
    <row r="815" spans="1:60" ht="24" customHeight="1" x14ac:dyDescent="0.2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  <c r="AB815" s="234"/>
      <c r="AC815" s="234"/>
      <c r="AD815" s="234"/>
      <c r="AE815" s="234"/>
      <c r="AF815" s="234"/>
      <c r="AG815" s="234"/>
      <c r="AH815" s="234"/>
      <c r="AI815" s="234"/>
      <c r="AJ815" s="234"/>
      <c r="AK815" s="234"/>
      <c r="AL815" s="234"/>
      <c r="AM815" s="234"/>
      <c r="AN815" s="201"/>
      <c r="AO815" s="234"/>
      <c r="AP815" s="234"/>
      <c r="AQ815" s="234"/>
      <c r="AR815" s="234"/>
      <c r="AS815" s="234"/>
      <c r="AT815" s="234"/>
      <c r="AU815" s="234"/>
      <c r="AV815" s="234"/>
      <c r="AW815" s="234"/>
      <c r="AX815" s="234"/>
      <c r="AY815" s="234"/>
      <c r="AZ815" s="234"/>
      <c r="BA815" s="234"/>
      <c r="BB815" s="234"/>
      <c r="BC815" s="234"/>
      <c r="BD815" s="234"/>
      <c r="BE815" s="234"/>
      <c r="BF815" s="234"/>
      <c r="BG815" s="234"/>
      <c r="BH815" s="234"/>
    </row>
    <row r="816" spans="1:60" ht="24" customHeight="1" x14ac:dyDescent="0.25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  <c r="AB816" s="234"/>
      <c r="AC816" s="234"/>
      <c r="AD816" s="234"/>
      <c r="AE816" s="234"/>
      <c r="AF816" s="234"/>
      <c r="AG816" s="234"/>
      <c r="AH816" s="234"/>
      <c r="AI816" s="234"/>
      <c r="AJ816" s="234"/>
      <c r="AK816" s="234"/>
      <c r="AL816" s="234"/>
      <c r="AM816" s="234"/>
      <c r="AN816" s="201"/>
      <c r="AO816" s="234"/>
      <c r="AP816" s="234"/>
      <c r="AQ816" s="234"/>
      <c r="AR816" s="234"/>
      <c r="AS816" s="234"/>
      <c r="AT816" s="234"/>
      <c r="AU816" s="234"/>
      <c r="AV816" s="234"/>
      <c r="AW816" s="234"/>
      <c r="AX816" s="234"/>
      <c r="AY816" s="234"/>
      <c r="AZ816" s="234"/>
      <c r="BA816" s="234"/>
      <c r="BB816" s="234"/>
      <c r="BC816" s="234"/>
      <c r="BD816" s="234"/>
      <c r="BE816" s="234"/>
      <c r="BF816" s="234"/>
      <c r="BG816" s="234"/>
      <c r="BH816" s="234"/>
    </row>
    <row r="817" spans="1:60" ht="24" customHeight="1" x14ac:dyDescent="0.25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  <c r="AB817" s="234"/>
      <c r="AC817" s="234"/>
      <c r="AD817" s="234"/>
      <c r="AE817" s="234"/>
      <c r="AF817" s="234"/>
      <c r="AG817" s="234"/>
      <c r="AH817" s="234"/>
      <c r="AI817" s="234"/>
      <c r="AJ817" s="234"/>
      <c r="AK817" s="234"/>
      <c r="AL817" s="234"/>
      <c r="AM817" s="234"/>
      <c r="AN817" s="201"/>
      <c r="AO817" s="234"/>
      <c r="AP817" s="234"/>
      <c r="AQ817" s="234"/>
      <c r="AR817" s="234"/>
      <c r="AS817" s="234"/>
      <c r="AT817" s="234"/>
      <c r="AU817" s="234"/>
      <c r="AV817" s="234"/>
      <c r="AW817" s="234"/>
      <c r="AX817" s="234"/>
      <c r="AY817" s="234"/>
      <c r="AZ817" s="234"/>
      <c r="BA817" s="234"/>
      <c r="BB817" s="234"/>
      <c r="BC817" s="234"/>
      <c r="BD817" s="234"/>
      <c r="BE817" s="234"/>
      <c r="BF817" s="234"/>
      <c r="BG817" s="234"/>
      <c r="BH817" s="234"/>
    </row>
    <row r="818" spans="1:60" ht="24" customHeight="1" x14ac:dyDescent="0.25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  <c r="AB818" s="234"/>
      <c r="AC818" s="234"/>
      <c r="AD818" s="234"/>
      <c r="AE818" s="234"/>
      <c r="AF818" s="234"/>
      <c r="AG818" s="234"/>
      <c r="AH818" s="234"/>
      <c r="AI818" s="234"/>
      <c r="AJ818" s="234"/>
      <c r="AK818" s="234"/>
      <c r="AL818" s="234"/>
      <c r="AM818" s="234"/>
      <c r="AN818" s="201"/>
      <c r="AO818" s="234"/>
      <c r="AP818" s="234"/>
      <c r="AQ818" s="234"/>
      <c r="AR818" s="234"/>
      <c r="AS818" s="234"/>
      <c r="AT818" s="234"/>
      <c r="AU818" s="234"/>
      <c r="AV818" s="234"/>
      <c r="AW818" s="234"/>
      <c r="AX818" s="234"/>
      <c r="AY818" s="234"/>
      <c r="AZ818" s="234"/>
      <c r="BA818" s="234"/>
      <c r="BB818" s="234"/>
      <c r="BC818" s="234"/>
      <c r="BD818" s="234"/>
      <c r="BE818" s="234"/>
      <c r="BF818" s="234"/>
      <c r="BG818" s="234"/>
      <c r="BH818" s="234"/>
    </row>
    <row r="819" spans="1:60" ht="24" customHeight="1" x14ac:dyDescent="0.25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  <c r="AB819" s="234"/>
      <c r="AC819" s="234"/>
      <c r="AD819" s="234"/>
      <c r="AE819" s="234"/>
      <c r="AF819" s="234"/>
      <c r="AG819" s="234"/>
      <c r="AH819" s="234"/>
      <c r="AI819" s="234"/>
      <c r="AJ819" s="234"/>
      <c r="AK819" s="234"/>
      <c r="AL819" s="234"/>
      <c r="AM819" s="234"/>
      <c r="AN819" s="201"/>
      <c r="AO819" s="234"/>
      <c r="AP819" s="234"/>
      <c r="AQ819" s="234"/>
      <c r="AR819" s="234"/>
      <c r="AS819" s="234"/>
      <c r="AT819" s="234"/>
      <c r="AU819" s="234"/>
      <c r="AV819" s="234"/>
      <c r="AW819" s="234"/>
      <c r="AX819" s="234"/>
      <c r="AY819" s="234"/>
      <c r="AZ819" s="234"/>
      <c r="BA819" s="234"/>
      <c r="BB819" s="234"/>
      <c r="BC819" s="234"/>
      <c r="BD819" s="234"/>
      <c r="BE819" s="234"/>
      <c r="BF819" s="234"/>
      <c r="BG819" s="234"/>
      <c r="BH819" s="234"/>
    </row>
    <row r="820" spans="1:60" ht="24" customHeight="1" x14ac:dyDescent="0.25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  <c r="AB820" s="234"/>
      <c r="AC820" s="234"/>
      <c r="AD820" s="234"/>
      <c r="AE820" s="234"/>
      <c r="AF820" s="234"/>
      <c r="AG820" s="234"/>
      <c r="AH820" s="234"/>
      <c r="AI820" s="234"/>
      <c r="AJ820" s="234"/>
      <c r="AK820" s="234"/>
      <c r="AL820" s="234"/>
      <c r="AM820" s="234"/>
      <c r="AN820" s="201"/>
      <c r="AO820" s="234"/>
      <c r="AP820" s="234"/>
      <c r="AQ820" s="234"/>
      <c r="AR820" s="234"/>
      <c r="AS820" s="234"/>
      <c r="AT820" s="234"/>
      <c r="AU820" s="234"/>
      <c r="AV820" s="234"/>
      <c r="AW820" s="234"/>
      <c r="AX820" s="234"/>
      <c r="AY820" s="234"/>
      <c r="AZ820" s="234"/>
      <c r="BA820" s="234"/>
      <c r="BB820" s="234"/>
      <c r="BC820" s="234"/>
      <c r="BD820" s="234"/>
      <c r="BE820" s="234"/>
      <c r="BF820" s="234"/>
      <c r="BG820" s="234"/>
      <c r="BH820" s="234"/>
    </row>
    <row r="821" spans="1:60" ht="24" customHeight="1" x14ac:dyDescent="0.25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  <c r="AB821" s="234"/>
      <c r="AC821" s="234"/>
      <c r="AD821" s="234"/>
      <c r="AE821" s="234"/>
      <c r="AF821" s="234"/>
      <c r="AG821" s="234"/>
      <c r="AH821" s="234"/>
      <c r="AI821" s="234"/>
      <c r="AJ821" s="234"/>
      <c r="AK821" s="234"/>
      <c r="AL821" s="234"/>
      <c r="AM821" s="234"/>
      <c r="AN821" s="201"/>
      <c r="AO821" s="234"/>
      <c r="AP821" s="234"/>
      <c r="AQ821" s="234"/>
      <c r="AR821" s="234"/>
      <c r="AS821" s="234"/>
      <c r="AT821" s="234"/>
      <c r="AU821" s="234"/>
      <c r="AV821" s="234"/>
      <c r="AW821" s="234"/>
      <c r="AX821" s="234"/>
      <c r="AY821" s="234"/>
      <c r="AZ821" s="234"/>
      <c r="BA821" s="234"/>
      <c r="BB821" s="234"/>
      <c r="BC821" s="234"/>
      <c r="BD821" s="234"/>
      <c r="BE821" s="234"/>
      <c r="BF821" s="234"/>
      <c r="BG821" s="234"/>
      <c r="BH821" s="234"/>
    </row>
    <row r="822" spans="1:60" ht="24" customHeight="1" x14ac:dyDescent="0.25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  <c r="AB822" s="234"/>
      <c r="AC822" s="234"/>
      <c r="AD822" s="234"/>
      <c r="AE822" s="234"/>
      <c r="AF822" s="234"/>
      <c r="AG822" s="234"/>
      <c r="AH822" s="234"/>
      <c r="AI822" s="234"/>
      <c r="AJ822" s="234"/>
      <c r="AK822" s="234"/>
      <c r="AL822" s="234"/>
      <c r="AM822" s="234"/>
      <c r="AN822" s="201"/>
      <c r="AO822" s="234"/>
      <c r="AP822" s="234"/>
      <c r="AQ822" s="234"/>
      <c r="AR822" s="234"/>
      <c r="AS822" s="234"/>
      <c r="AT822" s="234"/>
      <c r="AU822" s="234"/>
      <c r="AV822" s="234"/>
      <c r="AW822" s="234"/>
      <c r="AX822" s="234"/>
      <c r="AY822" s="234"/>
      <c r="AZ822" s="234"/>
      <c r="BA822" s="234"/>
      <c r="BB822" s="234"/>
      <c r="BC822" s="234"/>
      <c r="BD822" s="234"/>
      <c r="BE822" s="234"/>
      <c r="BF822" s="234"/>
      <c r="BG822" s="234"/>
      <c r="BH822" s="234"/>
    </row>
    <row r="823" spans="1:60" ht="24" customHeight="1" x14ac:dyDescent="0.25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  <c r="AB823" s="234"/>
      <c r="AC823" s="234"/>
      <c r="AD823" s="234"/>
      <c r="AE823" s="234"/>
      <c r="AF823" s="234"/>
      <c r="AG823" s="234"/>
      <c r="AH823" s="234"/>
      <c r="AI823" s="234"/>
      <c r="AJ823" s="234"/>
      <c r="AK823" s="234"/>
      <c r="AL823" s="234"/>
      <c r="AM823" s="234"/>
      <c r="AN823" s="201"/>
      <c r="AO823" s="234"/>
      <c r="AP823" s="234"/>
      <c r="AQ823" s="234"/>
      <c r="AR823" s="234"/>
      <c r="AS823" s="234"/>
      <c r="AT823" s="234"/>
      <c r="AU823" s="234"/>
      <c r="AV823" s="234"/>
      <c r="AW823" s="234"/>
      <c r="AX823" s="234"/>
      <c r="AY823" s="234"/>
      <c r="AZ823" s="234"/>
      <c r="BA823" s="234"/>
      <c r="BB823" s="234"/>
      <c r="BC823" s="234"/>
      <c r="BD823" s="234"/>
      <c r="BE823" s="234"/>
      <c r="BF823" s="234"/>
      <c r="BG823" s="234"/>
      <c r="BH823" s="234"/>
    </row>
    <row r="824" spans="1:60" ht="24" customHeight="1" x14ac:dyDescent="0.25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  <c r="AB824" s="234"/>
      <c r="AC824" s="234"/>
      <c r="AD824" s="234"/>
      <c r="AE824" s="234"/>
      <c r="AF824" s="234"/>
      <c r="AG824" s="234"/>
      <c r="AH824" s="234"/>
      <c r="AI824" s="234"/>
      <c r="AJ824" s="234"/>
      <c r="AK824" s="234"/>
      <c r="AL824" s="234"/>
      <c r="AM824" s="234"/>
      <c r="AN824" s="201"/>
      <c r="AO824" s="234"/>
      <c r="AP824" s="234"/>
      <c r="AQ824" s="234"/>
      <c r="AR824" s="234"/>
      <c r="AS824" s="234"/>
      <c r="AT824" s="234"/>
      <c r="AU824" s="234"/>
      <c r="AV824" s="234"/>
      <c r="AW824" s="234"/>
      <c r="AX824" s="234"/>
      <c r="AY824" s="234"/>
      <c r="AZ824" s="234"/>
      <c r="BA824" s="234"/>
      <c r="BB824" s="234"/>
      <c r="BC824" s="234"/>
      <c r="BD824" s="234"/>
      <c r="BE824" s="234"/>
      <c r="BF824" s="234"/>
      <c r="BG824" s="234"/>
      <c r="BH824" s="234"/>
    </row>
    <row r="825" spans="1:60" ht="24" customHeight="1" x14ac:dyDescent="0.2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  <c r="AB825" s="234"/>
      <c r="AC825" s="234"/>
      <c r="AD825" s="234"/>
      <c r="AE825" s="234"/>
      <c r="AF825" s="234"/>
      <c r="AG825" s="234"/>
      <c r="AH825" s="234"/>
      <c r="AI825" s="234"/>
      <c r="AJ825" s="234"/>
      <c r="AK825" s="234"/>
      <c r="AL825" s="234"/>
      <c r="AM825" s="234"/>
      <c r="AN825" s="201"/>
      <c r="AO825" s="234"/>
      <c r="AP825" s="234"/>
      <c r="AQ825" s="234"/>
      <c r="AR825" s="234"/>
      <c r="AS825" s="234"/>
      <c r="AT825" s="234"/>
      <c r="AU825" s="234"/>
      <c r="AV825" s="234"/>
      <c r="AW825" s="234"/>
      <c r="AX825" s="234"/>
      <c r="AY825" s="234"/>
      <c r="AZ825" s="234"/>
      <c r="BA825" s="234"/>
      <c r="BB825" s="234"/>
      <c r="BC825" s="234"/>
      <c r="BD825" s="234"/>
      <c r="BE825" s="234"/>
      <c r="BF825" s="234"/>
      <c r="BG825" s="234"/>
      <c r="BH825" s="234"/>
    </row>
    <row r="826" spans="1:60" ht="24" customHeight="1" x14ac:dyDescent="0.25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  <c r="AB826" s="234"/>
      <c r="AC826" s="234"/>
      <c r="AD826" s="234"/>
      <c r="AE826" s="234"/>
      <c r="AF826" s="234"/>
      <c r="AG826" s="234"/>
      <c r="AH826" s="234"/>
      <c r="AI826" s="234"/>
      <c r="AJ826" s="234"/>
      <c r="AK826" s="234"/>
      <c r="AL826" s="234"/>
      <c r="AM826" s="234"/>
      <c r="AN826" s="201"/>
      <c r="AO826" s="234"/>
      <c r="AP826" s="234"/>
      <c r="AQ826" s="234"/>
      <c r="AR826" s="234"/>
      <c r="AS826" s="234"/>
      <c r="AT826" s="234"/>
      <c r="AU826" s="234"/>
      <c r="AV826" s="234"/>
      <c r="AW826" s="234"/>
      <c r="AX826" s="234"/>
      <c r="AY826" s="234"/>
      <c r="AZ826" s="234"/>
      <c r="BA826" s="234"/>
      <c r="BB826" s="234"/>
      <c r="BC826" s="234"/>
      <c r="BD826" s="234"/>
      <c r="BE826" s="234"/>
      <c r="BF826" s="234"/>
      <c r="BG826" s="234"/>
      <c r="BH826" s="234"/>
    </row>
    <row r="827" spans="1:60" ht="24" customHeight="1" x14ac:dyDescent="0.25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  <c r="AB827" s="234"/>
      <c r="AC827" s="234"/>
      <c r="AD827" s="234"/>
      <c r="AE827" s="234"/>
      <c r="AF827" s="234"/>
      <c r="AG827" s="234"/>
      <c r="AH827" s="234"/>
      <c r="AI827" s="234"/>
      <c r="AJ827" s="234"/>
      <c r="AK827" s="234"/>
      <c r="AL827" s="234"/>
      <c r="AM827" s="234"/>
      <c r="AN827" s="201"/>
      <c r="AO827" s="234"/>
      <c r="AP827" s="234"/>
      <c r="AQ827" s="234"/>
      <c r="AR827" s="234"/>
      <c r="AS827" s="234"/>
      <c r="AT827" s="234"/>
      <c r="AU827" s="234"/>
      <c r="AV827" s="234"/>
      <c r="AW827" s="234"/>
      <c r="AX827" s="234"/>
      <c r="AY827" s="234"/>
      <c r="AZ827" s="234"/>
      <c r="BA827" s="234"/>
      <c r="BB827" s="234"/>
      <c r="BC827" s="234"/>
      <c r="BD827" s="234"/>
      <c r="BE827" s="234"/>
      <c r="BF827" s="234"/>
      <c r="BG827" s="234"/>
      <c r="BH827" s="234"/>
    </row>
    <row r="828" spans="1:60" ht="24" customHeight="1" x14ac:dyDescent="0.25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  <c r="AB828" s="234"/>
      <c r="AC828" s="234"/>
      <c r="AD828" s="234"/>
      <c r="AE828" s="234"/>
      <c r="AF828" s="234"/>
      <c r="AG828" s="234"/>
      <c r="AH828" s="234"/>
      <c r="AI828" s="234"/>
      <c r="AJ828" s="234"/>
      <c r="AK828" s="234"/>
      <c r="AL828" s="234"/>
      <c r="AM828" s="234"/>
      <c r="AN828" s="201"/>
      <c r="AO828" s="234"/>
      <c r="AP828" s="234"/>
      <c r="AQ828" s="234"/>
      <c r="AR828" s="234"/>
      <c r="AS828" s="234"/>
      <c r="AT828" s="234"/>
      <c r="AU828" s="234"/>
      <c r="AV828" s="234"/>
      <c r="AW828" s="234"/>
      <c r="AX828" s="234"/>
      <c r="AY828" s="234"/>
      <c r="AZ828" s="234"/>
      <c r="BA828" s="234"/>
      <c r="BB828" s="234"/>
      <c r="BC828" s="234"/>
      <c r="BD828" s="234"/>
      <c r="BE828" s="234"/>
      <c r="BF828" s="234"/>
      <c r="BG828" s="234"/>
      <c r="BH828" s="234"/>
    </row>
    <row r="829" spans="1:60" ht="24" customHeight="1" x14ac:dyDescent="0.25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  <c r="AB829" s="234"/>
      <c r="AC829" s="234"/>
      <c r="AD829" s="234"/>
      <c r="AE829" s="234"/>
      <c r="AF829" s="234"/>
      <c r="AG829" s="234"/>
      <c r="AH829" s="234"/>
      <c r="AI829" s="234"/>
      <c r="AJ829" s="234"/>
      <c r="AK829" s="234"/>
      <c r="AL829" s="234"/>
      <c r="AM829" s="234"/>
      <c r="AN829" s="201"/>
      <c r="AO829" s="234"/>
      <c r="AP829" s="234"/>
      <c r="AQ829" s="234"/>
      <c r="AR829" s="234"/>
      <c r="AS829" s="234"/>
      <c r="AT829" s="234"/>
      <c r="AU829" s="234"/>
      <c r="AV829" s="234"/>
      <c r="AW829" s="234"/>
      <c r="AX829" s="234"/>
      <c r="AY829" s="234"/>
      <c r="AZ829" s="234"/>
      <c r="BA829" s="234"/>
      <c r="BB829" s="234"/>
      <c r="BC829" s="234"/>
      <c r="BD829" s="234"/>
      <c r="BE829" s="234"/>
      <c r="BF829" s="234"/>
      <c r="BG829" s="234"/>
      <c r="BH829" s="234"/>
    </row>
    <row r="830" spans="1:60" ht="24" customHeight="1" x14ac:dyDescent="0.25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  <c r="AB830" s="234"/>
      <c r="AC830" s="234"/>
      <c r="AD830" s="234"/>
      <c r="AE830" s="234"/>
      <c r="AF830" s="234"/>
      <c r="AG830" s="234"/>
      <c r="AH830" s="234"/>
      <c r="AI830" s="234"/>
      <c r="AJ830" s="234"/>
      <c r="AK830" s="234"/>
      <c r="AL830" s="234"/>
      <c r="AM830" s="234"/>
      <c r="AN830" s="201"/>
      <c r="AO830" s="234"/>
      <c r="AP830" s="234"/>
      <c r="AQ830" s="234"/>
      <c r="AR830" s="234"/>
      <c r="AS830" s="234"/>
      <c r="AT830" s="234"/>
      <c r="AU830" s="234"/>
      <c r="AV830" s="234"/>
      <c r="AW830" s="234"/>
      <c r="AX830" s="234"/>
      <c r="AY830" s="234"/>
      <c r="AZ830" s="234"/>
      <c r="BA830" s="234"/>
      <c r="BB830" s="234"/>
      <c r="BC830" s="234"/>
      <c r="BD830" s="234"/>
      <c r="BE830" s="234"/>
      <c r="BF830" s="234"/>
      <c r="BG830" s="234"/>
      <c r="BH830" s="234"/>
    </row>
    <row r="831" spans="1:60" ht="24" customHeight="1" x14ac:dyDescent="0.25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  <c r="AB831" s="234"/>
      <c r="AC831" s="234"/>
      <c r="AD831" s="234"/>
      <c r="AE831" s="234"/>
      <c r="AF831" s="234"/>
      <c r="AG831" s="234"/>
      <c r="AH831" s="234"/>
      <c r="AI831" s="234"/>
      <c r="AJ831" s="234"/>
      <c r="AK831" s="234"/>
      <c r="AL831" s="234"/>
      <c r="AM831" s="234"/>
      <c r="AN831" s="201"/>
      <c r="AO831" s="234"/>
      <c r="AP831" s="234"/>
      <c r="AQ831" s="234"/>
      <c r="AR831" s="234"/>
      <c r="AS831" s="234"/>
      <c r="AT831" s="234"/>
      <c r="AU831" s="234"/>
      <c r="AV831" s="234"/>
      <c r="AW831" s="234"/>
      <c r="AX831" s="234"/>
      <c r="AY831" s="234"/>
      <c r="AZ831" s="234"/>
      <c r="BA831" s="234"/>
      <c r="BB831" s="234"/>
      <c r="BC831" s="234"/>
      <c r="BD831" s="234"/>
      <c r="BE831" s="234"/>
      <c r="BF831" s="234"/>
      <c r="BG831" s="234"/>
      <c r="BH831" s="234"/>
    </row>
    <row r="832" spans="1:60" ht="24" customHeight="1" x14ac:dyDescent="0.25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  <c r="AB832" s="234"/>
      <c r="AC832" s="234"/>
      <c r="AD832" s="234"/>
      <c r="AE832" s="234"/>
      <c r="AF832" s="234"/>
      <c r="AG832" s="234"/>
      <c r="AH832" s="234"/>
      <c r="AI832" s="234"/>
      <c r="AJ832" s="234"/>
      <c r="AK832" s="234"/>
      <c r="AL832" s="234"/>
      <c r="AM832" s="234"/>
      <c r="AN832" s="201"/>
      <c r="AO832" s="234"/>
      <c r="AP832" s="234"/>
      <c r="AQ832" s="234"/>
      <c r="AR832" s="234"/>
      <c r="AS832" s="234"/>
      <c r="AT832" s="234"/>
      <c r="AU832" s="234"/>
      <c r="AV832" s="234"/>
      <c r="AW832" s="234"/>
      <c r="AX832" s="234"/>
      <c r="AY832" s="234"/>
      <c r="AZ832" s="234"/>
      <c r="BA832" s="234"/>
      <c r="BB832" s="234"/>
      <c r="BC832" s="234"/>
      <c r="BD832" s="234"/>
      <c r="BE832" s="234"/>
      <c r="BF832" s="234"/>
      <c r="BG832" s="234"/>
      <c r="BH832" s="234"/>
    </row>
    <row r="833" spans="1:60" ht="24" customHeight="1" x14ac:dyDescent="0.25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  <c r="AB833" s="234"/>
      <c r="AC833" s="234"/>
      <c r="AD833" s="234"/>
      <c r="AE833" s="234"/>
      <c r="AF833" s="234"/>
      <c r="AG833" s="234"/>
      <c r="AH833" s="234"/>
      <c r="AI833" s="234"/>
      <c r="AJ833" s="234"/>
      <c r="AK833" s="234"/>
      <c r="AL833" s="234"/>
      <c r="AM833" s="234"/>
      <c r="AN833" s="201"/>
      <c r="AO833" s="234"/>
      <c r="AP833" s="234"/>
      <c r="AQ833" s="234"/>
      <c r="AR833" s="234"/>
      <c r="AS833" s="234"/>
      <c r="AT833" s="234"/>
      <c r="AU833" s="234"/>
      <c r="AV833" s="234"/>
      <c r="AW833" s="234"/>
      <c r="AX833" s="234"/>
      <c r="AY833" s="234"/>
      <c r="AZ833" s="234"/>
      <c r="BA833" s="234"/>
      <c r="BB833" s="234"/>
      <c r="BC833" s="234"/>
      <c r="BD833" s="234"/>
      <c r="BE833" s="234"/>
      <c r="BF833" s="234"/>
      <c r="BG833" s="234"/>
      <c r="BH833" s="234"/>
    </row>
    <row r="834" spans="1:60" ht="24" customHeight="1" x14ac:dyDescent="0.25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  <c r="AB834" s="234"/>
      <c r="AC834" s="234"/>
      <c r="AD834" s="234"/>
      <c r="AE834" s="234"/>
      <c r="AF834" s="234"/>
      <c r="AG834" s="234"/>
      <c r="AH834" s="234"/>
      <c r="AI834" s="234"/>
      <c r="AJ834" s="234"/>
      <c r="AK834" s="234"/>
      <c r="AL834" s="234"/>
      <c r="AM834" s="234"/>
      <c r="AN834" s="201"/>
      <c r="AO834" s="234"/>
      <c r="AP834" s="234"/>
      <c r="AQ834" s="234"/>
      <c r="AR834" s="234"/>
      <c r="AS834" s="234"/>
      <c r="AT834" s="234"/>
      <c r="AU834" s="234"/>
      <c r="AV834" s="234"/>
      <c r="AW834" s="234"/>
      <c r="AX834" s="234"/>
      <c r="AY834" s="234"/>
      <c r="AZ834" s="234"/>
      <c r="BA834" s="234"/>
      <c r="BB834" s="234"/>
      <c r="BC834" s="234"/>
      <c r="BD834" s="234"/>
      <c r="BE834" s="234"/>
      <c r="BF834" s="234"/>
      <c r="BG834" s="234"/>
      <c r="BH834" s="234"/>
    </row>
    <row r="835" spans="1:60" ht="24" customHeight="1" x14ac:dyDescent="0.2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  <c r="AB835" s="234"/>
      <c r="AC835" s="234"/>
      <c r="AD835" s="234"/>
      <c r="AE835" s="234"/>
      <c r="AF835" s="234"/>
      <c r="AG835" s="234"/>
      <c r="AH835" s="234"/>
      <c r="AI835" s="234"/>
      <c r="AJ835" s="234"/>
      <c r="AK835" s="234"/>
      <c r="AL835" s="234"/>
      <c r="AM835" s="234"/>
      <c r="AN835" s="201"/>
      <c r="AO835" s="234"/>
      <c r="AP835" s="234"/>
      <c r="AQ835" s="234"/>
      <c r="AR835" s="234"/>
      <c r="AS835" s="234"/>
      <c r="AT835" s="234"/>
      <c r="AU835" s="234"/>
      <c r="AV835" s="234"/>
      <c r="AW835" s="234"/>
      <c r="AX835" s="234"/>
      <c r="AY835" s="234"/>
      <c r="AZ835" s="234"/>
      <c r="BA835" s="234"/>
      <c r="BB835" s="234"/>
      <c r="BC835" s="234"/>
      <c r="BD835" s="234"/>
      <c r="BE835" s="234"/>
      <c r="BF835" s="234"/>
      <c r="BG835" s="234"/>
      <c r="BH835" s="234"/>
    </row>
    <row r="836" spans="1:60" ht="24" customHeight="1" x14ac:dyDescent="0.25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  <c r="AB836" s="234"/>
      <c r="AC836" s="234"/>
      <c r="AD836" s="234"/>
      <c r="AE836" s="234"/>
      <c r="AF836" s="234"/>
      <c r="AG836" s="234"/>
      <c r="AH836" s="234"/>
      <c r="AI836" s="234"/>
      <c r="AJ836" s="234"/>
      <c r="AK836" s="234"/>
      <c r="AL836" s="234"/>
      <c r="AM836" s="234"/>
      <c r="AN836" s="201"/>
      <c r="AO836" s="234"/>
      <c r="AP836" s="234"/>
      <c r="AQ836" s="234"/>
      <c r="AR836" s="234"/>
      <c r="AS836" s="234"/>
      <c r="AT836" s="234"/>
      <c r="AU836" s="234"/>
      <c r="AV836" s="234"/>
      <c r="AW836" s="234"/>
      <c r="AX836" s="234"/>
      <c r="AY836" s="234"/>
      <c r="AZ836" s="234"/>
      <c r="BA836" s="234"/>
      <c r="BB836" s="234"/>
      <c r="BC836" s="234"/>
      <c r="BD836" s="234"/>
      <c r="BE836" s="234"/>
      <c r="BF836" s="234"/>
      <c r="BG836" s="234"/>
      <c r="BH836" s="234"/>
    </row>
    <row r="837" spans="1:60" ht="24" customHeight="1" x14ac:dyDescent="0.25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  <c r="AB837" s="234"/>
      <c r="AC837" s="234"/>
      <c r="AD837" s="234"/>
      <c r="AE837" s="234"/>
      <c r="AF837" s="234"/>
      <c r="AG837" s="234"/>
      <c r="AH837" s="234"/>
      <c r="AI837" s="234"/>
      <c r="AJ837" s="234"/>
      <c r="AK837" s="234"/>
      <c r="AL837" s="234"/>
      <c r="AM837" s="234"/>
      <c r="AN837" s="201"/>
      <c r="AO837" s="234"/>
      <c r="AP837" s="234"/>
      <c r="AQ837" s="234"/>
      <c r="AR837" s="234"/>
      <c r="AS837" s="234"/>
      <c r="AT837" s="234"/>
      <c r="AU837" s="234"/>
      <c r="AV837" s="234"/>
      <c r="AW837" s="234"/>
      <c r="AX837" s="234"/>
      <c r="AY837" s="234"/>
      <c r="AZ837" s="234"/>
      <c r="BA837" s="234"/>
      <c r="BB837" s="234"/>
      <c r="BC837" s="234"/>
      <c r="BD837" s="234"/>
      <c r="BE837" s="234"/>
      <c r="BF837" s="234"/>
      <c r="BG837" s="234"/>
      <c r="BH837" s="234"/>
    </row>
    <row r="838" spans="1:60" ht="24" customHeight="1" x14ac:dyDescent="0.25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  <c r="AB838" s="234"/>
      <c r="AC838" s="234"/>
      <c r="AD838" s="234"/>
      <c r="AE838" s="234"/>
      <c r="AF838" s="234"/>
      <c r="AG838" s="234"/>
      <c r="AH838" s="234"/>
      <c r="AI838" s="234"/>
      <c r="AJ838" s="234"/>
      <c r="AK838" s="234"/>
      <c r="AL838" s="234"/>
      <c r="AM838" s="234"/>
      <c r="AN838" s="201"/>
      <c r="AO838" s="234"/>
      <c r="AP838" s="234"/>
      <c r="AQ838" s="234"/>
      <c r="AR838" s="234"/>
      <c r="AS838" s="234"/>
      <c r="AT838" s="234"/>
      <c r="AU838" s="234"/>
      <c r="AV838" s="234"/>
      <c r="AW838" s="234"/>
      <c r="AX838" s="234"/>
      <c r="AY838" s="234"/>
      <c r="AZ838" s="234"/>
      <c r="BA838" s="234"/>
      <c r="BB838" s="234"/>
      <c r="BC838" s="234"/>
      <c r="BD838" s="234"/>
      <c r="BE838" s="234"/>
      <c r="BF838" s="234"/>
      <c r="BG838" s="234"/>
      <c r="BH838" s="234"/>
    </row>
    <row r="839" spans="1:60" ht="24" customHeight="1" x14ac:dyDescent="0.25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  <c r="AB839" s="234"/>
      <c r="AC839" s="234"/>
      <c r="AD839" s="234"/>
      <c r="AE839" s="234"/>
      <c r="AF839" s="234"/>
      <c r="AG839" s="234"/>
      <c r="AH839" s="234"/>
      <c r="AI839" s="234"/>
      <c r="AJ839" s="234"/>
      <c r="AK839" s="234"/>
      <c r="AL839" s="234"/>
      <c r="AM839" s="234"/>
      <c r="AN839" s="201"/>
      <c r="AO839" s="234"/>
      <c r="AP839" s="234"/>
      <c r="AQ839" s="234"/>
      <c r="AR839" s="234"/>
      <c r="AS839" s="234"/>
      <c r="AT839" s="234"/>
      <c r="AU839" s="234"/>
      <c r="AV839" s="234"/>
      <c r="AW839" s="234"/>
      <c r="AX839" s="234"/>
      <c r="AY839" s="234"/>
      <c r="AZ839" s="234"/>
      <c r="BA839" s="234"/>
      <c r="BB839" s="234"/>
      <c r="BC839" s="234"/>
      <c r="BD839" s="234"/>
      <c r="BE839" s="234"/>
      <c r="BF839" s="234"/>
      <c r="BG839" s="234"/>
      <c r="BH839" s="234"/>
    </row>
    <row r="840" spans="1:60" ht="24" customHeight="1" x14ac:dyDescent="0.25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  <c r="AB840" s="234"/>
      <c r="AC840" s="234"/>
      <c r="AD840" s="234"/>
      <c r="AE840" s="234"/>
      <c r="AF840" s="234"/>
      <c r="AG840" s="234"/>
      <c r="AH840" s="234"/>
      <c r="AI840" s="234"/>
      <c r="AJ840" s="234"/>
      <c r="AK840" s="234"/>
      <c r="AL840" s="234"/>
      <c r="AM840" s="234"/>
      <c r="AN840" s="201"/>
      <c r="AO840" s="234"/>
      <c r="AP840" s="234"/>
      <c r="AQ840" s="234"/>
      <c r="AR840" s="234"/>
      <c r="AS840" s="234"/>
      <c r="AT840" s="234"/>
      <c r="AU840" s="234"/>
      <c r="AV840" s="234"/>
      <c r="AW840" s="234"/>
      <c r="AX840" s="234"/>
      <c r="AY840" s="234"/>
      <c r="AZ840" s="234"/>
      <c r="BA840" s="234"/>
      <c r="BB840" s="234"/>
      <c r="BC840" s="234"/>
      <c r="BD840" s="234"/>
      <c r="BE840" s="234"/>
      <c r="BF840" s="234"/>
      <c r="BG840" s="234"/>
      <c r="BH840" s="234"/>
    </row>
    <row r="841" spans="1:60" ht="24" customHeight="1" x14ac:dyDescent="0.25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  <c r="AB841" s="234"/>
      <c r="AC841" s="234"/>
      <c r="AD841" s="234"/>
      <c r="AE841" s="234"/>
      <c r="AF841" s="234"/>
      <c r="AG841" s="234"/>
      <c r="AH841" s="234"/>
      <c r="AI841" s="234"/>
      <c r="AJ841" s="234"/>
      <c r="AK841" s="234"/>
      <c r="AL841" s="234"/>
      <c r="AM841" s="234"/>
      <c r="AN841" s="201"/>
      <c r="AO841" s="234"/>
      <c r="AP841" s="234"/>
      <c r="AQ841" s="234"/>
      <c r="AR841" s="234"/>
      <c r="AS841" s="234"/>
      <c r="AT841" s="234"/>
      <c r="AU841" s="234"/>
      <c r="AV841" s="234"/>
      <c r="AW841" s="234"/>
      <c r="AX841" s="234"/>
      <c r="AY841" s="234"/>
      <c r="AZ841" s="234"/>
      <c r="BA841" s="234"/>
      <c r="BB841" s="234"/>
      <c r="BC841" s="234"/>
      <c r="BD841" s="234"/>
      <c r="BE841" s="234"/>
      <c r="BF841" s="234"/>
      <c r="BG841" s="234"/>
      <c r="BH841" s="234"/>
    </row>
    <row r="842" spans="1:60" ht="24" customHeight="1" x14ac:dyDescent="0.25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  <c r="AB842" s="234"/>
      <c r="AC842" s="234"/>
      <c r="AD842" s="234"/>
      <c r="AE842" s="234"/>
      <c r="AF842" s="234"/>
      <c r="AG842" s="234"/>
      <c r="AH842" s="234"/>
      <c r="AI842" s="234"/>
      <c r="AJ842" s="234"/>
      <c r="AK842" s="234"/>
      <c r="AL842" s="234"/>
      <c r="AM842" s="234"/>
      <c r="AN842" s="201"/>
      <c r="AO842" s="234"/>
      <c r="AP842" s="234"/>
      <c r="AQ842" s="234"/>
      <c r="AR842" s="234"/>
      <c r="AS842" s="234"/>
      <c r="AT842" s="234"/>
      <c r="AU842" s="234"/>
      <c r="AV842" s="234"/>
      <c r="AW842" s="234"/>
      <c r="AX842" s="234"/>
      <c r="AY842" s="234"/>
      <c r="AZ842" s="234"/>
      <c r="BA842" s="234"/>
      <c r="BB842" s="234"/>
      <c r="BC842" s="234"/>
      <c r="BD842" s="234"/>
      <c r="BE842" s="234"/>
      <c r="BF842" s="234"/>
      <c r="BG842" s="234"/>
      <c r="BH842" s="234"/>
    </row>
    <row r="843" spans="1:60" ht="24" customHeight="1" x14ac:dyDescent="0.25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  <c r="AB843" s="234"/>
      <c r="AC843" s="234"/>
      <c r="AD843" s="234"/>
      <c r="AE843" s="234"/>
      <c r="AF843" s="234"/>
      <c r="AG843" s="234"/>
      <c r="AH843" s="234"/>
      <c r="AI843" s="234"/>
      <c r="AJ843" s="234"/>
      <c r="AK843" s="234"/>
      <c r="AL843" s="234"/>
      <c r="AM843" s="234"/>
      <c r="AN843" s="201"/>
      <c r="AO843" s="234"/>
      <c r="AP843" s="234"/>
      <c r="AQ843" s="234"/>
      <c r="AR843" s="234"/>
      <c r="AS843" s="234"/>
      <c r="AT843" s="234"/>
      <c r="AU843" s="234"/>
      <c r="AV843" s="234"/>
      <c r="AW843" s="234"/>
      <c r="AX843" s="234"/>
      <c r="AY843" s="234"/>
      <c r="AZ843" s="234"/>
      <c r="BA843" s="234"/>
      <c r="BB843" s="234"/>
      <c r="BC843" s="234"/>
      <c r="BD843" s="234"/>
      <c r="BE843" s="234"/>
      <c r="BF843" s="234"/>
      <c r="BG843" s="234"/>
      <c r="BH843" s="234"/>
    </row>
    <row r="844" spans="1:60" ht="24" customHeight="1" x14ac:dyDescent="0.25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  <c r="AB844" s="234"/>
      <c r="AC844" s="234"/>
      <c r="AD844" s="234"/>
      <c r="AE844" s="234"/>
      <c r="AF844" s="234"/>
      <c r="AG844" s="234"/>
      <c r="AH844" s="234"/>
      <c r="AI844" s="234"/>
      <c r="AJ844" s="234"/>
      <c r="AK844" s="234"/>
      <c r="AL844" s="234"/>
      <c r="AM844" s="234"/>
      <c r="AN844" s="201"/>
      <c r="AO844" s="234"/>
      <c r="AP844" s="234"/>
      <c r="AQ844" s="234"/>
      <c r="AR844" s="234"/>
      <c r="AS844" s="234"/>
      <c r="AT844" s="234"/>
      <c r="AU844" s="234"/>
      <c r="AV844" s="234"/>
      <c r="AW844" s="234"/>
      <c r="AX844" s="234"/>
      <c r="AY844" s="234"/>
      <c r="AZ844" s="234"/>
      <c r="BA844" s="234"/>
      <c r="BB844" s="234"/>
      <c r="BC844" s="234"/>
      <c r="BD844" s="234"/>
      <c r="BE844" s="234"/>
      <c r="BF844" s="234"/>
      <c r="BG844" s="234"/>
      <c r="BH844" s="234"/>
    </row>
    <row r="845" spans="1:60" ht="24" customHeight="1" x14ac:dyDescent="0.2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  <c r="AB845" s="234"/>
      <c r="AC845" s="234"/>
      <c r="AD845" s="234"/>
      <c r="AE845" s="234"/>
      <c r="AF845" s="234"/>
      <c r="AG845" s="234"/>
      <c r="AH845" s="234"/>
      <c r="AI845" s="234"/>
      <c r="AJ845" s="234"/>
      <c r="AK845" s="234"/>
      <c r="AL845" s="234"/>
      <c r="AM845" s="234"/>
      <c r="AN845" s="201"/>
      <c r="AO845" s="234"/>
      <c r="AP845" s="234"/>
      <c r="AQ845" s="234"/>
      <c r="AR845" s="234"/>
      <c r="AS845" s="234"/>
      <c r="AT845" s="234"/>
      <c r="AU845" s="234"/>
      <c r="AV845" s="234"/>
      <c r="AW845" s="234"/>
      <c r="AX845" s="234"/>
      <c r="AY845" s="234"/>
      <c r="AZ845" s="234"/>
      <c r="BA845" s="234"/>
      <c r="BB845" s="234"/>
      <c r="BC845" s="234"/>
      <c r="BD845" s="234"/>
      <c r="BE845" s="234"/>
      <c r="BF845" s="234"/>
      <c r="BG845" s="234"/>
      <c r="BH845" s="234"/>
    </row>
    <row r="846" spans="1:60" ht="24" customHeight="1" x14ac:dyDescent="0.25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  <c r="AB846" s="234"/>
      <c r="AC846" s="234"/>
      <c r="AD846" s="234"/>
      <c r="AE846" s="234"/>
      <c r="AF846" s="234"/>
      <c r="AG846" s="234"/>
      <c r="AH846" s="234"/>
      <c r="AI846" s="234"/>
      <c r="AJ846" s="234"/>
      <c r="AK846" s="234"/>
      <c r="AL846" s="234"/>
      <c r="AM846" s="234"/>
      <c r="AN846" s="201"/>
      <c r="AO846" s="234"/>
      <c r="AP846" s="234"/>
      <c r="AQ846" s="234"/>
      <c r="AR846" s="234"/>
      <c r="AS846" s="234"/>
      <c r="AT846" s="234"/>
      <c r="AU846" s="234"/>
      <c r="AV846" s="234"/>
      <c r="AW846" s="234"/>
      <c r="AX846" s="234"/>
      <c r="AY846" s="234"/>
      <c r="AZ846" s="234"/>
      <c r="BA846" s="234"/>
      <c r="BB846" s="234"/>
      <c r="BC846" s="234"/>
      <c r="BD846" s="234"/>
      <c r="BE846" s="234"/>
      <c r="BF846" s="234"/>
      <c r="BG846" s="234"/>
      <c r="BH846" s="234"/>
    </row>
    <row r="847" spans="1:60" ht="24" customHeight="1" x14ac:dyDescent="0.25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  <c r="AB847" s="234"/>
      <c r="AC847" s="234"/>
      <c r="AD847" s="234"/>
      <c r="AE847" s="234"/>
      <c r="AF847" s="234"/>
      <c r="AG847" s="234"/>
      <c r="AH847" s="234"/>
      <c r="AI847" s="234"/>
      <c r="AJ847" s="234"/>
      <c r="AK847" s="234"/>
      <c r="AL847" s="234"/>
      <c r="AM847" s="234"/>
      <c r="AN847" s="201"/>
      <c r="AO847" s="234"/>
      <c r="AP847" s="234"/>
      <c r="AQ847" s="234"/>
      <c r="AR847" s="234"/>
      <c r="AS847" s="234"/>
      <c r="AT847" s="234"/>
      <c r="AU847" s="234"/>
      <c r="AV847" s="234"/>
      <c r="AW847" s="234"/>
      <c r="AX847" s="234"/>
      <c r="AY847" s="234"/>
      <c r="AZ847" s="234"/>
      <c r="BA847" s="234"/>
      <c r="BB847" s="234"/>
      <c r="BC847" s="234"/>
      <c r="BD847" s="234"/>
      <c r="BE847" s="234"/>
      <c r="BF847" s="234"/>
      <c r="BG847" s="234"/>
      <c r="BH847" s="234"/>
    </row>
    <row r="848" spans="1:60" ht="24" customHeight="1" x14ac:dyDescent="0.25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  <c r="AB848" s="234"/>
      <c r="AC848" s="234"/>
      <c r="AD848" s="234"/>
      <c r="AE848" s="234"/>
      <c r="AF848" s="234"/>
      <c r="AG848" s="234"/>
      <c r="AH848" s="234"/>
      <c r="AI848" s="234"/>
      <c r="AJ848" s="234"/>
      <c r="AK848" s="234"/>
      <c r="AL848" s="234"/>
      <c r="AM848" s="234"/>
      <c r="AN848" s="201"/>
      <c r="AO848" s="234"/>
      <c r="AP848" s="234"/>
      <c r="AQ848" s="234"/>
      <c r="AR848" s="234"/>
      <c r="AS848" s="234"/>
      <c r="AT848" s="234"/>
      <c r="AU848" s="234"/>
      <c r="AV848" s="234"/>
      <c r="AW848" s="234"/>
      <c r="AX848" s="234"/>
      <c r="AY848" s="234"/>
      <c r="AZ848" s="234"/>
      <c r="BA848" s="234"/>
      <c r="BB848" s="234"/>
      <c r="BC848" s="234"/>
      <c r="BD848" s="234"/>
      <c r="BE848" s="234"/>
      <c r="BF848" s="234"/>
      <c r="BG848" s="234"/>
      <c r="BH848" s="234"/>
    </row>
    <row r="849" spans="1:60" ht="24" customHeight="1" x14ac:dyDescent="0.25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  <c r="AB849" s="234"/>
      <c r="AC849" s="234"/>
      <c r="AD849" s="234"/>
      <c r="AE849" s="234"/>
      <c r="AF849" s="234"/>
      <c r="AG849" s="234"/>
      <c r="AH849" s="234"/>
      <c r="AI849" s="234"/>
      <c r="AJ849" s="234"/>
      <c r="AK849" s="234"/>
      <c r="AL849" s="234"/>
      <c r="AM849" s="234"/>
      <c r="AN849" s="201"/>
      <c r="AO849" s="234"/>
      <c r="AP849" s="234"/>
      <c r="AQ849" s="234"/>
      <c r="AR849" s="234"/>
      <c r="AS849" s="234"/>
      <c r="AT849" s="234"/>
      <c r="AU849" s="234"/>
      <c r="AV849" s="234"/>
      <c r="AW849" s="234"/>
      <c r="AX849" s="234"/>
      <c r="AY849" s="234"/>
      <c r="AZ849" s="234"/>
      <c r="BA849" s="234"/>
      <c r="BB849" s="234"/>
      <c r="BC849" s="234"/>
      <c r="BD849" s="234"/>
      <c r="BE849" s="234"/>
      <c r="BF849" s="234"/>
      <c r="BG849" s="234"/>
      <c r="BH849" s="234"/>
    </row>
    <row r="850" spans="1:60" ht="24" customHeight="1" x14ac:dyDescent="0.25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  <c r="AB850" s="234"/>
      <c r="AC850" s="234"/>
      <c r="AD850" s="234"/>
      <c r="AE850" s="234"/>
      <c r="AF850" s="234"/>
      <c r="AG850" s="234"/>
      <c r="AH850" s="234"/>
      <c r="AI850" s="234"/>
      <c r="AJ850" s="234"/>
      <c r="AK850" s="234"/>
      <c r="AL850" s="234"/>
      <c r="AM850" s="234"/>
      <c r="AN850" s="201"/>
      <c r="AO850" s="234"/>
      <c r="AP850" s="234"/>
      <c r="AQ850" s="234"/>
      <c r="AR850" s="234"/>
      <c r="AS850" s="234"/>
      <c r="AT850" s="234"/>
      <c r="AU850" s="234"/>
      <c r="AV850" s="234"/>
      <c r="AW850" s="234"/>
      <c r="AX850" s="234"/>
      <c r="AY850" s="234"/>
      <c r="AZ850" s="234"/>
      <c r="BA850" s="234"/>
      <c r="BB850" s="234"/>
      <c r="BC850" s="234"/>
      <c r="BD850" s="234"/>
      <c r="BE850" s="234"/>
      <c r="BF850" s="234"/>
      <c r="BG850" s="234"/>
      <c r="BH850" s="234"/>
    </row>
    <row r="851" spans="1:60" ht="24" customHeight="1" x14ac:dyDescent="0.25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  <c r="AB851" s="234"/>
      <c r="AC851" s="234"/>
      <c r="AD851" s="234"/>
      <c r="AE851" s="234"/>
      <c r="AF851" s="234"/>
      <c r="AG851" s="234"/>
      <c r="AH851" s="234"/>
      <c r="AI851" s="234"/>
      <c r="AJ851" s="234"/>
      <c r="AK851" s="234"/>
      <c r="AL851" s="234"/>
      <c r="AM851" s="234"/>
      <c r="AN851" s="201"/>
      <c r="AO851" s="234"/>
      <c r="AP851" s="234"/>
      <c r="AQ851" s="234"/>
      <c r="AR851" s="234"/>
      <c r="AS851" s="234"/>
      <c r="AT851" s="234"/>
      <c r="AU851" s="234"/>
      <c r="AV851" s="234"/>
      <c r="AW851" s="234"/>
      <c r="AX851" s="234"/>
      <c r="AY851" s="234"/>
      <c r="AZ851" s="234"/>
      <c r="BA851" s="234"/>
      <c r="BB851" s="234"/>
      <c r="BC851" s="234"/>
      <c r="BD851" s="234"/>
      <c r="BE851" s="234"/>
      <c r="BF851" s="234"/>
      <c r="BG851" s="234"/>
      <c r="BH851" s="234"/>
    </row>
    <row r="852" spans="1:60" ht="24" customHeight="1" x14ac:dyDescent="0.25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  <c r="AB852" s="234"/>
      <c r="AC852" s="234"/>
      <c r="AD852" s="234"/>
      <c r="AE852" s="234"/>
      <c r="AF852" s="234"/>
      <c r="AG852" s="234"/>
      <c r="AH852" s="234"/>
      <c r="AI852" s="234"/>
      <c r="AJ852" s="234"/>
      <c r="AK852" s="234"/>
      <c r="AL852" s="234"/>
      <c r="AM852" s="234"/>
      <c r="AN852" s="201"/>
      <c r="AO852" s="234"/>
      <c r="AP852" s="234"/>
      <c r="AQ852" s="234"/>
      <c r="AR852" s="234"/>
      <c r="AS852" s="234"/>
      <c r="AT852" s="234"/>
      <c r="AU852" s="234"/>
      <c r="AV852" s="234"/>
      <c r="AW852" s="234"/>
      <c r="AX852" s="234"/>
      <c r="AY852" s="234"/>
      <c r="AZ852" s="234"/>
      <c r="BA852" s="234"/>
      <c r="BB852" s="234"/>
      <c r="BC852" s="234"/>
      <c r="BD852" s="234"/>
      <c r="BE852" s="234"/>
      <c r="BF852" s="234"/>
      <c r="BG852" s="234"/>
      <c r="BH852" s="234"/>
    </row>
    <row r="853" spans="1:60" ht="24" customHeight="1" x14ac:dyDescent="0.25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  <c r="AB853" s="234"/>
      <c r="AC853" s="234"/>
      <c r="AD853" s="234"/>
      <c r="AE853" s="234"/>
      <c r="AF853" s="234"/>
      <c r="AG853" s="234"/>
      <c r="AH853" s="234"/>
      <c r="AI853" s="234"/>
      <c r="AJ853" s="234"/>
      <c r="AK853" s="234"/>
      <c r="AL853" s="234"/>
      <c r="AM853" s="234"/>
      <c r="AN853" s="201"/>
      <c r="AO853" s="234"/>
      <c r="AP853" s="234"/>
      <c r="AQ853" s="234"/>
      <c r="AR853" s="234"/>
      <c r="AS853" s="234"/>
      <c r="AT853" s="234"/>
      <c r="AU853" s="234"/>
      <c r="AV853" s="234"/>
      <c r="AW853" s="234"/>
      <c r="AX853" s="234"/>
      <c r="AY853" s="234"/>
      <c r="AZ853" s="234"/>
      <c r="BA853" s="234"/>
      <c r="BB853" s="234"/>
      <c r="BC853" s="234"/>
      <c r="BD853" s="234"/>
      <c r="BE853" s="234"/>
      <c r="BF853" s="234"/>
      <c r="BG853" s="234"/>
      <c r="BH853" s="234"/>
    </row>
    <row r="854" spans="1:60" ht="24" customHeight="1" x14ac:dyDescent="0.25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  <c r="AB854" s="234"/>
      <c r="AC854" s="234"/>
      <c r="AD854" s="234"/>
      <c r="AE854" s="234"/>
      <c r="AF854" s="234"/>
      <c r="AG854" s="234"/>
      <c r="AH854" s="234"/>
      <c r="AI854" s="234"/>
      <c r="AJ854" s="234"/>
      <c r="AK854" s="234"/>
      <c r="AL854" s="234"/>
      <c r="AM854" s="234"/>
      <c r="AN854" s="201"/>
      <c r="AO854" s="234"/>
      <c r="AP854" s="234"/>
      <c r="AQ854" s="234"/>
      <c r="AR854" s="234"/>
      <c r="AS854" s="234"/>
      <c r="AT854" s="234"/>
      <c r="AU854" s="234"/>
      <c r="AV854" s="234"/>
      <c r="AW854" s="234"/>
      <c r="AX854" s="234"/>
      <c r="AY854" s="234"/>
      <c r="AZ854" s="234"/>
      <c r="BA854" s="234"/>
      <c r="BB854" s="234"/>
      <c r="BC854" s="234"/>
      <c r="BD854" s="234"/>
      <c r="BE854" s="234"/>
      <c r="BF854" s="234"/>
      <c r="BG854" s="234"/>
      <c r="BH854" s="234"/>
    </row>
    <row r="855" spans="1:60" ht="24" customHeight="1" x14ac:dyDescent="0.2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  <c r="AB855" s="234"/>
      <c r="AC855" s="234"/>
      <c r="AD855" s="234"/>
      <c r="AE855" s="234"/>
      <c r="AF855" s="234"/>
      <c r="AG855" s="234"/>
      <c r="AH855" s="234"/>
      <c r="AI855" s="234"/>
      <c r="AJ855" s="234"/>
      <c r="AK855" s="234"/>
      <c r="AL855" s="234"/>
      <c r="AM855" s="234"/>
      <c r="AN855" s="201"/>
      <c r="AO855" s="234"/>
      <c r="AP855" s="234"/>
      <c r="AQ855" s="234"/>
      <c r="AR855" s="234"/>
      <c r="AS855" s="234"/>
      <c r="AT855" s="234"/>
      <c r="AU855" s="234"/>
      <c r="AV855" s="234"/>
      <c r="AW855" s="234"/>
      <c r="AX855" s="234"/>
      <c r="AY855" s="234"/>
      <c r="AZ855" s="234"/>
      <c r="BA855" s="234"/>
      <c r="BB855" s="234"/>
      <c r="BC855" s="234"/>
      <c r="BD855" s="234"/>
      <c r="BE855" s="234"/>
      <c r="BF855" s="234"/>
      <c r="BG855" s="234"/>
      <c r="BH855" s="234"/>
    </row>
    <row r="856" spans="1:60" ht="24" customHeight="1" x14ac:dyDescent="0.25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  <c r="AB856" s="234"/>
      <c r="AC856" s="234"/>
      <c r="AD856" s="234"/>
      <c r="AE856" s="234"/>
      <c r="AF856" s="234"/>
      <c r="AG856" s="234"/>
      <c r="AH856" s="234"/>
      <c r="AI856" s="234"/>
      <c r="AJ856" s="234"/>
      <c r="AK856" s="234"/>
      <c r="AL856" s="234"/>
      <c r="AM856" s="234"/>
      <c r="AN856" s="201"/>
      <c r="AO856" s="234"/>
      <c r="AP856" s="234"/>
      <c r="AQ856" s="234"/>
      <c r="AR856" s="234"/>
      <c r="AS856" s="234"/>
      <c r="AT856" s="234"/>
      <c r="AU856" s="234"/>
      <c r="AV856" s="234"/>
      <c r="AW856" s="234"/>
      <c r="AX856" s="234"/>
      <c r="AY856" s="234"/>
      <c r="AZ856" s="234"/>
      <c r="BA856" s="234"/>
      <c r="BB856" s="234"/>
      <c r="BC856" s="234"/>
      <c r="BD856" s="234"/>
      <c r="BE856" s="234"/>
      <c r="BF856" s="234"/>
      <c r="BG856" s="234"/>
      <c r="BH856" s="234"/>
    </row>
    <row r="857" spans="1:60" ht="24" customHeight="1" x14ac:dyDescent="0.25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  <c r="AB857" s="234"/>
      <c r="AC857" s="234"/>
      <c r="AD857" s="234"/>
      <c r="AE857" s="234"/>
      <c r="AF857" s="234"/>
      <c r="AG857" s="234"/>
      <c r="AH857" s="234"/>
      <c r="AI857" s="234"/>
      <c r="AJ857" s="234"/>
      <c r="AK857" s="234"/>
      <c r="AL857" s="234"/>
      <c r="AM857" s="234"/>
      <c r="AN857" s="201"/>
      <c r="AO857" s="234"/>
      <c r="AP857" s="234"/>
      <c r="AQ857" s="234"/>
      <c r="AR857" s="234"/>
      <c r="AS857" s="234"/>
      <c r="AT857" s="234"/>
      <c r="AU857" s="234"/>
      <c r="AV857" s="234"/>
      <c r="AW857" s="234"/>
      <c r="AX857" s="234"/>
      <c r="AY857" s="234"/>
      <c r="AZ857" s="234"/>
      <c r="BA857" s="234"/>
      <c r="BB857" s="234"/>
      <c r="BC857" s="234"/>
      <c r="BD857" s="234"/>
      <c r="BE857" s="234"/>
      <c r="BF857" s="234"/>
      <c r="BG857" s="234"/>
      <c r="BH857" s="234"/>
    </row>
    <row r="858" spans="1:60" ht="24" customHeight="1" x14ac:dyDescent="0.25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  <c r="AB858" s="234"/>
      <c r="AC858" s="234"/>
      <c r="AD858" s="234"/>
      <c r="AE858" s="234"/>
      <c r="AF858" s="234"/>
      <c r="AG858" s="234"/>
      <c r="AH858" s="234"/>
      <c r="AI858" s="234"/>
      <c r="AJ858" s="234"/>
      <c r="AK858" s="234"/>
      <c r="AL858" s="234"/>
      <c r="AM858" s="234"/>
      <c r="AN858" s="201"/>
      <c r="AO858" s="234"/>
      <c r="AP858" s="234"/>
      <c r="AQ858" s="234"/>
      <c r="AR858" s="234"/>
      <c r="AS858" s="234"/>
      <c r="AT858" s="234"/>
      <c r="AU858" s="234"/>
      <c r="AV858" s="234"/>
      <c r="AW858" s="234"/>
      <c r="AX858" s="234"/>
      <c r="AY858" s="234"/>
      <c r="AZ858" s="234"/>
      <c r="BA858" s="234"/>
      <c r="BB858" s="234"/>
      <c r="BC858" s="234"/>
      <c r="BD858" s="234"/>
      <c r="BE858" s="234"/>
      <c r="BF858" s="234"/>
      <c r="BG858" s="234"/>
      <c r="BH858" s="234"/>
    </row>
    <row r="859" spans="1:60" ht="24" customHeight="1" x14ac:dyDescent="0.25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  <c r="AB859" s="234"/>
      <c r="AC859" s="234"/>
      <c r="AD859" s="234"/>
      <c r="AE859" s="234"/>
      <c r="AF859" s="234"/>
      <c r="AG859" s="234"/>
      <c r="AH859" s="234"/>
      <c r="AI859" s="234"/>
      <c r="AJ859" s="234"/>
      <c r="AK859" s="234"/>
      <c r="AL859" s="234"/>
      <c r="AM859" s="234"/>
      <c r="AN859" s="201"/>
      <c r="AO859" s="234"/>
      <c r="AP859" s="234"/>
      <c r="AQ859" s="234"/>
      <c r="AR859" s="234"/>
      <c r="AS859" s="234"/>
      <c r="AT859" s="234"/>
      <c r="AU859" s="234"/>
      <c r="AV859" s="234"/>
      <c r="AW859" s="234"/>
      <c r="AX859" s="234"/>
      <c r="AY859" s="234"/>
      <c r="AZ859" s="234"/>
      <c r="BA859" s="234"/>
      <c r="BB859" s="234"/>
      <c r="BC859" s="234"/>
      <c r="BD859" s="234"/>
      <c r="BE859" s="234"/>
      <c r="BF859" s="234"/>
      <c r="BG859" s="234"/>
      <c r="BH859" s="234"/>
    </row>
    <row r="860" spans="1:60" ht="24" customHeight="1" x14ac:dyDescent="0.25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  <c r="AC860" s="234"/>
      <c r="AD860" s="234"/>
      <c r="AE860" s="234"/>
      <c r="AF860" s="234"/>
      <c r="AG860" s="234"/>
      <c r="AH860" s="234"/>
      <c r="AI860" s="234"/>
      <c r="AJ860" s="234"/>
      <c r="AK860" s="234"/>
      <c r="AL860" s="234"/>
      <c r="AM860" s="234"/>
      <c r="AN860" s="201"/>
      <c r="AO860" s="234"/>
      <c r="AP860" s="234"/>
      <c r="AQ860" s="234"/>
      <c r="AR860" s="234"/>
      <c r="AS860" s="234"/>
      <c r="AT860" s="234"/>
      <c r="AU860" s="234"/>
      <c r="AV860" s="234"/>
      <c r="AW860" s="234"/>
      <c r="AX860" s="234"/>
      <c r="AY860" s="234"/>
      <c r="AZ860" s="234"/>
      <c r="BA860" s="234"/>
      <c r="BB860" s="234"/>
      <c r="BC860" s="234"/>
      <c r="BD860" s="234"/>
      <c r="BE860" s="234"/>
      <c r="BF860" s="234"/>
      <c r="BG860" s="234"/>
      <c r="BH860" s="234"/>
    </row>
    <row r="861" spans="1:60" ht="24" customHeight="1" x14ac:dyDescent="0.25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  <c r="AB861" s="234"/>
      <c r="AC861" s="234"/>
      <c r="AD861" s="234"/>
      <c r="AE861" s="234"/>
      <c r="AF861" s="234"/>
      <c r="AG861" s="234"/>
      <c r="AH861" s="234"/>
      <c r="AI861" s="234"/>
      <c r="AJ861" s="234"/>
      <c r="AK861" s="234"/>
      <c r="AL861" s="234"/>
      <c r="AM861" s="234"/>
      <c r="AN861" s="201"/>
      <c r="AO861" s="234"/>
      <c r="AP861" s="234"/>
      <c r="AQ861" s="234"/>
      <c r="AR861" s="234"/>
      <c r="AS861" s="234"/>
      <c r="AT861" s="234"/>
      <c r="AU861" s="234"/>
      <c r="AV861" s="234"/>
      <c r="AW861" s="234"/>
      <c r="AX861" s="234"/>
      <c r="AY861" s="234"/>
      <c r="AZ861" s="234"/>
      <c r="BA861" s="234"/>
      <c r="BB861" s="234"/>
      <c r="BC861" s="234"/>
      <c r="BD861" s="234"/>
      <c r="BE861" s="234"/>
      <c r="BF861" s="234"/>
      <c r="BG861" s="234"/>
      <c r="BH861" s="234"/>
    </row>
    <row r="862" spans="1:60" ht="24" customHeight="1" x14ac:dyDescent="0.25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  <c r="AB862" s="234"/>
      <c r="AC862" s="234"/>
      <c r="AD862" s="234"/>
      <c r="AE862" s="234"/>
      <c r="AF862" s="234"/>
      <c r="AG862" s="234"/>
      <c r="AH862" s="234"/>
      <c r="AI862" s="234"/>
      <c r="AJ862" s="234"/>
      <c r="AK862" s="234"/>
      <c r="AL862" s="234"/>
      <c r="AM862" s="234"/>
      <c r="AN862" s="201"/>
      <c r="AO862" s="234"/>
      <c r="AP862" s="234"/>
      <c r="AQ862" s="234"/>
      <c r="AR862" s="234"/>
      <c r="AS862" s="234"/>
      <c r="AT862" s="234"/>
      <c r="AU862" s="234"/>
      <c r="AV862" s="234"/>
      <c r="AW862" s="234"/>
      <c r="AX862" s="234"/>
      <c r="AY862" s="234"/>
      <c r="AZ862" s="234"/>
      <c r="BA862" s="234"/>
      <c r="BB862" s="234"/>
      <c r="BC862" s="234"/>
      <c r="BD862" s="234"/>
      <c r="BE862" s="234"/>
      <c r="BF862" s="234"/>
      <c r="BG862" s="234"/>
      <c r="BH862" s="234"/>
    </row>
    <row r="863" spans="1:60" ht="24" customHeight="1" x14ac:dyDescent="0.25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  <c r="AB863" s="234"/>
      <c r="AC863" s="234"/>
      <c r="AD863" s="234"/>
      <c r="AE863" s="234"/>
      <c r="AF863" s="234"/>
      <c r="AG863" s="234"/>
      <c r="AH863" s="234"/>
      <c r="AI863" s="234"/>
      <c r="AJ863" s="234"/>
      <c r="AK863" s="234"/>
      <c r="AL863" s="234"/>
      <c r="AM863" s="234"/>
      <c r="AN863" s="201"/>
      <c r="AO863" s="234"/>
      <c r="AP863" s="234"/>
      <c r="AQ863" s="234"/>
      <c r="AR863" s="234"/>
      <c r="AS863" s="234"/>
      <c r="AT863" s="234"/>
      <c r="AU863" s="234"/>
      <c r="AV863" s="234"/>
      <c r="AW863" s="234"/>
      <c r="AX863" s="234"/>
      <c r="AY863" s="234"/>
      <c r="AZ863" s="234"/>
      <c r="BA863" s="234"/>
      <c r="BB863" s="234"/>
      <c r="BC863" s="234"/>
      <c r="BD863" s="234"/>
      <c r="BE863" s="234"/>
      <c r="BF863" s="234"/>
      <c r="BG863" s="234"/>
      <c r="BH863" s="234"/>
    </row>
    <row r="864" spans="1:60" ht="24" customHeight="1" x14ac:dyDescent="0.25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  <c r="AB864" s="234"/>
      <c r="AC864" s="234"/>
      <c r="AD864" s="234"/>
      <c r="AE864" s="234"/>
      <c r="AF864" s="234"/>
      <c r="AG864" s="234"/>
      <c r="AH864" s="234"/>
      <c r="AI864" s="234"/>
      <c r="AJ864" s="234"/>
      <c r="AK864" s="234"/>
      <c r="AL864" s="234"/>
      <c r="AM864" s="234"/>
      <c r="AN864" s="201"/>
      <c r="AO864" s="234"/>
      <c r="AP864" s="234"/>
      <c r="AQ864" s="234"/>
      <c r="AR864" s="234"/>
      <c r="AS864" s="234"/>
      <c r="AT864" s="234"/>
      <c r="AU864" s="234"/>
      <c r="AV864" s="234"/>
      <c r="AW864" s="234"/>
      <c r="AX864" s="234"/>
      <c r="AY864" s="234"/>
      <c r="AZ864" s="234"/>
      <c r="BA864" s="234"/>
      <c r="BB864" s="234"/>
      <c r="BC864" s="234"/>
      <c r="BD864" s="234"/>
      <c r="BE864" s="234"/>
      <c r="BF864" s="234"/>
      <c r="BG864" s="234"/>
      <c r="BH864" s="234"/>
    </row>
    <row r="865" spans="1:60" ht="24" customHeight="1" x14ac:dyDescent="0.2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  <c r="AB865" s="234"/>
      <c r="AC865" s="234"/>
      <c r="AD865" s="234"/>
      <c r="AE865" s="234"/>
      <c r="AF865" s="234"/>
      <c r="AG865" s="234"/>
      <c r="AH865" s="234"/>
      <c r="AI865" s="234"/>
      <c r="AJ865" s="234"/>
      <c r="AK865" s="234"/>
      <c r="AL865" s="234"/>
      <c r="AM865" s="234"/>
      <c r="AN865" s="201"/>
      <c r="AO865" s="234"/>
      <c r="AP865" s="234"/>
      <c r="AQ865" s="234"/>
      <c r="AR865" s="234"/>
      <c r="AS865" s="234"/>
      <c r="AT865" s="234"/>
      <c r="AU865" s="234"/>
      <c r="AV865" s="234"/>
      <c r="AW865" s="234"/>
      <c r="AX865" s="234"/>
      <c r="AY865" s="234"/>
      <c r="AZ865" s="234"/>
      <c r="BA865" s="234"/>
      <c r="BB865" s="234"/>
      <c r="BC865" s="234"/>
      <c r="BD865" s="234"/>
      <c r="BE865" s="234"/>
      <c r="BF865" s="234"/>
      <c r="BG865" s="234"/>
      <c r="BH865" s="234"/>
    </row>
    <row r="866" spans="1:60" ht="24" customHeight="1" x14ac:dyDescent="0.25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  <c r="AB866" s="234"/>
      <c r="AC866" s="234"/>
      <c r="AD866" s="234"/>
      <c r="AE866" s="234"/>
      <c r="AF866" s="234"/>
      <c r="AG866" s="234"/>
      <c r="AH866" s="234"/>
      <c r="AI866" s="234"/>
      <c r="AJ866" s="234"/>
      <c r="AK866" s="234"/>
      <c r="AL866" s="234"/>
      <c r="AM866" s="234"/>
      <c r="AN866" s="201"/>
      <c r="AO866" s="234"/>
      <c r="AP866" s="234"/>
      <c r="AQ866" s="234"/>
      <c r="AR866" s="234"/>
      <c r="AS866" s="234"/>
      <c r="AT866" s="234"/>
      <c r="AU866" s="234"/>
      <c r="AV866" s="234"/>
      <c r="AW866" s="234"/>
      <c r="AX866" s="234"/>
      <c r="AY866" s="234"/>
      <c r="AZ866" s="234"/>
      <c r="BA866" s="234"/>
      <c r="BB866" s="234"/>
      <c r="BC866" s="234"/>
      <c r="BD866" s="234"/>
      <c r="BE866" s="234"/>
      <c r="BF866" s="234"/>
      <c r="BG866" s="234"/>
      <c r="BH866" s="234"/>
    </row>
    <row r="867" spans="1:60" ht="24" customHeight="1" x14ac:dyDescent="0.25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  <c r="AB867" s="234"/>
      <c r="AC867" s="234"/>
      <c r="AD867" s="234"/>
      <c r="AE867" s="234"/>
      <c r="AF867" s="234"/>
      <c r="AG867" s="234"/>
      <c r="AH867" s="234"/>
      <c r="AI867" s="234"/>
      <c r="AJ867" s="234"/>
      <c r="AK867" s="234"/>
      <c r="AL867" s="234"/>
      <c r="AM867" s="234"/>
      <c r="AN867" s="201"/>
      <c r="AO867" s="234"/>
      <c r="AP867" s="234"/>
      <c r="AQ867" s="234"/>
      <c r="AR867" s="234"/>
      <c r="AS867" s="234"/>
      <c r="AT867" s="234"/>
      <c r="AU867" s="234"/>
      <c r="AV867" s="234"/>
      <c r="AW867" s="234"/>
      <c r="AX867" s="234"/>
      <c r="AY867" s="234"/>
      <c r="AZ867" s="234"/>
      <c r="BA867" s="234"/>
      <c r="BB867" s="234"/>
      <c r="BC867" s="234"/>
      <c r="BD867" s="234"/>
      <c r="BE867" s="234"/>
      <c r="BF867" s="234"/>
      <c r="BG867" s="234"/>
      <c r="BH867" s="234"/>
    </row>
    <row r="868" spans="1:60" ht="24" customHeight="1" x14ac:dyDescent="0.25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  <c r="AB868" s="234"/>
      <c r="AC868" s="234"/>
      <c r="AD868" s="234"/>
      <c r="AE868" s="234"/>
      <c r="AF868" s="234"/>
      <c r="AG868" s="234"/>
      <c r="AH868" s="234"/>
      <c r="AI868" s="234"/>
      <c r="AJ868" s="234"/>
      <c r="AK868" s="234"/>
      <c r="AL868" s="234"/>
      <c r="AM868" s="234"/>
      <c r="AN868" s="201"/>
      <c r="AO868" s="234"/>
      <c r="AP868" s="234"/>
      <c r="AQ868" s="234"/>
      <c r="AR868" s="234"/>
      <c r="AS868" s="234"/>
      <c r="AT868" s="234"/>
      <c r="AU868" s="234"/>
      <c r="AV868" s="234"/>
      <c r="AW868" s="234"/>
      <c r="AX868" s="234"/>
      <c r="AY868" s="234"/>
      <c r="AZ868" s="234"/>
      <c r="BA868" s="234"/>
      <c r="BB868" s="234"/>
      <c r="BC868" s="234"/>
      <c r="BD868" s="234"/>
      <c r="BE868" s="234"/>
      <c r="BF868" s="234"/>
      <c r="BG868" s="234"/>
      <c r="BH868" s="234"/>
    </row>
    <row r="869" spans="1:60" ht="24" customHeight="1" x14ac:dyDescent="0.25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  <c r="AB869" s="234"/>
      <c r="AC869" s="234"/>
      <c r="AD869" s="234"/>
      <c r="AE869" s="234"/>
      <c r="AF869" s="234"/>
      <c r="AG869" s="234"/>
      <c r="AH869" s="234"/>
      <c r="AI869" s="234"/>
      <c r="AJ869" s="234"/>
      <c r="AK869" s="234"/>
      <c r="AL869" s="234"/>
      <c r="AM869" s="234"/>
      <c r="AN869" s="201"/>
      <c r="AO869" s="234"/>
      <c r="AP869" s="234"/>
      <c r="AQ869" s="234"/>
      <c r="AR869" s="234"/>
      <c r="AS869" s="234"/>
      <c r="AT869" s="234"/>
      <c r="AU869" s="234"/>
      <c r="AV869" s="234"/>
      <c r="AW869" s="234"/>
      <c r="AX869" s="234"/>
      <c r="AY869" s="234"/>
      <c r="AZ869" s="234"/>
      <c r="BA869" s="234"/>
      <c r="BB869" s="234"/>
      <c r="BC869" s="234"/>
      <c r="BD869" s="234"/>
      <c r="BE869" s="234"/>
      <c r="BF869" s="234"/>
      <c r="BG869" s="234"/>
      <c r="BH869" s="234"/>
    </row>
    <row r="870" spans="1:60" ht="24" customHeight="1" x14ac:dyDescent="0.25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  <c r="AB870" s="234"/>
      <c r="AC870" s="234"/>
      <c r="AD870" s="234"/>
      <c r="AE870" s="234"/>
      <c r="AF870" s="234"/>
      <c r="AG870" s="234"/>
      <c r="AH870" s="234"/>
      <c r="AI870" s="234"/>
      <c r="AJ870" s="234"/>
      <c r="AK870" s="234"/>
      <c r="AL870" s="234"/>
      <c r="AM870" s="234"/>
      <c r="AN870" s="201"/>
      <c r="AO870" s="234"/>
      <c r="AP870" s="234"/>
      <c r="AQ870" s="234"/>
      <c r="AR870" s="234"/>
      <c r="AS870" s="234"/>
      <c r="AT870" s="234"/>
      <c r="AU870" s="234"/>
      <c r="AV870" s="234"/>
      <c r="AW870" s="234"/>
      <c r="AX870" s="234"/>
      <c r="AY870" s="234"/>
      <c r="AZ870" s="234"/>
      <c r="BA870" s="234"/>
      <c r="BB870" s="234"/>
      <c r="BC870" s="234"/>
      <c r="BD870" s="234"/>
      <c r="BE870" s="234"/>
      <c r="BF870" s="234"/>
      <c r="BG870" s="234"/>
      <c r="BH870" s="234"/>
    </row>
    <row r="871" spans="1:60" ht="24" customHeight="1" x14ac:dyDescent="0.25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  <c r="AB871" s="234"/>
      <c r="AC871" s="234"/>
      <c r="AD871" s="234"/>
      <c r="AE871" s="234"/>
      <c r="AF871" s="234"/>
      <c r="AG871" s="234"/>
      <c r="AH871" s="234"/>
      <c r="AI871" s="234"/>
      <c r="AJ871" s="234"/>
      <c r="AK871" s="234"/>
      <c r="AL871" s="234"/>
      <c r="AM871" s="234"/>
      <c r="AN871" s="201"/>
      <c r="AO871" s="234"/>
      <c r="AP871" s="234"/>
      <c r="AQ871" s="234"/>
      <c r="AR871" s="234"/>
      <c r="AS871" s="234"/>
      <c r="AT871" s="234"/>
      <c r="AU871" s="234"/>
      <c r="AV871" s="234"/>
      <c r="AW871" s="234"/>
      <c r="AX871" s="234"/>
      <c r="AY871" s="234"/>
      <c r="AZ871" s="234"/>
      <c r="BA871" s="234"/>
      <c r="BB871" s="234"/>
      <c r="BC871" s="234"/>
      <c r="BD871" s="234"/>
      <c r="BE871" s="234"/>
      <c r="BF871" s="234"/>
      <c r="BG871" s="234"/>
      <c r="BH871" s="234"/>
    </row>
    <row r="872" spans="1:60" ht="24" customHeight="1" x14ac:dyDescent="0.25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  <c r="AB872" s="234"/>
      <c r="AC872" s="234"/>
      <c r="AD872" s="234"/>
      <c r="AE872" s="234"/>
      <c r="AF872" s="234"/>
      <c r="AG872" s="234"/>
      <c r="AH872" s="234"/>
      <c r="AI872" s="234"/>
      <c r="AJ872" s="234"/>
      <c r="AK872" s="234"/>
      <c r="AL872" s="234"/>
      <c r="AM872" s="234"/>
      <c r="AN872" s="201"/>
      <c r="AO872" s="234"/>
      <c r="AP872" s="234"/>
      <c r="AQ872" s="234"/>
      <c r="AR872" s="234"/>
      <c r="AS872" s="234"/>
      <c r="AT872" s="234"/>
      <c r="AU872" s="234"/>
      <c r="AV872" s="234"/>
      <c r="AW872" s="234"/>
      <c r="AX872" s="234"/>
      <c r="AY872" s="234"/>
      <c r="AZ872" s="234"/>
      <c r="BA872" s="234"/>
      <c r="BB872" s="234"/>
      <c r="BC872" s="234"/>
      <c r="BD872" s="234"/>
      <c r="BE872" s="234"/>
      <c r="BF872" s="234"/>
      <c r="BG872" s="234"/>
      <c r="BH872" s="234"/>
    </row>
    <row r="873" spans="1:60" ht="24" customHeight="1" x14ac:dyDescent="0.25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  <c r="AB873" s="234"/>
      <c r="AC873" s="234"/>
      <c r="AD873" s="234"/>
      <c r="AE873" s="234"/>
      <c r="AF873" s="234"/>
      <c r="AG873" s="234"/>
      <c r="AH873" s="234"/>
      <c r="AI873" s="234"/>
      <c r="AJ873" s="234"/>
      <c r="AK873" s="234"/>
      <c r="AL873" s="234"/>
      <c r="AM873" s="234"/>
      <c r="AN873" s="201"/>
      <c r="AO873" s="234"/>
      <c r="AP873" s="234"/>
      <c r="AQ873" s="234"/>
      <c r="AR873" s="234"/>
      <c r="AS873" s="234"/>
      <c r="AT873" s="234"/>
      <c r="AU873" s="234"/>
      <c r="AV873" s="234"/>
      <c r="AW873" s="234"/>
      <c r="AX873" s="234"/>
      <c r="AY873" s="234"/>
      <c r="AZ873" s="234"/>
      <c r="BA873" s="234"/>
      <c r="BB873" s="234"/>
      <c r="BC873" s="234"/>
      <c r="BD873" s="234"/>
      <c r="BE873" s="234"/>
      <c r="BF873" s="234"/>
      <c r="BG873" s="234"/>
      <c r="BH873" s="234"/>
    </row>
    <row r="874" spans="1:60" ht="24" customHeight="1" x14ac:dyDescent="0.25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  <c r="AB874" s="234"/>
      <c r="AC874" s="234"/>
      <c r="AD874" s="234"/>
      <c r="AE874" s="234"/>
      <c r="AF874" s="234"/>
      <c r="AG874" s="234"/>
      <c r="AH874" s="234"/>
      <c r="AI874" s="234"/>
      <c r="AJ874" s="234"/>
      <c r="AK874" s="234"/>
      <c r="AL874" s="234"/>
      <c r="AM874" s="234"/>
      <c r="AN874" s="201"/>
      <c r="AO874" s="234"/>
      <c r="AP874" s="234"/>
      <c r="AQ874" s="234"/>
      <c r="AR874" s="234"/>
      <c r="AS874" s="234"/>
      <c r="AT874" s="234"/>
      <c r="AU874" s="234"/>
      <c r="AV874" s="234"/>
      <c r="AW874" s="234"/>
      <c r="AX874" s="234"/>
      <c r="AY874" s="234"/>
      <c r="AZ874" s="234"/>
      <c r="BA874" s="234"/>
      <c r="BB874" s="234"/>
      <c r="BC874" s="234"/>
      <c r="BD874" s="234"/>
      <c r="BE874" s="234"/>
      <c r="BF874" s="234"/>
      <c r="BG874" s="234"/>
      <c r="BH874" s="234"/>
    </row>
    <row r="875" spans="1:60" ht="24" customHeight="1" x14ac:dyDescent="0.2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  <c r="AB875" s="234"/>
      <c r="AC875" s="234"/>
      <c r="AD875" s="234"/>
      <c r="AE875" s="234"/>
      <c r="AF875" s="234"/>
      <c r="AG875" s="234"/>
      <c r="AH875" s="234"/>
      <c r="AI875" s="234"/>
      <c r="AJ875" s="234"/>
      <c r="AK875" s="234"/>
      <c r="AL875" s="234"/>
      <c r="AM875" s="234"/>
      <c r="AN875" s="201"/>
      <c r="AO875" s="234"/>
      <c r="AP875" s="234"/>
      <c r="AQ875" s="234"/>
      <c r="AR875" s="234"/>
      <c r="AS875" s="234"/>
      <c r="AT875" s="234"/>
      <c r="AU875" s="234"/>
      <c r="AV875" s="234"/>
      <c r="AW875" s="234"/>
      <c r="AX875" s="234"/>
      <c r="AY875" s="234"/>
      <c r="AZ875" s="234"/>
      <c r="BA875" s="234"/>
      <c r="BB875" s="234"/>
      <c r="BC875" s="234"/>
      <c r="BD875" s="234"/>
      <c r="BE875" s="234"/>
      <c r="BF875" s="234"/>
      <c r="BG875" s="234"/>
      <c r="BH875" s="234"/>
    </row>
    <row r="876" spans="1:60" ht="24" customHeight="1" x14ac:dyDescent="0.25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  <c r="AB876" s="234"/>
      <c r="AC876" s="234"/>
      <c r="AD876" s="234"/>
      <c r="AE876" s="234"/>
      <c r="AF876" s="234"/>
      <c r="AG876" s="234"/>
      <c r="AH876" s="234"/>
      <c r="AI876" s="234"/>
      <c r="AJ876" s="234"/>
      <c r="AK876" s="234"/>
      <c r="AL876" s="234"/>
      <c r="AM876" s="234"/>
      <c r="AN876" s="201"/>
      <c r="AO876" s="234"/>
      <c r="AP876" s="234"/>
      <c r="AQ876" s="234"/>
      <c r="AR876" s="234"/>
      <c r="AS876" s="234"/>
      <c r="AT876" s="234"/>
      <c r="AU876" s="234"/>
      <c r="AV876" s="234"/>
      <c r="AW876" s="234"/>
      <c r="AX876" s="234"/>
      <c r="AY876" s="234"/>
      <c r="AZ876" s="234"/>
      <c r="BA876" s="234"/>
      <c r="BB876" s="234"/>
      <c r="BC876" s="234"/>
      <c r="BD876" s="234"/>
      <c r="BE876" s="234"/>
      <c r="BF876" s="234"/>
      <c r="BG876" s="234"/>
      <c r="BH876" s="234"/>
    </row>
    <row r="877" spans="1:60" ht="24" customHeight="1" x14ac:dyDescent="0.25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  <c r="AB877" s="234"/>
      <c r="AC877" s="234"/>
      <c r="AD877" s="234"/>
      <c r="AE877" s="234"/>
      <c r="AF877" s="234"/>
      <c r="AG877" s="234"/>
      <c r="AH877" s="234"/>
      <c r="AI877" s="234"/>
      <c r="AJ877" s="234"/>
      <c r="AK877" s="234"/>
      <c r="AL877" s="234"/>
      <c r="AM877" s="234"/>
      <c r="AN877" s="201"/>
      <c r="AO877" s="234"/>
      <c r="AP877" s="234"/>
      <c r="AQ877" s="234"/>
      <c r="AR877" s="234"/>
      <c r="AS877" s="234"/>
      <c r="AT877" s="234"/>
      <c r="AU877" s="234"/>
      <c r="AV877" s="234"/>
      <c r="AW877" s="234"/>
      <c r="AX877" s="234"/>
      <c r="AY877" s="234"/>
      <c r="AZ877" s="234"/>
      <c r="BA877" s="234"/>
      <c r="BB877" s="234"/>
      <c r="BC877" s="234"/>
      <c r="BD877" s="234"/>
      <c r="BE877" s="234"/>
      <c r="BF877" s="234"/>
      <c r="BG877" s="234"/>
      <c r="BH877" s="234"/>
    </row>
    <row r="878" spans="1:60" ht="24" customHeight="1" x14ac:dyDescent="0.25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  <c r="AB878" s="234"/>
      <c r="AC878" s="234"/>
      <c r="AD878" s="234"/>
      <c r="AE878" s="234"/>
      <c r="AF878" s="234"/>
      <c r="AG878" s="234"/>
      <c r="AH878" s="234"/>
      <c r="AI878" s="234"/>
      <c r="AJ878" s="234"/>
      <c r="AK878" s="234"/>
      <c r="AL878" s="234"/>
      <c r="AM878" s="234"/>
      <c r="AN878" s="201"/>
      <c r="AO878" s="234"/>
      <c r="AP878" s="234"/>
      <c r="AQ878" s="234"/>
      <c r="AR878" s="234"/>
      <c r="AS878" s="234"/>
      <c r="AT878" s="234"/>
      <c r="AU878" s="234"/>
      <c r="AV878" s="234"/>
      <c r="AW878" s="234"/>
      <c r="AX878" s="234"/>
      <c r="AY878" s="234"/>
      <c r="AZ878" s="234"/>
      <c r="BA878" s="234"/>
      <c r="BB878" s="234"/>
      <c r="BC878" s="234"/>
      <c r="BD878" s="234"/>
      <c r="BE878" s="234"/>
      <c r="BF878" s="234"/>
      <c r="BG878" s="234"/>
      <c r="BH878" s="234"/>
    </row>
    <row r="879" spans="1:60" ht="24" customHeight="1" x14ac:dyDescent="0.25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  <c r="AB879" s="234"/>
      <c r="AC879" s="234"/>
      <c r="AD879" s="234"/>
      <c r="AE879" s="234"/>
      <c r="AF879" s="234"/>
      <c r="AG879" s="234"/>
      <c r="AH879" s="234"/>
      <c r="AI879" s="234"/>
      <c r="AJ879" s="234"/>
      <c r="AK879" s="234"/>
      <c r="AL879" s="234"/>
      <c r="AM879" s="234"/>
      <c r="AN879" s="201"/>
      <c r="AO879" s="234"/>
      <c r="AP879" s="234"/>
      <c r="AQ879" s="234"/>
      <c r="AR879" s="234"/>
      <c r="AS879" s="234"/>
      <c r="AT879" s="234"/>
      <c r="AU879" s="234"/>
      <c r="AV879" s="234"/>
      <c r="AW879" s="234"/>
      <c r="AX879" s="234"/>
      <c r="AY879" s="234"/>
      <c r="AZ879" s="234"/>
      <c r="BA879" s="234"/>
      <c r="BB879" s="234"/>
      <c r="BC879" s="234"/>
      <c r="BD879" s="234"/>
      <c r="BE879" s="234"/>
      <c r="BF879" s="234"/>
      <c r="BG879" s="234"/>
      <c r="BH879" s="234"/>
    </row>
    <row r="880" spans="1:60" ht="24" customHeight="1" x14ac:dyDescent="0.25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  <c r="AB880" s="234"/>
      <c r="AC880" s="234"/>
      <c r="AD880" s="234"/>
      <c r="AE880" s="234"/>
      <c r="AF880" s="234"/>
      <c r="AG880" s="234"/>
      <c r="AH880" s="234"/>
      <c r="AI880" s="234"/>
      <c r="AJ880" s="234"/>
      <c r="AK880" s="234"/>
      <c r="AL880" s="234"/>
      <c r="AM880" s="234"/>
      <c r="AN880" s="201"/>
      <c r="AO880" s="234"/>
      <c r="AP880" s="234"/>
      <c r="AQ880" s="234"/>
      <c r="AR880" s="234"/>
      <c r="AS880" s="234"/>
      <c r="AT880" s="234"/>
      <c r="AU880" s="234"/>
      <c r="AV880" s="234"/>
      <c r="AW880" s="234"/>
      <c r="AX880" s="234"/>
      <c r="AY880" s="234"/>
      <c r="AZ880" s="234"/>
      <c r="BA880" s="234"/>
      <c r="BB880" s="234"/>
      <c r="BC880" s="234"/>
      <c r="BD880" s="234"/>
      <c r="BE880" s="234"/>
      <c r="BF880" s="234"/>
      <c r="BG880" s="234"/>
      <c r="BH880" s="234"/>
    </row>
    <row r="881" spans="1:60" ht="24" customHeight="1" x14ac:dyDescent="0.25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  <c r="AB881" s="234"/>
      <c r="AC881" s="234"/>
      <c r="AD881" s="234"/>
      <c r="AE881" s="234"/>
      <c r="AF881" s="234"/>
      <c r="AG881" s="234"/>
      <c r="AH881" s="234"/>
      <c r="AI881" s="234"/>
      <c r="AJ881" s="234"/>
      <c r="AK881" s="234"/>
      <c r="AL881" s="234"/>
      <c r="AM881" s="234"/>
      <c r="AN881" s="201"/>
      <c r="AO881" s="234"/>
      <c r="AP881" s="234"/>
      <c r="AQ881" s="234"/>
      <c r="AR881" s="234"/>
      <c r="AS881" s="234"/>
      <c r="AT881" s="234"/>
      <c r="AU881" s="234"/>
      <c r="AV881" s="234"/>
      <c r="AW881" s="234"/>
      <c r="AX881" s="234"/>
      <c r="AY881" s="234"/>
      <c r="AZ881" s="234"/>
      <c r="BA881" s="234"/>
      <c r="BB881" s="234"/>
      <c r="BC881" s="234"/>
      <c r="BD881" s="234"/>
      <c r="BE881" s="234"/>
      <c r="BF881" s="234"/>
      <c r="BG881" s="234"/>
      <c r="BH881" s="234"/>
    </row>
    <row r="882" spans="1:60" ht="24" customHeight="1" x14ac:dyDescent="0.25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  <c r="AB882" s="234"/>
      <c r="AC882" s="234"/>
      <c r="AD882" s="234"/>
      <c r="AE882" s="234"/>
      <c r="AF882" s="234"/>
      <c r="AG882" s="234"/>
      <c r="AH882" s="234"/>
      <c r="AI882" s="234"/>
      <c r="AJ882" s="234"/>
      <c r="AK882" s="234"/>
      <c r="AL882" s="234"/>
      <c r="AM882" s="234"/>
      <c r="AN882" s="201"/>
      <c r="AO882" s="234"/>
      <c r="AP882" s="234"/>
      <c r="AQ882" s="234"/>
      <c r="AR882" s="234"/>
      <c r="AS882" s="234"/>
      <c r="AT882" s="234"/>
      <c r="AU882" s="234"/>
      <c r="AV882" s="234"/>
      <c r="AW882" s="234"/>
      <c r="AX882" s="234"/>
      <c r="AY882" s="234"/>
      <c r="AZ882" s="234"/>
      <c r="BA882" s="234"/>
      <c r="BB882" s="234"/>
      <c r="BC882" s="234"/>
      <c r="BD882" s="234"/>
      <c r="BE882" s="234"/>
      <c r="BF882" s="234"/>
      <c r="BG882" s="234"/>
      <c r="BH882" s="234"/>
    </row>
    <row r="883" spans="1:60" ht="24" customHeight="1" x14ac:dyDescent="0.25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  <c r="AB883" s="234"/>
      <c r="AC883" s="234"/>
      <c r="AD883" s="234"/>
      <c r="AE883" s="234"/>
      <c r="AF883" s="234"/>
      <c r="AG883" s="234"/>
      <c r="AH883" s="234"/>
      <c r="AI883" s="234"/>
      <c r="AJ883" s="234"/>
      <c r="AK883" s="234"/>
      <c r="AL883" s="234"/>
      <c r="AM883" s="234"/>
      <c r="AN883" s="201"/>
      <c r="AO883" s="234"/>
      <c r="AP883" s="234"/>
      <c r="AQ883" s="234"/>
      <c r="AR883" s="234"/>
      <c r="AS883" s="234"/>
      <c r="AT883" s="234"/>
      <c r="AU883" s="234"/>
      <c r="AV883" s="234"/>
      <c r="AW883" s="234"/>
      <c r="AX883" s="234"/>
      <c r="AY883" s="234"/>
      <c r="AZ883" s="234"/>
      <c r="BA883" s="234"/>
      <c r="BB883" s="234"/>
      <c r="BC883" s="234"/>
      <c r="BD883" s="234"/>
      <c r="BE883" s="234"/>
      <c r="BF883" s="234"/>
      <c r="BG883" s="234"/>
      <c r="BH883" s="234"/>
    </row>
    <row r="884" spans="1:60" ht="24" customHeight="1" x14ac:dyDescent="0.25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  <c r="AB884" s="234"/>
      <c r="AC884" s="234"/>
      <c r="AD884" s="234"/>
      <c r="AE884" s="234"/>
      <c r="AF884" s="234"/>
      <c r="AG884" s="234"/>
      <c r="AH884" s="234"/>
      <c r="AI884" s="234"/>
      <c r="AJ884" s="234"/>
      <c r="AK884" s="234"/>
      <c r="AL884" s="234"/>
      <c r="AM884" s="234"/>
      <c r="AN884" s="201"/>
      <c r="AO884" s="234"/>
      <c r="AP884" s="234"/>
      <c r="AQ884" s="234"/>
      <c r="AR884" s="234"/>
      <c r="AS884" s="234"/>
      <c r="AT884" s="234"/>
      <c r="AU884" s="234"/>
      <c r="AV884" s="234"/>
      <c r="AW884" s="234"/>
      <c r="AX884" s="234"/>
      <c r="AY884" s="234"/>
      <c r="AZ884" s="234"/>
      <c r="BA884" s="234"/>
      <c r="BB884" s="234"/>
      <c r="BC884" s="234"/>
      <c r="BD884" s="234"/>
      <c r="BE884" s="234"/>
      <c r="BF884" s="234"/>
      <c r="BG884" s="234"/>
      <c r="BH884" s="234"/>
    </row>
    <row r="885" spans="1:60" ht="24" customHeight="1" x14ac:dyDescent="0.2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  <c r="AB885" s="234"/>
      <c r="AC885" s="234"/>
      <c r="AD885" s="234"/>
      <c r="AE885" s="234"/>
      <c r="AF885" s="234"/>
      <c r="AG885" s="234"/>
      <c r="AH885" s="234"/>
      <c r="AI885" s="234"/>
      <c r="AJ885" s="234"/>
      <c r="AK885" s="234"/>
      <c r="AL885" s="234"/>
      <c r="AM885" s="234"/>
      <c r="AN885" s="201"/>
      <c r="AO885" s="234"/>
      <c r="AP885" s="234"/>
      <c r="AQ885" s="234"/>
      <c r="AR885" s="234"/>
      <c r="AS885" s="234"/>
      <c r="AT885" s="234"/>
      <c r="AU885" s="234"/>
      <c r="AV885" s="234"/>
      <c r="AW885" s="234"/>
      <c r="AX885" s="234"/>
      <c r="AY885" s="234"/>
      <c r="AZ885" s="234"/>
      <c r="BA885" s="234"/>
      <c r="BB885" s="234"/>
      <c r="BC885" s="234"/>
      <c r="BD885" s="234"/>
      <c r="BE885" s="234"/>
      <c r="BF885" s="234"/>
      <c r="BG885" s="234"/>
      <c r="BH885" s="234"/>
    </row>
    <row r="886" spans="1:60" ht="24" customHeight="1" x14ac:dyDescent="0.25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  <c r="AB886" s="234"/>
      <c r="AC886" s="234"/>
      <c r="AD886" s="234"/>
      <c r="AE886" s="234"/>
      <c r="AF886" s="234"/>
      <c r="AG886" s="234"/>
      <c r="AH886" s="234"/>
      <c r="AI886" s="234"/>
      <c r="AJ886" s="234"/>
      <c r="AK886" s="234"/>
      <c r="AL886" s="234"/>
      <c r="AM886" s="234"/>
      <c r="AN886" s="201"/>
      <c r="AO886" s="234"/>
      <c r="AP886" s="234"/>
      <c r="AQ886" s="234"/>
      <c r="AR886" s="234"/>
      <c r="AS886" s="234"/>
      <c r="AT886" s="234"/>
      <c r="AU886" s="234"/>
      <c r="AV886" s="234"/>
      <c r="AW886" s="234"/>
      <c r="AX886" s="234"/>
      <c r="AY886" s="234"/>
      <c r="AZ886" s="234"/>
      <c r="BA886" s="234"/>
      <c r="BB886" s="234"/>
      <c r="BC886" s="234"/>
      <c r="BD886" s="234"/>
      <c r="BE886" s="234"/>
      <c r="BF886" s="234"/>
      <c r="BG886" s="234"/>
      <c r="BH886" s="234"/>
    </row>
    <row r="887" spans="1:60" ht="24" customHeight="1" x14ac:dyDescent="0.25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  <c r="AB887" s="234"/>
      <c r="AC887" s="234"/>
      <c r="AD887" s="234"/>
      <c r="AE887" s="234"/>
      <c r="AF887" s="234"/>
      <c r="AG887" s="234"/>
      <c r="AH887" s="234"/>
      <c r="AI887" s="234"/>
      <c r="AJ887" s="234"/>
      <c r="AK887" s="234"/>
      <c r="AL887" s="234"/>
      <c r="AM887" s="234"/>
      <c r="AN887" s="201"/>
      <c r="AO887" s="234"/>
      <c r="AP887" s="234"/>
      <c r="AQ887" s="234"/>
      <c r="AR887" s="234"/>
      <c r="AS887" s="234"/>
      <c r="AT887" s="234"/>
      <c r="AU887" s="234"/>
      <c r="AV887" s="234"/>
      <c r="AW887" s="234"/>
      <c r="AX887" s="234"/>
      <c r="AY887" s="234"/>
      <c r="AZ887" s="234"/>
      <c r="BA887" s="234"/>
      <c r="BB887" s="234"/>
      <c r="BC887" s="234"/>
      <c r="BD887" s="234"/>
      <c r="BE887" s="234"/>
      <c r="BF887" s="234"/>
      <c r="BG887" s="234"/>
      <c r="BH887" s="234"/>
    </row>
    <row r="888" spans="1:60" ht="24" customHeight="1" x14ac:dyDescent="0.25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  <c r="AB888" s="234"/>
      <c r="AC888" s="234"/>
      <c r="AD888" s="234"/>
      <c r="AE888" s="234"/>
      <c r="AF888" s="234"/>
      <c r="AG888" s="234"/>
      <c r="AH888" s="234"/>
      <c r="AI888" s="234"/>
      <c r="AJ888" s="234"/>
      <c r="AK888" s="234"/>
      <c r="AL888" s="234"/>
      <c r="AM888" s="234"/>
      <c r="AN888" s="201"/>
      <c r="AO888" s="234"/>
      <c r="AP888" s="234"/>
      <c r="AQ888" s="234"/>
      <c r="AR888" s="234"/>
      <c r="AS888" s="234"/>
      <c r="AT888" s="234"/>
      <c r="AU888" s="234"/>
      <c r="AV888" s="234"/>
      <c r="AW888" s="234"/>
      <c r="AX888" s="234"/>
      <c r="AY888" s="234"/>
      <c r="AZ888" s="234"/>
      <c r="BA888" s="234"/>
      <c r="BB888" s="234"/>
      <c r="BC888" s="234"/>
      <c r="BD888" s="234"/>
      <c r="BE888" s="234"/>
      <c r="BF888" s="234"/>
      <c r="BG888" s="234"/>
      <c r="BH888" s="234"/>
    </row>
    <row r="889" spans="1:60" ht="24" customHeight="1" x14ac:dyDescent="0.25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  <c r="AB889" s="234"/>
      <c r="AC889" s="234"/>
      <c r="AD889" s="234"/>
      <c r="AE889" s="234"/>
      <c r="AF889" s="234"/>
      <c r="AG889" s="234"/>
      <c r="AH889" s="234"/>
      <c r="AI889" s="234"/>
      <c r="AJ889" s="234"/>
      <c r="AK889" s="234"/>
      <c r="AL889" s="234"/>
      <c r="AM889" s="234"/>
      <c r="AN889" s="201"/>
      <c r="AO889" s="234"/>
      <c r="AP889" s="234"/>
      <c r="AQ889" s="234"/>
      <c r="AR889" s="234"/>
      <c r="AS889" s="234"/>
      <c r="AT889" s="234"/>
      <c r="AU889" s="234"/>
      <c r="AV889" s="234"/>
      <c r="AW889" s="234"/>
      <c r="AX889" s="234"/>
      <c r="AY889" s="234"/>
      <c r="AZ889" s="234"/>
      <c r="BA889" s="234"/>
      <c r="BB889" s="234"/>
      <c r="BC889" s="234"/>
      <c r="BD889" s="234"/>
      <c r="BE889" s="234"/>
      <c r="BF889" s="234"/>
      <c r="BG889" s="234"/>
      <c r="BH889" s="234"/>
    </row>
    <row r="890" spans="1:60" ht="24" customHeight="1" x14ac:dyDescent="0.25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  <c r="AB890" s="234"/>
      <c r="AC890" s="234"/>
      <c r="AD890" s="234"/>
      <c r="AE890" s="234"/>
      <c r="AF890" s="234"/>
      <c r="AG890" s="234"/>
      <c r="AH890" s="234"/>
      <c r="AI890" s="234"/>
      <c r="AJ890" s="234"/>
      <c r="AK890" s="234"/>
      <c r="AL890" s="234"/>
      <c r="AM890" s="234"/>
      <c r="AN890" s="201"/>
      <c r="AO890" s="234"/>
      <c r="AP890" s="234"/>
      <c r="AQ890" s="234"/>
      <c r="AR890" s="234"/>
      <c r="AS890" s="234"/>
      <c r="AT890" s="234"/>
      <c r="AU890" s="234"/>
      <c r="AV890" s="234"/>
      <c r="AW890" s="234"/>
      <c r="AX890" s="234"/>
      <c r="AY890" s="234"/>
      <c r="AZ890" s="234"/>
      <c r="BA890" s="234"/>
      <c r="BB890" s="234"/>
      <c r="BC890" s="234"/>
      <c r="BD890" s="234"/>
      <c r="BE890" s="234"/>
      <c r="BF890" s="234"/>
      <c r="BG890" s="234"/>
      <c r="BH890" s="234"/>
    </row>
    <row r="891" spans="1:60" ht="24" customHeight="1" x14ac:dyDescent="0.25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  <c r="AB891" s="234"/>
      <c r="AC891" s="234"/>
      <c r="AD891" s="234"/>
      <c r="AE891" s="234"/>
      <c r="AF891" s="234"/>
      <c r="AG891" s="234"/>
      <c r="AH891" s="234"/>
      <c r="AI891" s="234"/>
      <c r="AJ891" s="234"/>
      <c r="AK891" s="234"/>
      <c r="AL891" s="234"/>
      <c r="AM891" s="234"/>
      <c r="AN891" s="201"/>
      <c r="AO891" s="234"/>
      <c r="AP891" s="234"/>
      <c r="AQ891" s="234"/>
      <c r="AR891" s="234"/>
      <c r="AS891" s="234"/>
      <c r="AT891" s="234"/>
      <c r="AU891" s="234"/>
      <c r="AV891" s="234"/>
      <c r="AW891" s="234"/>
      <c r="AX891" s="234"/>
      <c r="AY891" s="234"/>
      <c r="AZ891" s="234"/>
      <c r="BA891" s="234"/>
      <c r="BB891" s="234"/>
      <c r="BC891" s="234"/>
      <c r="BD891" s="234"/>
      <c r="BE891" s="234"/>
      <c r="BF891" s="234"/>
      <c r="BG891" s="234"/>
      <c r="BH891" s="234"/>
    </row>
    <row r="892" spans="1:60" ht="24" customHeight="1" x14ac:dyDescent="0.25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  <c r="AB892" s="234"/>
      <c r="AC892" s="234"/>
      <c r="AD892" s="234"/>
      <c r="AE892" s="234"/>
      <c r="AF892" s="234"/>
      <c r="AG892" s="234"/>
      <c r="AH892" s="234"/>
      <c r="AI892" s="234"/>
      <c r="AJ892" s="234"/>
      <c r="AK892" s="234"/>
      <c r="AL892" s="234"/>
      <c r="AM892" s="234"/>
      <c r="AN892" s="201"/>
      <c r="AO892" s="234"/>
      <c r="AP892" s="234"/>
      <c r="AQ892" s="234"/>
      <c r="AR892" s="234"/>
      <c r="AS892" s="234"/>
      <c r="AT892" s="234"/>
      <c r="AU892" s="234"/>
      <c r="AV892" s="234"/>
      <c r="AW892" s="234"/>
      <c r="AX892" s="234"/>
      <c r="AY892" s="234"/>
      <c r="AZ892" s="234"/>
      <c r="BA892" s="234"/>
      <c r="BB892" s="234"/>
      <c r="BC892" s="234"/>
      <c r="BD892" s="234"/>
      <c r="BE892" s="234"/>
      <c r="BF892" s="234"/>
      <c r="BG892" s="234"/>
      <c r="BH892" s="234"/>
    </row>
    <row r="893" spans="1:60" ht="24" customHeight="1" x14ac:dyDescent="0.25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  <c r="AB893" s="234"/>
      <c r="AC893" s="234"/>
      <c r="AD893" s="234"/>
      <c r="AE893" s="234"/>
      <c r="AF893" s="234"/>
      <c r="AG893" s="234"/>
      <c r="AH893" s="234"/>
      <c r="AI893" s="234"/>
      <c r="AJ893" s="234"/>
      <c r="AK893" s="234"/>
      <c r="AL893" s="234"/>
      <c r="AM893" s="234"/>
      <c r="AN893" s="201"/>
      <c r="AO893" s="234"/>
      <c r="AP893" s="234"/>
      <c r="AQ893" s="234"/>
      <c r="AR893" s="234"/>
      <c r="AS893" s="234"/>
      <c r="AT893" s="234"/>
      <c r="AU893" s="234"/>
      <c r="AV893" s="234"/>
      <c r="AW893" s="234"/>
      <c r="AX893" s="234"/>
      <c r="AY893" s="234"/>
      <c r="AZ893" s="234"/>
      <c r="BA893" s="234"/>
      <c r="BB893" s="234"/>
      <c r="BC893" s="234"/>
      <c r="BD893" s="234"/>
      <c r="BE893" s="234"/>
      <c r="BF893" s="234"/>
      <c r="BG893" s="234"/>
      <c r="BH893" s="234"/>
    </row>
    <row r="894" spans="1:60" ht="24" customHeight="1" x14ac:dyDescent="0.25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  <c r="AB894" s="234"/>
      <c r="AC894" s="234"/>
      <c r="AD894" s="234"/>
      <c r="AE894" s="234"/>
      <c r="AF894" s="234"/>
      <c r="AG894" s="234"/>
      <c r="AH894" s="234"/>
      <c r="AI894" s="234"/>
      <c r="AJ894" s="234"/>
      <c r="AK894" s="234"/>
      <c r="AL894" s="234"/>
      <c r="AM894" s="234"/>
      <c r="AN894" s="201"/>
      <c r="AO894" s="234"/>
      <c r="AP894" s="234"/>
      <c r="AQ894" s="234"/>
      <c r="AR894" s="234"/>
      <c r="AS894" s="234"/>
      <c r="AT894" s="234"/>
      <c r="AU894" s="234"/>
      <c r="AV894" s="234"/>
      <c r="AW894" s="234"/>
      <c r="AX894" s="234"/>
      <c r="AY894" s="234"/>
      <c r="AZ894" s="234"/>
      <c r="BA894" s="234"/>
      <c r="BB894" s="234"/>
      <c r="BC894" s="234"/>
      <c r="BD894" s="234"/>
      <c r="BE894" s="234"/>
      <c r="BF894" s="234"/>
      <c r="BG894" s="234"/>
      <c r="BH894" s="234"/>
    </row>
    <row r="895" spans="1:60" ht="24" customHeight="1" x14ac:dyDescent="0.2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  <c r="AB895" s="234"/>
      <c r="AC895" s="234"/>
      <c r="AD895" s="234"/>
      <c r="AE895" s="234"/>
      <c r="AF895" s="234"/>
      <c r="AG895" s="234"/>
      <c r="AH895" s="234"/>
      <c r="AI895" s="234"/>
      <c r="AJ895" s="234"/>
      <c r="AK895" s="234"/>
      <c r="AL895" s="234"/>
      <c r="AM895" s="234"/>
      <c r="AN895" s="201"/>
      <c r="AO895" s="234"/>
      <c r="AP895" s="234"/>
      <c r="AQ895" s="234"/>
      <c r="AR895" s="234"/>
      <c r="AS895" s="234"/>
      <c r="AT895" s="234"/>
      <c r="AU895" s="234"/>
      <c r="AV895" s="234"/>
      <c r="AW895" s="234"/>
      <c r="AX895" s="234"/>
      <c r="AY895" s="234"/>
      <c r="AZ895" s="234"/>
      <c r="BA895" s="234"/>
      <c r="BB895" s="234"/>
      <c r="BC895" s="234"/>
      <c r="BD895" s="234"/>
      <c r="BE895" s="234"/>
      <c r="BF895" s="234"/>
      <c r="BG895" s="234"/>
      <c r="BH895" s="234"/>
    </row>
    <row r="896" spans="1:60" ht="24" customHeight="1" x14ac:dyDescent="0.25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  <c r="AB896" s="234"/>
      <c r="AC896" s="234"/>
      <c r="AD896" s="234"/>
      <c r="AE896" s="234"/>
      <c r="AF896" s="234"/>
      <c r="AG896" s="234"/>
      <c r="AH896" s="234"/>
      <c r="AI896" s="234"/>
      <c r="AJ896" s="234"/>
      <c r="AK896" s="234"/>
      <c r="AL896" s="234"/>
      <c r="AM896" s="234"/>
      <c r="AN896" s="201"/>
      <c r="AO896" s="234"/>
      <c r="AP896" s="234"/>
      <c r="AQ896" s="234"/>
      <c r="AR896" s="234"/>
      <c r="AS896" s="234"/>
      <c r="AT896" s="234"/>
      <c r="AU896" s="234"/>
      <c r="AV896" s="234"/>
      <c r="AW896" s="234"/>
      <c r="AX896" s="234"/>
      <c r="AY896" s="234"/>
      <c r="AZ896" s="234"/>
      <c r="BA896" s="234"/>
      <c r="BB896" s="234"/>
      <c r="BC896" s="234"/>
      <c r="BD896" s="234"/>
      <c r="BE896" s="234"/>
      <c r="BF896" s="234"/>
      <c r="BG896" s="234"/>
      <c r="BH896" s="234"/>
    </row>
    <row r="897" spans="1:60" ht="24" customHeight="1" x14ac:dyDescent="0.25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  <c r="AB897" s="234"/>
      <c r="AC897" s="234"/>
      <c r="AD897" s="234"/>
      <c r="AE897" s="234"/>
      <c r="AF897" s="234"/>
      <c r="AG897" s="234"/>
      <c r="AH897" s="234"/>
      <c r="AI897" s="234"/>
      <c r="AJ897" s="234"/>
      <c r="AK897" s="234"/>
      <c r="AL897" s="234"/>
      <c r="AM897" s="234"/>
      <c r="AN897" s="201"/>
      <c r="AO897" s="234"/>
      <c r="AP897" s="234"/>
      <c r="AQ897" s="234"/>
      <c r="AR897" s="234"/>
      <c r="AS897" s="234"/>
      <c r="AT897" s="234"/>
      <c r="AU897" s="234"/>
      <c r="AV897" s="234"/>
      <c r="AW897" s="234"/>
      <c r="AX897" s="234"/>
      <c r="AY897" s="234"/>
      <c r="AZ897" s="234"/>
      <c r="BA897" s="234"/>
      <c r="BB897" s="234"/>
      <c r="BC897" s="234"/>
      <c r="BD897" s="234"/>
      <c r="BE897" s="234"/>
      <c r="BF897" s="234"/>
      <c r="BG897" s="234"/>
      <c r="BH897" s="234"/>
    </row>
    <row r="898" spans="1:60" ht="24" customHeight="1" x14ac:dyDescent="0.25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  <c r="AB898" s="234"/>
      <c r="AC898" s="234"/>
      <c r="AD898" s="234"/>
      <c r="AE898" s="234"/>
      <c r="AF898" s="234"/>
      <c r="AG898" s="234"/>
      <c r="AH898" s="234"/>
      <c r="AI898" s="234"/>
      <c r="AJ898" s="234"/>
      <c r="AK898" s="234"/>
      <c r="AL898" s="234"/>
      <c r="AM898" s="234"/>
      <c r="AN898" s="201"/>
      <c r="AO898" s="234"/>
      <c r="AP898" s="234"/>
      <c r="AQ898" s="234"/>
      <c r="AR898" s="234"/>
      <c r="AS898" s="234"/>
      <c r="AT898" s="234"/>
      <c r="AU898" s="234"/>
      <c r="AV898" s="234"/>
      <c r="AW898" s="234"/>
      <c r="AX898" s="234"/>
      <c r="AY898" s="234"/>
      <c r="AZ898" s="234"/>
      <c r="BA898" s="234"/>
      <c r="BB898" s="234"/>
      <c r="BC898" s="234"/>
      <c r="BD898" s="234"/>
      <c r="BE898" s="234"/>
      <c r="BF898" s="234"/>
      <c r="BG898" s="234"/>
      <c r="BH898" s="234"/>
    </row>
    <row r="899" spans="1:60" ht="24" customHeight="1" x14ac:dyDescent="0.25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  <c r="AB899" s="234"/>
      <c r="AC899" s="234"/>
      <c r="AD899" s="234"/>
      <c r="AE899" s="234"/>
      <c r="AF899" s="234"/>
      <c r="AG899" s="234"/>
      <c r="AH899" s="234"/>
      <c r="AI899" s="234"/>
      <c r="AJ899" s="234"/>
      <c r="AK899" s="234"/>
      <c r="AL899" s="234"/>
      <c r="AM899" s="234"/>
      <c r="AN899" s="201"/>
      <c r="AO899" s="234"/>
      <c r="AP899" s="234"/>
      <c r="AQ899" s="234"/>
      <c r="AR899" s="234"/>
      <c r="AS899" s="234"/>
      <c r="AT899" s="234"/>
      <c r="AU899" s="234"/>
      <c r="AV899" s="234"/>
      <c r="AW899" s="234"/>
      <c r="AX899" s="234"/>
      <c r="AY899" s="234"/>
      <c r="AZ899" s="234"/>
      <c r="BA899" s="234"/>
      <c r="BB899" s="234"/>
      <c r="BC899" s="234"/>
      <c r="BD899" s="234"/>
      <c r="BE899" s="234"/>
      <c r="BF899" s="234"/>
      <c r="BG899" s="234"/>
      <c r="BH899" s="234"/>
    </row>
    <row r="900" spans="1:60" ht="24" customHeight="1" x14ac:dyDescent="0.25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  <c r="AB900" s="234"/>
      <c r="AC900" s="234"/>
      <c r="AD900" s="234"/>
      <c r="AE900" s="234"/>
      <c r="AF900" s="234"/>
      <c r="AG900" s="234"/>
      <c r="AH900" s="234"/>
      <c r="AI900" s="234"/>
      <c r="AJ900" s="234"/>
      <c r="AK900" s="234"/>
      <c r="AL900" s="234"/>
      <c r="AM900" s="234"/>
      <c r="AN900" s="201"/>
      <c r="AO900" s="234"/>
      <c r="AP900" s="234"/>
      <c r="AQ900" s="234"/>
      <c r="AR900" s="234"/>
      <c r="AS900" s="234"/>
      <c r="AT900" s="234"/>
      <c r="AU900" s="234"/>
      <c r="AV900" s="234"/>
      <c r="AW900" s="234"/>
      <c r="AX900" s="234"/>
      <c r="AY900" s="234"/>
      <c r="AZ900" s="234"/>
      <c r="BA900" s="234"/>
      <c r="BB900" s="234"/>
      <c r="BC900" s="234"/>
      <c r="BD900" s="234"/>
      <c r="BE900" s="234"/>
      <c r="BF900" s="234"/>
      <c r="BG900" s="234"/>
      <c r="BH900" s="234"/>
    </row>
    <row r="901" spans="1:60" ht="24" customHeight="1" x14ac:dyDescent="0.25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  <c r="AB901" s="234"/>
      <c r="AC901" s="234"/>
      <c r="AD901" s="234"/>
      <c r="AE901" s="234"/>
      <c r="AF901" s="234"/>
      <c r="AG901" s="234"/>
      <c r="AH901" s="234"/>
      <c r="AI901" s="234"/>
      <c r="AJ901" s="234"/>
      <c r="AK901" s="234"/>
      <c r="AL901" s="234"/>
      <c r="AM901" s="234"/>
      <c r="AN901" s="201"/>
      <c r="AO901" s="234"/>
      <c r="AP901" s="234"/>
      <c r="AQ901" s="234"/>
      <c r="AR901" s="234"/>
      <c r="AS901" s="234"/>
      <c r="AT901" s="234"/>
      <c r="AU901" s="234"/>
      <c r="AV901" s="234"/>
      <c r="AW901" s="234"/>
      <c r="AX901" s="234"/>
      <c r="AY901" s="234"/>
      <c r="AZ901" s="234"/>
      <c r="BA901" s="234"/>
      <c r="BB901" s="234"/>
      <c r="BC901" s="234"/>
      <c r="BD901" s="234"/>
      <c r="BE901" s="234"/>
      <c r="BF901" s="234"/>
      <c r="BG901" s="234"/>
      <c r="BH901" s="234"/>
    </row>
    <row r="902" spans="1:60" ht="24" customHeight="1" x14ac:dyDescent="0.25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  <c r="AB902" s="234"/>
      <c r="AC902" s="234"/>
      <c r="AD902" s="234"/>
      <c r="AE902" s="234"/>
      <c r="AF902" s="234"/>
      <c r="AG902" s="234"/>
      <c r="AH902" s="234"/>
      <c r="AI902" s="234"/>
      <c r="AJ902" s="234"/>
      <c r="AK902" s="234"/>
      <c r="AL902" s="234"/>
      <c r="AM902" s="234"/>
      <c r="AN902" s="201"/>
      <c r="AO902" s="234"/>
      <c r="AP902" s="234"/>
      <c r="AQ902" s="234"/>
      <c r="AR902" s="234"/>
      <c r="AS902" s="234"/>
      <c r="AT902" s="234"/>
      <c r="AU902" s="234"/>
      <c r="AV902" s="234"/>
      <c r="AW902" s="234"/>
      <c r="AX902" s="234"/>
      <c r="AY902" s="234"/>
      <c r="AZ902" s="234"/>
      <c r="BA902" s="234"/>
      <c r="BB902" s="234"/>
      <c r="BC902" s="234"/>
      <c r="BD902" s="234"/>
      <c r="BE902" s="234"/>
      <c r="BF902" s="234"/>
      <c r="BG902" s="234"/>
      <c r="BH902" s="234"/>
    </row>
    <row r="903" spans="1:60" ht="24" customHeight="1" x14ac:dyDescent="0.25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  <c r="AB903" s="234"/>
      <c r="AC903" s="234"/>
      <c r="AD903" s="234"/>
      <c r="AE903" s="234"/>
      <c r="AF903" s="234"/>
      <c r="AG903" s="234"/>
      <c r="AH903" s="234"/>
      <c r="AI903" s="234"/>
      <c r="AJ903" s="234"/>
      <c r="AK903" s="234"/>
      <c r="AL903" s="234"/>
      <c r="AM903" s="234"/>
      <c r="AN903" s="201"/>
      <c r="AO903" s="234"/>
      <c r="AP903" s="234"/>
      <c r="AQ903" s="234"/>
      <c r="AR903" s="234"/>
      <c r="AS903" s="234"/>
      <c r="AT903" s="234"/>
      <c r="AU903" s="234"/>
      <c r="AV903" s="234"/>
      <c r="AW903" s="234"/>
      <c r="AX903" s="234"/>
      <c r="AY903" s="234"/>
      <c r="AZ903" s="234"/>
      <c r="BA903" s="234"/>
      <c r="BB903" s="234"/>
      <c r="BC903" s="234"/>
      <c r="BD903" s="234"/>
      <c r="BE903" s="234"/>
      <c r="BF903" s="234"/>
      <c r="BG903" s="234"/>
      <c r="BH903" s="234"/>
    </row>
    <row r="904" spans="1:60" ht="24" customHeight="1" x14ac:dyDescent="0.25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  <c r="AB904" s="234"/>
      <c r="AC904" s="234"/>
      <c r="AD904" s="234"/>
      <c r="AE904" s="234"/>
      <c r="AF904" s="234"/>
      <c r="AG904" s="234"/>
      <c r="AH904" s="234"/>
      <c r="AI904" s="234"/>
      <c r="AJ904" s="234"/>
      <c r="AK904" s="234"/>
      <c r="AL904" s="234"/>
      <c r="AM904" s="234"/>
      <c r="AN904" s="201"/>
      <c r="AO904" s="234"/>
      <c r="AP904" s="234"/>
      <c r="AQ904" s="234"/>
      <c r="AR904" s="234"/>
      <c r="AS904" s="234"/>
      <c r="AT904" s="234"/>
      <c r="AU904" s="234"/>
      <c r="AV904" s="234"/>
      <c r="AW904" s="234"/>
      <c r="AX904" s="234"/>
      <c r="AY904" s="234"/>
      <c r="AZ904" s="234"/>
      <c r="BA904" s="234"/>
      <c r="BB904" s="234"/>
      <c r="BC904" s="234"/>
      <c r="BD904" s="234"/>
      <c r="BE904" s="234"/>
      <c r="BF904" s="234"/>
      <c r="BG904" s="234"/>
      <c r="BH904" s="234"/>
    </row>
    <row r="905" spans="1:60" ht="24" customHeight="1" x14ac:dyDescent="0.2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  <c r="AB905" s="234"/>
      <c r="AC905" s="234"/>
      <c r="AD905" s="234"/>
      <c r="AE905" s="234"/>
      <c r="AF905" s="234"/>
      <c r="AG905" s="234"/>
      <c r="AH905" s="234"/>
      <c r="AI905" s="234"/>
      <c r="AJ905" s="234"/>
      <c r="AK905" s="234"/>
      <c r="AL905" s="234"/>
      <c r="AM905" s="234"/>
      <c r="AN905" s="201"/>
      <c r="AO905" s="234"/>
      <c r="AP905" s="234"/>
      <c r="AQ905" s="234"/>
      <c r="AR905" s="234"/>
      <c r="AS905" s="234"/>
      <c r="AT905" s="234"/>
      <c r="AU905" s="234"/>
      <c r="AV905" s="234"/>
      <c r="AW905" s="234"/>
      <c r="AX905" s="234"/>
      <c r="AY905" s="234"/>
      <c r="AZ905" s="234"/>
      <c r="BA905" s="234"/>
      <c r="BB905" s="234"/>
      <c r="BC905" s="234"/>
      <c r="BD905" s="234"/>
      <c r="BE905" s="234"/>
      <c r="BF905" s="234"/>
      <c r="BG905" s="234"/>
      <c r="BH905" s="234"/>
    </row>
    <row r="906" spans="1:60" ht="24" customHeight="1" x14ac:dyDescent="0.25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  <c r="AB906" s="234"/>
      <c r="AC906" s="234"/>
      <c r="AD906" s="234"/>
      <c r="AE906" s="234"/>
      <c r="AF906" s="234"/>
      <c r="AG906" s="234"/>
      <c r="AH906" s="234"/>
      <c r="AI906" s="234"/>
      <c r="AJ906" s="234"/>
      <c r="AK906" s="234"/>
      <c r="AL906" s="234"/>
      <c r="AM906" s="234"/>
      <c r="AN906" s="201"/>
      <c r="AO906" s="234"/>
      <c r="AP906" s="234"/>
      <c r="AQ906" s="234"/>
      <c r="AR906" s="234"/>
      <c r="AS906" s="234"/>
      <c r="AT906" s="234"/>
      <c r="AU906" s="234"/>
      <c r="AV906" s="234"/>
      <c r="AW906" s="234"/>
      <c r="AX906" s="234"/>
      <c r="AY906" s="234"/>
      <c r="AZ906" s="234"/>
      <c r="BA906" s="234"/>
      <c r="BB906" s="234"/>
      <c r="BC906" s="234"/>
      <c r="BD906" s="234"/>
      <c r="BE906" s="234"/>
      <c r="BF906" s="234"/>
      <c r="BG906" s="234"/>
      <c r="BH906" s="234"/>
    </row>
    <row r="907" spans="1:60" ht="24" customHeight="1" x14ac:dyDescent="0.25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  <c r="AB907" s="234"/>
      <c r="AC907" s="234"/>
      <c r="AD907" s="234"/>
      <c r="AE907" s="234"/>
      <c r="AF907" s="234"/>
      <c r="AG907" s="234"/>
      <c r="AH907" s="234"/>
      <c r="AI907" s="234"/>
      <c r="AJ907" s="234"/>
      <c r="AK907" s="234"/>
      <c r="AL907" s="234"/>
      <c r="AM907" s="234"/>
      <c r="AN907" s="201"/>
      <c r="AO907" s="234"/>
      <c r="AP907" s="234"/>
      <c r="AQ907" s="234"/>
      <c r="AR907" s="234"/>
      <c r="AS907" s="234"/>
      <c r="AT907" s="234"/>
      <c r="AU907" s="234"/>
      <c r="AV907" s="234"/>
      <c r="AW907" s="234"/>
      <c r="AX907" s="234"/>
      <c r="AY907" s="234"/>
      <c r="AZ907" s="234"/>
      <c r="BA907" s="234"/>
      <c r="BB907" s="234"/>
      <c r="BC907" s="234"/>
      <c r="BD907" s="234"/>
      <c r="BE907" s="234"/>
      <c r="BF907" s="234"/>
      <c r="BG907" s="234"/>
      <c r="BH907" s="234"/>
    </row>
    <row r="908" spans="1:60" ht="24" customHeight="1" x14ac:dyDescent="0.25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  <c r="AB908" s="234"/>
      <c r="AC908" s="234"/>
      <c r="AD908" s="234"/>
      <c r="AE908" s="234"/>
      <c r="AF908" s="234"/>
      <c r="AG908" s="234"/>
      <c r="AH908" s="234"/>
      <c r="AI908" s="234"/>
      <c r="AJ908" s="234"/>
      <c r="AK908" s="234"/>
      <c r="AL908" s="234"/>
      <c r="AM908" s="234"/>
      <c r="AN908" s="201"/>
      <c r="AO908" s="234"/>
      <c r="AP908" s="234"/>
      <c r="AQ908" s="234"/>
      <c r="AR908" s="234"/>
      <c r="AS908" s="234"/>
      <c r="AT908" s="234"/>
      <c r="AU908" s="234"/>
      <c r="AV908" s="234"/>
      <c r="AW908" s="234"/>
      <c r="AX908" s="234"/>
      <c r="AY908" s="234"/>
      <c r="AZ908" s="234"/>
      <c r="BA908" s="234"/>
      <c r="BB908" s="234"/>
      <c r="BC908" s="234"/>
      <c r="BD908" s="234"/>
      <c r="BE908" s="234"/>
      <c r="BF908" s="234"/>
      <c r="BG908" s="234"/>
      <c r="BH908" s="234"/>
    </row>
    <row r="909" spans="1:60" ht="24" customHeight="1" x14ac:dyDescent="0.25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  <c r="AB909" s="234"/>
      <c r="AC909" s="234"/>
      <c r="AD909" s="234"/>
      <c r="AE909" s="234"/>
      <c r="AF909" s="234"/>
      <c r="AG909" s="234"/>
      <c r="AH909" s="234"/>
      <c r="AI909" s="234"/>
      <c r="AJ909" s="234"/>
      <c r="AK909" s="234"/>
      <c r="AL909" s="234"/>
      <c r="AM909" s="234"/>
      <c r="AN909" s="201"/>
      <c r="AO909" s="234"/>
      <c r="AP909" s="234"/>
      <c r="AQ909" s="234"/>
      <c r="AR909" s="234"/>
      <c r="AS909" s="234"/>
      <c r="AT909" s="234"/>
      <c r="AU909" s="234"/>
      <c r="AV909" s="234"/>
      <c r="AW909" s="234"/>
      <c r="AX909" s="234"/>
      <c r="AY909" s="234"/>
      <c r="AZ909" s="234"/>
      <c r="BA909" s="234"/>
      <c r="BB909" s="234"/>
      <c r="BC909" s="234"/>
      <c r="BD909" s="234"/>
      <c r="BE909" s="234"/>
      <c r="BF909" s="234"/>
      <c r="BG909" s="234"/>
      <c r="BH909" s="234"/>
    </row>
    <row r="910" spans="1:60" ht="24" customHeight="1" x14ac:dyDescent="0.25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  <c r="AB910" s="234"/>
      <c r="AC910" s="234"/>
      <c r="AD910" s="234"/>
      <c r="AE910" s="234"/>
      <c r="AF910" s="234"/>
      <c r="AG910" s="234"/>
      <c r="AH910" s="234"/>
      <c r="AI910" s="234"/>
      <c r="AJ910" s="234"/>
      <c r="AK910" s="234"/>
      <c r="AL910" s="234"/>
      <c r="AM910" s="234"/>
      <c r="AN910" s="201"/>
      <c r="AO910" s="234"/>
      <c r="AP910" s="234"/>
      <c r="AQ910" s="234"/>
      <c r="AR910" s="234"/>
      <c r="AS910" s="234"/>
      <c r="AT910" s="234"/>
      <c r="AU910" s="234"/>
      <c r="AV910" s="234"/>
      <c r="AW910" s="234"/>
      <c r="AX910" s="234"/>
      <c r="AY910" s="234"/>
      <c r="AZ910" s="234"/>
      <c r="BA910" s="234"/>
      <c r="BB910" s="234"/>
      <c r="BC910" s="234"/>
      <c r="BD910" s="234"/>
      <c r="BE910" s="234"/>
      <c r="BF910" s="234"/>
      <c r="BG910" s="234"/>
      <c r="BH910" s="234"/>
    </row>
    <row r="911" spans="1:60" ht="24" customHeight="1" x14ac:dyDescent="0.25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  <c r="AB911" s="234"/>
      <c r="AC911" s="234"/>
      <c r="AD911" s="234"/>
      <c r="AE911" s="234"/>
      <c r="AF911" s="234"/>
      <c r="AG911" s="234"/>
      <c r="AH911" s="234"/>
      <c r="AI911" s="234"/>
      <c r="AJ911" s="234"/>
      <c r="AK911" s="234"/>
      <c r="AL911" s="234"/>
      <c r="AM911" s="234"/>
      <c r="AN911" s="201"/>
      <c r="AO911" s="234"/>
      <c r="AP911" s="234"/>
      <c r="AQ911" s="234"/>
      <c r="AR911" s="234"/>
      <c r="AS911" s="234"/>
      <c r="AT911" s="234"/>
      <c r="AU911" s="234"/>
      <c r="AV911" s="234"/>
      <c r="AW911" s="234"/>
      <c r="AX911" s="234"/>
      <c r="AY911" s="234"/>
      <c r="AZ911" s="234"/>
      <c r="BA911" s="234"/>
      <c r="BB911" s="234"/>
      <c r="BC911" s="234"/>
      <c r="BD911" s="234"/>
      <c r="BE911" s="234"/>
      <c r="BF911" s="234"/>
      <c r="BG911" s="234"/>
      <c r="BH911" s="234"/>
    </row>
    <row r="912" spans="1:60" ht="24" customHeight="1" x14ac:dyDescent="0.25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  <c r="AB912" s="234"/>
      <c r="AC912" s="234"/>
      <c r="AD912" s="234"/>
      <c r="AE912" s="234"/>
      <c r="AF912" s="234"/>
      <c r="AG912" s="234"/>
      <c r="AH912" s="234"/>
      <c r="AI912" s="234"/>
      <c r="AJ912" s="234"/>
      <c r="AK912" s="234"/>
      <c r="AL912" s="234"/>
      <c r="AM912" s="234"/>
      <c r="AN912" s="201"/>
      <c r="AO912" s="234"/>
      <c r="AP912" s="234"/>
      <c r="AQ912" s="234"/>
      <c r="AR912" s="234"/>
      <c r="AS912" s="234"/>
      <c r="AT912" s="234"/>
      <c r="AU912" s="234"/>
      <c r="AV912" s="234"/>
      <c r="AW912" s="234"/>
      <c r="AX912" s="234"/>
      <c r="AY912" s="234"/>
      <c r="AZ912" s="234"/>
      <c r="BA912" s="234"/>
      <c r="BB912" s="234"/>
      <c r="BC912" s="234"/>
      <c r="BD912" s="234"/>
      <c r="BE912" s="234"/>
      <c r="BF912" s="234"/>
      <c r="BG912" s="234"/>
      <c r="BH912" s="234"/>
    </row>
    <row r="913" spans="1:60" ht="24" customHeight="1" x14ac:dyDescent="0.25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  <c r="AC913" s="234"/>
      <c r="AD913" s="234"/>
      <c r="AE913" s="234"/>
      <c r="AF913" s="234"/>
      <c r="AG913" s="234"/>
      <c r="AH913" s="234"/>
      <c r="AI913" s="234"/>
      <c r="AJ913" s="234"/>
      <c r="AK913" s="234"/>
      <c r="AL913" s="234"/>
      <c r="AM913" s="234"/>
      <c r="AN913" s="201"/>
      <c r="AO913" s="234"/>
      <c r="AP913" s="234"/>
      <c r="AQ913" s="234"/>
      <c r="AR913" s="234"/>
      <c r="AS913" s="234"/>
      <c r="AT913" s="234"/>
      <c r="AU913" s="234"/>
      <c r="AV913" s="234"/>
      <c r="AW913" s="234"/>
      <c r="AX913" s="234"/>
      <c r="AY913" s="234"/>
      <c r="AZ913" s="234"/>
      <c r="BA913" s="234"/>
      <c r="BB913" s="234"/>
      <c r="BC913" s="234"/>
      <c r="BD913" s="234"/>
      <c r="BE913" s="234"/>
      <c r="BF913" s="234"/>
      <c r="BG913" s="234"/>
      <c r="BH913" s="234"/>
    </row>
    <row r="914" spans="1:60" ht="24" customHeight="1" x14ac:dyDescent="0.25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  <c r="AB914" s="234"/>
      <c r="AC914" s="234"/>
      <c r="AD914" s="234"/>
      <c r="AE914" s="234"/>
      <c r="AF914" s="234"/>
      <c r="AG914" s="234"/>
      <c r="AH914" s="234"/>
      <c r="AI914" s="234"/>
      <c r="AJ914" s="234"/>
      <c r="AK914" s="234"/>
      <c r="AL914" s="234"/>
      <c r="AM914" s="234"/>
      <c r="AN914" s="201"/>
      <c r="AO914" s="234"/>
      <c r="AP914" s="234"/>
      <c r="AQ914" s="234"/>
      <c r="AR914" s="234"/>
      <c r="AS914" s="234"/>
      <c r="AT914" s="234"/>
      <c r="AU914" s="234"/>
      <c r="AV914" s="234"/>
      <c r="AW914" s="234"/>
      <c r="AX914" s="234"/>
      <c r="AY914" s="234"/>
      <c r="AZ914" s="234"/>
      <c r="BA914" s="234"/>
      <c r="BB914" s="234"/>
      <c r="BC914" s="234"/>
      <c r="BD914" s="234"/>
      <c r="BE914" s="234"/>
      <c r="BF914" s="234"/>
      <c r="BG914" s="234"/>
      <c r="BH914" s="234"/>
    </row>
    <row r="915" spans="1:60" ht="24" customHeight="1" x14ac:dyDescent="0.2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  <c r="AB915" s="234"/>
      <c r="AC915" s="234"/>
      <c r="AD915" s="234"/>
      <c r="AE915" s="234"/>
      <c r="AF915" s="234"/>
      <c r="AG915" s="234"/>
      <c r="AH915" s="234"/>
      <c r="AI915" s="234"/>
      <c r="AJ915" s="234"/>
      <c r="AK915" s="234"/>
      <c r="AL915" s="234"/>
      <c r="AM915" s="234"/>
      <c r="AN915" s="201"/>
      <c r="AO915" s="234"/>
      <c r="AP915" s="234"/>
      <c r="AQ915" s="234"/>
      <c r="AR915" s="234"/>
      <c r="AS915" s="234"/>
      <c r="AT915" s="234"/>
      <c r="AU915" s="234"/>
      <c r="AV915" s="234"/>
      <c r="AW915" s="234"/>
      <c r="AX915" s="234"/>
      <c r="AY915" s="234"/>
      <c r="AZ915" s="234"/>
      <c r="BA915" s="234"/>
      <c r="BB915" s="234"/>
      <c r="BC915" s="234"/>
      <c r="BD915" s="234"/>
      <c r="BE915" s="234"/>
      <c r="BF915" s="234"/>
      <c r="BG915" s="234"/>
      <c r="BH915" s="234"/>
    </row>
    <row r="916" spans="1:60" ht="24" customHeight="1" x14ac:dyDescent="0.25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  <c r="AB916" s="234"/>
      <c r="AC916" s="234"/>
      <c r="AD916" s="234"/>
      <c r="AE916" s="234"/>
      <c r="AF916" s="234"/>
      <c r="AG916" s="234"/>
      <c r="AH916" s="234"/>
      <c r="AI916" s="234"/>
      <c r="AJ916" s="234"/>
      <c r="AK916" s="234"/>
      <c r="AL916" s="234"/>
      <c r="AM916" s="234"/>
      <c r="AN916" s="201"/>
      <c r="AO916" s="234"/>
      <c r="AP916" s="234"/>
      <c r="AQ916" s="234"/>
      <c r="AR916" s="234"/>
      <c r="AS916" s="234"/>
      <c r="AT916" s="234"/>
      <c r="AU916" s="234"/>
      <c r="AV916" s="234"/>
      <c r="AW916" s="234"/>
      <c r="AX916" s="234"/>
      <c r="AY916" s="234"/>
      <c r="AZ916" s="234"/>
      <c r="BA916" s="234"/>
      <c r="BB916" s="234"/>
      <c r="BC916" s="234"/>
      <c r="BD916" s="234"/>
      <c r="BE916" s="234"/>
      <c r="BF916" s="234"/>
      <c r="BG916" s="234"/>
      <c r="BH916" s="234"/>
    </row>
    <row r="917" spans="1:60" ht="24" customHeight="1" x14ac:dyDescent="0.25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  <c r="AB917" s="234"/>
      <c r="AC917" s="234"/>
      <c r="AD917" s="234"/>
      <c r="AE917" s="234"/>
      <c r="AF917" s="234"/>
      <c r="AG917" s="234"/>
      <c r="AH917" s="234"/>
      <c r="AI917" s="234"/>
      <c r="AJ917" s="234"/>
      <c r="AK917" s="234"/>
      <c r="AL917" s="234"/>
      <c r="AM917" s="234"/>
      <c r="AN917" s="201"/>
      <c r="AO917" s="234"/>
      <c r="AP917" s="234"/>
      <c r="AQ917" s="234"/>
      <c r="AR917" s="234"/>
      <c r="AS917" s="234"/>
      <c r="AT917" s="234"/>
      <c r="AU917" s="234"/>
      <c r="AV917" s="234"/>
      <c r="AW917" s="234"/>
      <c r="AX917" s="234"/>
      <c r="AY917" s="234"/>
      <c r="AZ917" s="234"/>
      <c r="BA917" s="234"/>
      <c r="BB917" s="234"/>
      <c r="BC917" s="234"/>
      <c r="BD917" s="234"/>
      <c r="BE917" s="234"/>
      <c r="BF917" s="234"/>
      <c r="BG917" s="234"/>
      <c r="BH917" s="234"/>
    </row>
    <row r="918" spans="1:60" ht="24" customHeight="1" x14ac:dyDescent="0.25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  <c r="AB918" s="234"/>
      <c r="AC918" s="234"/>
      <c r="AD918" s="234"/>
      <c r="AE918" s="234"/>
      <c r="AF918" s="234"/>
      <c r="AG918" s="234"/>
      <c r="AH918" s="234"/>
      <c r="AI918" s="234"/>
      <c r="AJ918" s="234"/>
      <c r="AK918" s="234"/>
      <c r="AL918" s="234"/>
      <c r="AM918" s="234"/>
      <c r="AN918" s="201"/>
      <c r="AO918" s="234"/>
      <c r="AP918" s="234"/>
      <c r="AQ918" s="234"/>
      <c r="AR918" s="234"/>
      <c r="AS918" s="234"/>
      <c r="AT918" s="234"/>
      <c r="AU918" s="234"/>
      <c r="AV918" s="234"/>
      <c r="AW918" s="234"/>
      <c r="AX918" s="234"/>
      <c r="AY918" s="234"/>
      <c r="AZ918" s="234"/>
      <c r="BA918" s="234"/>
      <c r="BB918" s="234"/>
      <c r="BC918" s="234"/>
      <c r="BD918" s="234"/>
      <c r="BE918" s="234"/>
      <c r="BF918" s="234"/>
      <c r="BG918" s="234"/>
      <c r="BH918" s="234"/>
    </row>
    <row r="919" spans="1:60" ht="24" customHeight="1" x14ac:dyDescent="0.25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  <c r="AB919" s="234"/>
      <c r="AC919" s="234"/>
      <c r="AD919" s="234"/>
      <c r="AE919" s="234"/>
      <c r="AF919" s="234"/>
      <c r="AG919" s="234"/>
      <c r="AH919" s="234"/>
      <c r="AI919" s="234"/>
      <c r="AJ919" s="234"/>
      <c r="AK919" s="234"/>
      <c r="AL919" s="234"/>
      <c r="AM919" s="234"/>
      <c r="AN919" s="201"/>
      <c r="AO919" s="234"/>
      <c r="AP919" s="234"/>
      <c r="AQ919" s="234"/>
      <c r="AR919" s="234"/>
      <c r="AS919" s="234"/>
      <c r="AT919" s="234"/>
      <c r="AU919" s="234"/>
      <c r="AV919" s="234"/>
      <c r="AW919" s="234"/>
      <c r="AX919" s="234"/>
      <c r="AY919" s="234"/>
      <c r="AZ919" s="234"/>
      <c r="BA919" s="234"/>
      <c r="BB919" s="234"/>
      <c r="BC919" s="234"/>
      <c r="BD919" s="234"/>
      <c r="BE919" s="234"/>
      <c r="BF919" s="234"/>
      <c r="BG919" s="234"/>
      <c r="BH919" s="234"/>
    </row>
    <row r="920" spans="1:60" ht="24" customHeight="1" x14ac:dyDescent="0.25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  <c r="AB920" s="234"/>
      <c r="AC920" s="234"/>
      <c r="AD920" s="234"/>
      <c r="AE920" s="234"/>
      <c r="AF920" s="234"/>
      <c r="AG920" s="234"/>
      <c r="AH920" s="234"/>
      <c r="AI920" s="234"/>
      <c r="AJ920" s="234"/>
      <c r="AK920" s="234"/>
      <c r="AL920" s="234"/>
      <c r="AM920" s="234"/>
      <c r="AN920" s="201"/>
      <c r="AO920" s="234"/>
      <c r="AP920" s="234"/>
      <c r="AQ920" s="234"/>
      <c r="AR920" s="234"/>
      <c r="AS920" s="234"/>
      <c r="AT920" s="234"/>
      <c r="AU920" s="234"/>
      <c r="AV920" s="234"/>
      <c r="AW920" s="234"/>
      <c r="AX920" s="234"/>
      <c r="AY920" s="234"/>
      <c r="AZ920" s="234"/>
      <c r="BA920" s="234"/>
      <c r="BB920" s="234"/>
      <c r="BC920" s="234"/>
      <c r="BD920" s="234"/>
      <c r="BE920" s="234"/>
      <c r="BF920" s="234"/>
      <c r="BG920" s="234"/>
      <c r="BH920" s="234"/>
    </row>
    <row r="921" spans="1:60" ht="24" customHeight="1" x14ac:dyDescent="0.25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  <c r="AB921" s="234"/>
      <c r="AC921" s="234"/>
      <c r="AD921" s="234"/>
      <c r="AE921" s="234"/>
      <c r="AF921" s="234"/>
      <c r="AG921" s="234"/>
      <c r="AH921" s="234"/>
      <c r="AI921" s="234"/>
      <c r="AJ921" s="234"/>
      <c r="AK921" s="234"/>
      <c r="AL921" s="234"/>
      <c r="AM921" s="234"/>
      <c r="AN921" s="201"/>
      <c r="AO921" s="234"/>
      <c r="AP921" s="234"/>
      <c r="AQ921" s="234"/>
      <c r="AR921" s="234"/>
      <c r="AS921" s="234"/>
      <c r="AT921" s="234"/>
      <c r="AU921" s="234"/>
      <c r="AV921" s="234"/>
      <c r="AW921" s="234"/>
      <c r="AX921" s="234"/>
      <c r="AY921" s="234"/>
      <c r="AZ921" s="234"/>
      <c r="BA921" s="234"/>
      <c r="BB921" s="234"/>
      <c r="BC921" s="234"/>
      <c r="BD921" s="234"/>
      <c r="BE921" s="234"/>
      <c r="BF921" s="234"/>
      <c r="BG921" s="234"/>
      <c r="BH921" s="234"/>
    </row>
    <row r="922" spans="1:60" ht="24" customHeight="1" x14ac:dyDescent="0.25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  <c r="AB922" s="234"/>
      <c r="AC922" s="234"/>
      <c r="AD922" s="234"/>
      <c r="AE922" s="234"/>
      <c r="AF922" s="234"/>
      <c r="AG922" s="234"/>
      <c r="AH922" s="234"/>
      <c r="AI922" s="234"/>
      <c r="AJ922" s="234"/>
      <c r="AK922" s="234"/>
      <c r="AL922" s="234"/>
      <c r="AM922" s="234"/>
      <c r="AN922" s="201"/>
      <c r="AO922" s="234"/>
      <c r="AP922" s="234"/>
      <c r="AQ922" s="234"/>
      <c r="AR922" s="234"/>
      <c r="AS922" s="234"/>
      <c r="AT922" s="234"/>
      <c r="AU922" s="234"/>
      <c r="AV922" s="234"/>
      <c r="AW922" s="234"/>
      <c r="AX922" s="234"/>
      <c r="AY922" s="234"/>
      <c r="AZ922" s="234"/>
      <c r="BA922" s="234"/>
      <c r="BB922" s="234"/>
      <c r="BC922" s="234"/>
      <c r="BD922" s="234"/>
      <c r="BE922" s="234"/>
      <c r="BF922" s="234"/>
      <c r="BG922" s="234"/>
      <c r="BH922" s="234"/>
    </row>
    <row r="923" spans="1:60" ht="24" customHeight="1" x14ac:dyDescent="0.25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  <c r="AB923" s="234"/>
      <c r="AC923" s="234"/>
      <c r="AD923" s="234"/>
      <c r="AE923" s="234"/>
      <c r="AF923" s="234"/>
      <c r="AG923" s="234"/>
      <c r="AH923" s="234"/>
      <c r="AI923" s="234"/>
      <c r="AJ923" s="234"/>
      <c r="AK923" s="234"/>
      <c r="AL923" s="234"/>
      <c r="AM923" s="234"/>
      <c r="AN923" s="201"/>
      <c r="AO923" s="234"/>
      <c r="AP923" s="234"/>
      <c r="AQ923" s="234"/>
      <c r="AR923" s="234"/>
      <c r="AS923" s="234"/>
      <c r="AT923" s="234"/>
      <c r="AU923" s="234"/>
      <c r="AV923" s="234"/>
      <c r="AW923" s="234"/>
      <c r="AX923" s="234"/>
      <c r="AY923" s="234"/>
      <c r="AZ923" s="234"/>
      <c r="BA923" s="234"/>
      <c r="BB923" s="234"/>
      <c r="BC923" s="234"/>
      <c r="BD923" s="234"/>
      <c r="BE923" s="234"/>
      <c r="BF923" s="234"/>
      <c r="BG923" s="234"/>
      <c r="BH923" s="234"/>
    </row>
    <row r="924" spans="1:60" ht="24" customHeight="1" x14ac:dyDescent="0.25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  <c r="AB924" s="234"/>
      <c r="AC924" s="234"/>
      <c r="AD924" s="234"/>
      <c r="AE924" s="234"/>
      <c r="AF924" s="234"/>
      <c r="AG924" s="234"/>
      <c r="AH924" s="234"/>
      <c r="AI924" s="234"/>
      <c r="AJ924" s="234"/>
      <c r="AK924" s="234"/>
      <c r="AL924" s="234"/>
      <c r="AM924" s="234"/>
      <c r="AN924" s="201"/>
      <c r="AO924" s="234"/>
      <c r="AP924" s="234"/>
      <c r="AQ924" s="234"/>
      <c r="AR924" s="234"/>
      <c r="AS924" s="234"/>
      <c r="AT924" s="234"/>
      <c r="AU924" s="234"/>
      <c r="AV924" s="234"/>
      <c r="AW924" s="234"/>
      <c r="AX924" s="234"/>
      <c r="AY924" s="234"/>
      <c r="AZ924" s="234"/>
      <c r="BA924" s="234"/>
      <c r="BB924" s="234"/>
      <c r="BC924" s="234"/>
      <c r="BD924" s="234"/>
      <c r="BE924" s="234"/>
      <c r="BF924" s="234"/>
      <c r="BG924" s="234"/>
      <c r="BH924" s="234"/>
    </row>
    <row r="925" spans="1:60" ht="24" customHeight="1" x14ac:dyDescent="0.2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  <c r="AB925" s="234"/>
      <c r="AC925" s="234"/>
      <c r="AD925" s="234"/>
      <c r="AE925" s="234"/>
      <c r="AF925" s="234"/>
      <c r="AG925" s="234"/>
      <c r="AH925" s="234"/>
      <c r="AI925" s="234"/>
      <c r="AJ925" s="234"/>
      <c r="AK925" s="234"/>
      <c r="AL925" s="234"/>
      <c r="AM925" s="234"/>
      <c r="AN925" s="201"/>
      <c r="AO925" s="234"/>
      <c r="AP925" s="234"/>
      <c r="AQ925" s="234"/>
      <c r="AR925" s="234"/>
      <c r="AS925" s="234"/>
      <c r="AT925" s="234"/>
      <c r="AU925" s="234"/>
      <c r="AV925" s="234"/>
      <c r="AW925" s="234"/>
      <c r="AX925" s="234"/>
      <c r="AY925" s="234"/>
      <c r="AZ925" s="234"/>
      <c r="BA925" s="234"/>
      <c r="BB925" s="234"/>
      <c r="BC925" s="234"/>
      <c r="BD925" s="234"/>
      <c r="BE925" s="234"/>
      <c r="BF925" s="234"/>
      <c r="BG925" s="234"/>
      <c r="BH925" s="234"/>
    </row>
    <row r="926" spans="1:60" ht="24" customHeight="1" x14ac:dyDescent="0.25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  <c r="AB926" s="234"/>
      <c r="AC926" s="234"/>
      <c r="AD926" s="234"/>
      <c r="AE926" s="234"/>
      <c r="AF926" s="234"/>
      <c r="AG926" s="234"/>
      <c r="AH926" s="234"/>
      <c r="AI926" s="234"/>
      <c r="AJ926" s="234"/>
      <c r="AK926" s="234"/>
      <c r="AL926" s="234"/>
      <c r="AM926" s="234"/>
      <c r="AN926" s="201"/>
      <c r="AO926" s="234"/>
      <c r="AP926" s="234"/>
      <c r="AQ926" s="234"/>
      <c r="AR926" s="234"/>
      <c r="AS926" s="234"/>
      <c r="AT926" s="234"/>
      <c r="AU926" s="234"/>
      <c r="AV926" s="234"/>
      <c r="AW926" s="234"/>
      <c r="AX926" s="234"/>
      <c r="AY926" s="234"/>
      <c r="AZ926" s="234"/>
      <c r="BA926" s="234"/>
      <c r="BB926" s="234"/>
      <c r="BC926" s="234"/>
      <c r="BD926" s="234"/>
      <c r="BE926" s="234"/>
      <c r="BF926" s="234"/>
      <c r="BG926" s="234"/>
      <c r="BH926" s="234"/>
    </row>
    <row r="927" spans="1:60" ht="24" customHeight="1" x14ac:dyDescent="0.25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  <c r="AB927" s="234"/>
      <c r="AC927" s="234"/>
      <c r="AD927" s="234"/>
      <c r="AE927" s="234"/>
      <c r="AF927" s="234"/>
      <c r="AG927" s="234"/>
      <c r="AH927" s="234"/>
      <c r="AI927" s="234"/>
      <c r="AJ927" s="234"/>
      <c r="AK927" s="234"/>
      <c r="AL927" s="234"/>
      <c r="AM927" s="234"/>
      <c r="AN927" s="201"/>
      <c r="AO927" s="234"/>
      <c r="AP927" s="234"/>
      <c r="AQ927" s="234"/>
      <c r="AR927" s="234"/>
      <c r="AS927" s="234"/>
      <c r="AT927" s="234"/>
      <c r="AU927" s="234"/>
      <c r="AV927" s="234"/>
      <c r="AW927" s="234"/>
      <c r="AX927" s="234"/>
      <c r="AY927" s="234"/>
      <c r="AZ927" s="234"/>
      <c r="BA927" s="234"/>
      <c r="BB927" s="234"/>
      <c r="BC927" s="234"/>
      <c r="BD927" s="234"/>
      <c r="BE927" s="234"/>
      <c r="BF927" s="234"/>
      <c r="BG927" s="234"/>
      <c r="BH927" s="234"/>
    </row>
    <row r="928" spans="1:60" ht="24" customHeight="1" x14ac:dyDescent="0.25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  <c r="AB928" s="234"/>
      <c r="AC928" s="234"/>
      <c r="AD928" s="234"/>
      <c r="AE928" s="234"/>
      <c r="AF928" s="234"/>
      <c r="AG928" s="234"/>
      <c r="AH928" s="234"/>
      <c r="AI928" s="234"/>
      <c r="AJ928" s="234"/>
      <c r="AK928" s="234"/>
      <c r="AL928" s="234"/>
      <c r="AM928" s="234"/>
      <c r="AN928" s="201"/>
      <c r="AO928" s="234"/>
      <c r="AP928" s="234"/>
      <c r="AQ928" s="234"/>
      <c r="AR928" s="234"/>
      <c r="AS928" s="234"/>
      <c r="AT928" s="234"/>
      <c r="AU928" s="234"/>
      <c r="AV928" s="234"/>
      <c r="AW928" s="234"/>
      <c r="AX928" s="234"/>
      <c r="AY928" s="234"/>
      <c r="AZ928" s="234"/>
      <c r="BA928" s="234"/>
      <c r="BB928" s="234"/>
      <c r="BC928" s="234"/>
      <c r="BD928" s="234"/>
      <c r="BE928" s="234"/>
      <c r="BF928" s="234"/>
      <c r="BG928" s="234"/>
      <c r="BH928" s="234"/>
    </row>
    <row r="929" spans="1:60" ht="24" customHeight="1" x14ac:dyDescent="0.25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  <c r="AB929" s="234"/>
      <c r="AC929" s="234"/>
      <c r="AD929" s="234"/>
      <c r="AE929" s="234"/>
      <c r="AF929" s="234"/>
      <c r="AG929" s="234"/>
      <c r="AH929" s="234"/>
      <c r="AI929" s="234"/>
      <c r="AJ929" s="234"/>
      <c r="AK929" s="234"/>
      <c r="AL929" s="234"/>
      <c r="AM929" s="234"/>
      <c r="AN929" s="201"/>
      <c r="AO929" s="234"/>
      <c r="AP929" s="234"/>
      <c r="AQ929" s="234"/>
      <c r="AR929" s="234"/>
      <c r="AS929" s="234"/>
      <c r="AT929" s="234"/>
      <c r="AU929" s="234"/>
      <c r="AV929" s="234"/>
      <c r="AW929" s="234"/>
      <c r="AX929" s="234"/>
      <c r="AY929" s="234"/>
      <c r="AZ929" s="234"/>
      <c r="BA929" s="234"/>
      <c r="BB929" s="234"/>
      <c r="BC929" s="234"/>
      <c r="BD929" s="234"/>
      <c r="BE929" s="234"/>
      <c r="BF929" s="234"/>
      <c r="BG929" s="234"/>
      <c r="BH929" s="234"/>
    </row>
    <row r="930" spans="1:60" ht="24" customHeight="1" x14ac:dyDescent="0.25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  <c r="AB930" s="234"/>
      <c r="AC930" s="234"/>
      <c r="AD930" s="234"/>
      <c r="AE930" s="234"/>
      <c r="AF930" s="234"/>
      <c r="AG930" s="234"/>
      <c r="AH930" s="234"/>
      <c r="AI930" s="234"/>
      <c r="AJ930" s="234"/>
      <c r="AK930" s="234"/>
      <c r="AL930" s="234"/>
      <c r="AM930" s="234"/>
      <c r="AN930" s="201"/>
      <c r="AO930" s="234"/>
      <c r="AP930" s="234"/>
      <c r="AQ930" s="234"/>
      <c r="AR930" s="234"/>
      <c r="AS930" s="234"/>
      <c r="AT930" s="234"/>
      <c r="AU930" s="234"/>
      <c r="AV930" s="234"/>
      <c r="AW930" s="234"/>
      <c r="AX930" s="234"/>
      <c r="AY930" s="234"/>
      <c r="AZ930" s="234"/>
      <c r="BA930" s="234"/>
      <c r="BB930" s="234"/>
      <c r="BC930" s="234"/>
      <c r="BD930" s="234"/>
      <c r="BE930" s="234"/>
      <c r="BF930" s="234"/>
      <c r="BG930" s="234"/>
      <c r="BH930" s="234"/>
    </row>
    <row r="931" spans="1:60" ht="24" customHeight="1" x14ac:dyDescent="0.25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  <c r="AB931" s="234"/>
      <c r="AC931" s="234"/>
      <c r="AD931" s="234"/>
      <c r="AE931" s="234"/>
      <c r="AF931" s="234"/>
      <c r="AG931" s="234"/>
      <c r="AH931" s="234"/>
      <c r="AI931" s="234"/>
      <c r="AJ931" s="234"/>
      <c r="AK931" s="234"/>
      <c r="AL931" s="234"/>
      <c r="AM931" s="234"/>
      <c r="AN931" s="201"/>
      <c r="AO931" s="234"/>
      <c r="AP931" s="234"/>
      <c r="AQ931" s="234"/>
      <c r="AR931" s="234"/>
      <c r="AS931" s="234"/>
      <c r="AT931" s="234"/>
      <c r="AU931" s="234"/>
      <c r="AV931" s="234"/>
      <c r="AW931" s="234"/>
      <c r="AX931" s="234"/>
      <c r="AY931" s="234"/>
      <c r="AZ931" s="234"/>
      <c r="BA931" s="234"/>
      <c r="BB931" s="234"/>
      <c r="BC931" s="234"/>
      <c r="BD931" s="234"/>
      <c r="BE931" s="234"/>
      <c r="BF931" s="234"/>
      <c r="BG931" s="234"/>
      <c r="BH931" s="234"/>
    </row>
    <row r="932" spans="1:60" ht="24" customHeight="1" x14ac:dyDescent="0.25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  <c r="AB932" s="234"/>
      <c r="AC932" s="234"/>
      <c r="AD932" s="234"/>
      <c r="AE932" s="234"/>
      <c r="AF932" s="234"/>
      <c r="AG932" s="234"/>
      <c r="AH932" s="234"/>
      <c r="AI932" s="234"/>
      <c r="AJ932" s="234"/>
      <c r="AK932" s="234"/>
      <c r="AL932" s="234"/>
      <c r="AM932" s="234"/>
      <c r="AN932" s="201"/>
      <c r="AO932" s="234"/>
      <c r="AP932" s="234"/>
      <c r="AQ932" s="234"/>
      <c r="AR932" s="234"/>
      <c r="AS932" s="234"/>
      <c r="AT932" s="234"/>
      <c r="AU932" s="234"/>
      <c r="AV932" s="234"/>
      <c r="AW932" s="234"/>
      <c r="AX932" s="234"/>
      <c r="AY932" s="234"/>
      <c r="AZ932" s="234"/>
      <c r="BA932" s="234"/>
      <c r="BB932" s="234"/>
      <c r="BC932" s="234"/>
      <c r="BD932" s="234"/>
      <c r="BE932" s="234"/>
      <c r="BF932" s="234"/>
      <c r="BG932" s="234"/>
      <c r="BH932" s="234"/>
    </row>
    <row r="933" spans="1:60" ht="24" customHeight="1" x14ac:dyDescent="0.25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  <c r="AB933" s="234"/>
      <c r="AC933" s="234"/>
      <c r="AD933" s="234"/>
      <c r="AE933" s="234"/>
      <c r="AF933" s="234"/>
      <c r="AG933" s="234"/>
      <c r="AH933" s="234"/>
      <c r="AI933" s="234"/>
      <c r="AJ933" s="234"/>
      <c r="AK933" s="234"/>
      <c r="AL933" s="234"/>
      <c r="AM933" s="234"/>
      <c r="AN933" s="201"/>
      <c r="AO933" s="234"/>
      <c r="AP933" s="234"/>
      <c r="AQ933" s="234"/>
      <c r="AR933" s="234"/>
      <c r="AS933" s="234"/>
      <c r="AT933" s="234"/>
      <c r="AU933" s="234"/>
      <c r="AV933" s="234"/>
      <c r="AW933" s="234"/>
      <c r="AX933" s="234"/>
      <c r="AY933" s="234"/>
      <c r="AZ933" s="234"/>
      <c r="BA933" s="234"/>
      <c r="BB933" s="234"/>
      <c r="BC933" s="234"/>
      <c r="BD933" s="234"/>
      <c r="BE933" s="234"/>
      <c r="BF933" s="234"/>
      <c r="BG933" s="234"/>
      <c r="BH933" s="234"/>
    </row>
    <row r="934" spans="1:60" ht="24" customHeight="1" x14ac:dyDescent="0.25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  <c r="AB934" s="234"/>
      <c r="AC934" s="234"/>
      <c r="AD934" s="234"/>
      <c r="AE934" s="234"/>
      <c r="AF934" s="234"/>
      <c r="AG934" s="234"/>
      <c r="AH934" s="234"/>
      <c r="AI934" s="234"/>
      <c r="AJ934" s="234"/>
      <c r="AK934" s="234"/>
      <c r="AL934" s="234"/>
      <c r="AM934" s="234"/>
      <c r="AN934" s="201"/>
      <c r="AO934" s="234"/>
      <c r="AP934" s="234"/>
      <c r="AQ934" s="234"/>
      <c r="AR934" s="234"/>
      <c r="AS934" s="234"/>
      <c r="AT934" s="234"/>
      <c r="AU934" s="234"/>
      <c r="AV934" s="234"/>
      <c r="AW934" s="234"/>
      <c r="AX934" s="234"/>
      <c r="AY934" s="234"/>
      <c r="AZ934" s="234"/>
      <c r="BA934" s="234"/>
      <c r="BB934" s="234"/>
      <c r="BC934" s="234"/>
      <c r="BD934" s="234"/>
      <c r="BE934" s="234"/>
      <c r="BF934" s="234"/>
      <c r="BG934" s="234"/>
      <c r="BH934" s="234"/>
    </row>
    <row r="935" spans="1:60" ht="24" customHeight="1" x14ac:dyDescent="0.2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  <c r="AB935" s="234"/>
      <c r="AC935" s="234"/>
      <c r="AD935" s="234"/>
      <c r="AE935" s="234"/>
      <c r="AF935" s="234"/>
      <c r="AG935" s="234"/>
      <c r="AH935" s="234"/>
      <c r="AI935" s="234"/>
      <c r="AJ935" s="234"/>
      <c r="AK935" s="234"/>
      <c r="AL935" s="234"/>
      <c r="AM935" s="234"/>
      <c r="AN935" s="201"/>
      <c r="AO935" s="234"/>
      <c r="AP935" s="234"/>
      <c r="AQ935" s="234"/>
      <c r="AR935" s="234"/>
      <c r="AS935" s="234"/>
      <c r="AT935" s="234"/>
      <c r="AU935" s="234"/>
      <c r="AV935" s="234"/>
      <c r="AW935" s="234"/>
      <c r="AX935" s="234"/>
      <c r="AY935" s="234"/>
      <c r="AZ935" s="234"/>
      <c r="BA935" s="234"/>
      <c r="BB935" s="234"/>
      <c r="BC935" s="234"/>
      <c r="BD935" s="234"/>
      <c r="BE935" s="234"/>
      <c r="BF935" s="234"/>
      <c r="BG935" s="234"/>
      <c r="BH935" s="234"/>
    </row>
    <row r="936" spans="1:60" ht="24" customHeight="1" x14ac:dyDescent="0.25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  <c r="AB936" s="234"/>
      <c r="AC936" s="234"/>
      <c r="AD936" s="234"/>
      <c r="AE936" s="234"/>
      <c r="AF936" s="234"/>
      <c r="AG936" s="234"/>
      <c r="AH936" s="234"/>
      <c r="AI936" s="234"/>
      <c r="AJ936" s="234"/>
      <c r="AK936" s="234"/>
      <c r="AL936" s="234"/>
      <c r="AM936" s="234"/>
      <c r="AN936" s="201"/>
      <c r="AO936" s="234"/>
      <c r="AP936" s="234"/>
      <c r="AQ936" s="234"/>
      <c r="AR936" s="234"/>
      <c r="AS936" s="234"/>
      <c r="AT936" s="234"/>
      <c r="AU936" s="234"/>
      <c r="AV936" s="234"/>
      <c r="AW936" s="234"/>
      <c r="AX936" s="234"/>
      <c r="AY936" s="234"/>
      <c r="AZ936" s="234"/>
      <c r="BA936" s="234"/>
      <c r="BB936" s="234"/>
      <c r="BC936" s="234"/>
      <c r="BD936" s="234"/>
      <c r="BE936" s="234"/>
      <c r="BF936" s="234"/>
      <c r="BG936" s="234"/>
      <c r="BH936" s="234"/>
    </row>
    <row r="937" spans="1:60" ht="24" customHeight="1" x14ac:dyDescent="0.25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  <c r="AB937" s="234"/>
      <c r="AC937" s="234"/>
      <c r="AD937" s="234"/>
      <c r="AE937" s="234"/>
      <c r="AF937" s="234"/>
      <c r="AG937" s="234"/>
      <c r="AH937" s="234"/>
      <c r="AI937" s="234"/>
      <c r="AJ937" s="234"/>
      <c r="AK937" s="234"/>
      <c r="AL937" s="234"/>
      <c r="AM937" s="234"/>
      <c r="AN937" s="201"/>
      <c r="AO937" s="234"/>
      <c r="AP937" s="234"/>
      <c r="AQ937" s="234"/>
      <c r="AR937" s="234"/>
      <c r="AS937" s="234"/>
      <c r="AT937" s="234"/>
      <c r="AU937" s="234"/>
      <c r="AV937" s="234"/>
      <c r="AW937" s="234"/>
      <c r="AX937" s="234"/>
      <c r="AY937" s="234"/>
      <c r="AZ937" s="234"/>
      <c r="BA937" s="234"/>
      <c r="BB937" s="234"/>
      <c r="BC937" s="234"/>
      <c r="BD937" s="234"/>
      <c r="BE937" s="234"/>
      <c r="BF937" s="234"/>
      <c r="BG937" s="234"/>
      <c r="BH937" s="234"/>
    </row>
    <row r="938" spans="1:60" ht="24" customHeight="1" x14ac:dyDescent="0.25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  <c r="AB938" s="234"/>
      <c r="AC938" s="234"/>
      <c r="AD938" s="234"/>
      <c r="AE938" s="234"/>
      <c r="AF938" s="234"/>
      <c r="AG938" s="234"/>
      <c r="AH938" s="234"/>
      <c r="AI938" s="234"/>
      <c r="AJ938" s="234"/>
      <c r="AK938" s="234"/>
      <c r="AL938" s="234"/>
      <c r="AM938" s="234"/>
      <c r="AN938" s="201"/>
      <c r="AO938" s="234"/>
      <c r="AP938" s="234"/>
      <c r="AQ938" s="234"/>
      <c r="AR938" s="234"/>
      <c r="AS938" s="234"/>
      <c r="AT938" s="234"/>
      <c r="AU938" s="234"/>
      <c r="AV938" s="234"/>
      <c r="AW938" s="234"/>
      <c r="AX938" s="234"/>
      <c r="AY938" s="234"/>
      <c r="AZ938" s="234"/>
      <c r="BA938" s="234"/>
      <c r="BB938" s="234"/>
      <c r="BC938" s="234"/>
      <c r="BD938" s="234"/>
      <c r="BE938" s="234"/>
      <c r="BF938" s="234"/>
      <c r="BG938" s="234"/>
      <c r="BH938" s="234"/>
    </row>
    <row r="939" spans="1:60" ht="24" customHeight="1" x14ac:dyDescent="0.25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  <c r="AB939" s="234"/>
      <c r="AC939" s="234"/>
      <c r="AD939" s="234"/>
      <c r="AE939" s="234"/>
      <c r="AF939" s="234"/>
      <c r="AG939" s="234"/>
      <c r="AH939" s="234"/>
      <c r="AI939" s="234"/>
      <c r="AJ939" s="234"/>
      <c r="AK939" s="234"/>
      <c r="AL939" s="234"/>
      <c r="AM939" s="234"/>
      <c r="AN939" s="201"/>
      <c r="AO939" s="234"/>
      <c r="AP939" s="234"/>
      <c r="AQ939" s="234"/>
      <c r="AR939" s="234"/>
      <c r="AS939" s="234"/>
      <c r="AT939" s="234"/>
      <c r="AU939" s="234"/>
      <c r="AV939" s="234"/>
      <c r="AW939" s="234"/>
      <c r="AX939" s="234"/>
      <c r="AY939" s="234"/>
      <c r="AZ939" s="234"/>
      <c r="BA939" s="234"/>
      <c r="BB939" s="234"/>
      <c r="BC939" s="234"/>
      <c r="BD939" s="234"/>
      <c r="BE939" s="234"/>
      <c r="BF939" s="234"/>
      <c r="BG939" s="234"/>
      <c r="BH939" s="234"/>
    </row>
    <row r="940" spans="1:60" ht="24" customHeight="1" x14ac:dyDescent="0.25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  <c r="AB940" s="234"/>
      <c r="AC940" s="234"/>
      <c r="AD940" s="234"/>
      <c r="AE940" s="234"/>
      <c r="AF940" s="234"/>
      <c r="AG940" s="234"/>
      <c r="AH940" s="234"/>
      <c r="AI940" s="234"/>
      <c r="AJ940" s="234"/>
      <c r="AK940" s="234"/>
      <c r="AL940" s="234"/>
      <c r="AM940" s="234"/>
      <c r="AN940" s="201"/>
      <c r="AO940" s="234"/>
      <c r="AP940" s="234"/>
      <c r="AQ940" s="234"/>
      <c r="AR940" s="234"/>
      <c r="AS940" s="234"/>
      <c r="AT940" s="234"/>
      <c r="AU940" s="234"/>
      <c r="AV940" s="234"/>
      <c r="AW940" s="234"/>
      <c r="AX940" s="234"/>
      <c r="AY940" s="234"/>
      <c r="AZ940" s="234"/>
      <c r="BA940" s="234"/>
      <c r="BB940" s="234"/>
      <c r="BC940" s="234"/>
      <c r="BD940" s="234"/>
      <c r="BE940" s="234"/>
      <c r="BF940" s="234"/>
      <c r="BG940" s="234"/>
      <c r="BH940" s="234"/>
    </row>
    <row r="941" spans="1:60" ht="24" customHeight="1" x14ac:dyDescent="0.25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  <c r="AB941" s="234"/>
      <c r="AC941" s="234"/>
      <c r="AD941" s="234"/>
      <c r="AE941" s="234"/>
      <c r="AF941" s="234"/>
      <c r="AG941" s="234"/>
      <c r="AH941" s="234"/>
      <c r="AI941" s="234"/>
      <c r="AJ941" s="234"/>
      <c r="AK941" s="234"/>
      <c r="AL941" s="234"/>
      <c r="AM941" s="234"/>
      <c r="AN941" s="201"/>
      <c r="AO941" s="234"/>
      <c r="AP941" s="234"/>
      <c r="AQ941" s="234"/>
      <c r="AR941" s="234"/>
      <c r="AS941" s="234"/>
      <c r="AT941" s="234"/>
      <c r="AU941" s="234"/>
      <c r="AV941" s="234"/>
      <c r="AW941" s="234"/>
      <c r="AX941" s="234"/>
      <c r="AY941" s="234"/>
      <c r="AZ941" s="234"/>
      <c r="BA941" s="234"/>
      <c r="BB941" s="234"/>
      <c r="BC941" s="234"/>
      <c r="BD941" s="234"/>
      <c r="BE941" s="234"/>
      <c r="BF941" s="234"/>
      <c r="BG941" s="234"/>
      <c r="BH941" s="234"/>
    </row>
    <row r="942" spans="1:60" ht="24" customHeight="1" x14ac:dyDescent="0.25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  <c r="AB942" s="234"/>
      <c r="AC942" s="234"/>
      <c r="AD942" s="234"/>
      <c r="AE942" s="234"/>
      <c r="AF942" s="234"/>
      <c r="AG942" s="234"/>
      <c r="AH942" s="234"/>
      <c r="AI942" s="234"/>
      <c r="AJ942" s="234"/>
      <c r="AK942" s="234"/>
      <c r="AL942" s="234"/>
      <c r="AM942" s="234"/>
      <c r="AN942" s="201"/>
      <c r="AO942" s="234"/>
      <c r="AP942" s="234"/>
      <c r="AQ942" s="234"/>
      <c r="AR942" s="234"/>
      <c r="AS942" s="234"/>
      <c r="AT942" s="234"/>
      <c r="AU942" s="234"/>
      <c r="AV942" s="234"/>
      <c r="AW942" s="234"/>
      <c r="AX942" s="234"/>
      <c r="AY942" s="234"/>
      <c r="AZ942" s="234"/>
      <c r="BA942" s="234"/>
      <c r="BB942" s="234"/>
      <c r="BC942" s="234"/>
      <c r="BD942" s="234"/>
      <c r="BE942" s="234"/>
      <c r="BF942" s="234"/>
      <c r="BG942" s="234"/>
      <c r="BH942" s="234"/>
    </row>
    <row r="943" spans="1:60" ht="24" customHeight="1" x14ac:dyDescent="0.25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  <c r="AB943" s="234"/>
      <c r="AC943" s="234"/>
      <c r="AD943" s="234"/>
      <c r="AE943" s="234"/>
      <c r="AF943" s="234"/>
      <c r="AG943" s="234"/>
      <c r="AH943" s="234"/>
      <c r="AI943" s="234"/>
      <c r="AJ943" s="234"/>
      <c r="AK943" s="234"/>
      <c r="AL943" s="234"/>
      <c r="AM943" s="234"/>
      <c r="AN943" s="201"/>
      <c r="AO943" s="234"/>
      <c r="AP943" s="234"/>
      <c r="AQ943" s="234"/>
      <c r="AR943" s="234"/>
      <c r="AS943" s="234"/>
      <c r="AT943" s="234"/>
      <c r="AU943" s="234"/>
      <c r="AV943" s="234"/>
      <c r="AW943" s="234"/>
      <c r="AX943" s="234"/>
      <c r="AY943" s="234"/>
      <c r="AZ943" s="234"/>
      <c r="BA943" s="234"/>
      <c r="BB943" s="234"/>
      <c r="BC943" s="234"/>
      <c r="BD943" s="234"/>
      <c r="BE943" s="234"/>
      <c r="BF943" s="234"/>
      <c r="BG943" s="234"/>
      <c r="BH943" s="234"/>
    </row>
    <row r="944" spans="1:60" ht="24" customHeight="1" x14ac:dyDescent="0.25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  <c r="AB944" s="234"/>
      <c r="AC944" s="234"/>
      <c r="AD944" s="234"/>
      <c r="AE944" s="234"/>
      <c r="AF944" s="234"/>
      <c r="AG944" s="234"/>
      <c r="AH944" s="234"/>
      <c r="AI944" s="234"/>
      <c r="AJ944" s="234"/>
      <c r="AK944" s="234"/>
      <c r="AL944" s="234"/>
      <c r="AM944" s="234"/>
      <c r="AN944" s="201"/>
      <c r="AO944" s="234"/>
      <c r="AP944" s="234"/>
      <c r="AQ944" s="234"/>
      <c r="AR944" s="234"/>
      <c r="AS944" s="234"/>
      <c r="AT944" s="234"/>
      <c r="AU944" s="234"/>
      <c r="AV944" s="234"/>
      <c r="AW944" s="234"/>
      <c r="AX944" s="234"/>
      <c r="AY944" s="234"/>
      <c r="AZ944" s="234"/>
      <c r="BA944" s="234"/>
      <c r="BB944" s="234"/>
      <c r="BC944" s="234"/>
      <c r="BD944" s="234"/>
      <c r="BE944" s="234"/>
      <c r="BF944" s="234"/>
      <c r="BG944" s="234"/>
      <c r="BH944" s="234"/>
    </row>
  </sheetData>
  <mergeCells count="47">
    <mergeCell ref="B2:B25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3:I13"/>
    <mergeCell ref="J13:O13"/>
    <mergeCell ref="P13:U13"/>
    <mergeCell ref="C5:C13"/>
    <mergeCell ref="D9:E9"/>
    <mergeCell ref="F9:G9"/>
    <mergeCell ref="T14:U14"/>
    <mergeCell ref="N9:O9"/>
    <mergeCell ref="P9:Q9"/>
    <mergeCell ref="R9:S9"/>
    <mergeCell ref="T9:U9"/>
    <mergeCell ref="N14:O14"/>
    <mergeCell ref="P14:S14"/>
    <mergeCell ref="H9:I9"/>
    <mergeCell ref="J9:K9"/>
    <mergeCell ref="L9:M9"/>
    <mergeCell ref="D25:G25"/>
    <mergeCell ref="H25:I25"/>
    <mergeCell ref="D14:G14"/>
    <mergeCell ref="H14:I14"/>
    <mergeCell ref="J14:M14"/>
    <mergeCell ref="J25:M25"/>
    <mergeCell ref="N25:O25"/>
    <mergeCell ref="C15:C16"/>
    <mergeCell ref="D15:U15"/>
    <mergeCell ref="D16:I16"/>
    <mergeCell ref="J16:O16"/>
    <mergeCell ref="P16:U25"/>
    <mergeCell ref="C17:C24"/>
    <mergeCell ref="J20:K20"/>
    <mergeCell ref="L20:M20"/>
    <mergeCell ref="N20:O20"/>
    <mergeCell ref="D21:E21"/>
    <mergeCell ref="F21:G21"/>
    <mergeCell ref="H21:I21"/>
    <mergeCell ref="D24:I24"/>
    <mergeCell ref="J24:O24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22" priority="2" stopIfTrue="1">
      <formula>LEN($D4)=14</formula>
    </cfRule>
  </conditionalFormatting>
  <conditionalFormatting sqref="J4:O4">
    <cfRule type="expression" dxfId="121" priority="3">
      <formula>LEN($J4)=14</formula>
    </cfRule>
  </conditionalFormatting>
  <conditionalFormatting sqref="P4:U4">
    <cfRule type="expression" dxfId="120" priority="4">
      <formula>LEN($P4)=14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8AA6-4930-4C05-ABFA-EC5D858D8AD1}">
  <dimension ref="A1:BO946"/>
  <sheetViews>
    <sheetView zoomScale="70" zoomScaleNormal="70" workbookViewId="0">
      <selection activeCell="B2" sqref="B2:Y22"/>
    </sheetView>
  </sheetViews>
  <sheetFormatPr defaultColWidth="8.7109375" defaultRowHeight="24" customHeight="1" x14ac:dyDescent="0.25"/>
  <cols>
    <col min="1" max="16384" width="8.7109375" style="202"/>
  </cols>
  <sheetData>
    <row r="1" spans="1:67" ht="24" customHeight="1" thickBot="1" x14ac:dyDescent="0.3">
      <c r="A1" s="234"/>
      <c r="B1" s="200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4"/>
      <c r="AS1" s="234"/>
      <c r="AT1" s="234"/>
      <c r="AU1" s="234"/>
      <c r="AV1" s="234"/>
      <c r="AW1" s="234"/>
      <c r="AX1" s="234"/>
      <c r="AY1" s="234"/>
      <c r="AZ1" s="234"/>
      <c r="BA1" s="234"/>
      <c r="BB1" s="234"/>
      <c r="BC1" s="234"/>
      <c r="BD1" s="234"/>
      <c r="BE1" s="234"/>
      <c r="BF1" s="234"/>
      <c r="BG1" s="234"/>
      <c r="BH1" s="234"/>
      <c r="BI1" s="234"/>
      <c r="BJ1" s="234"/>
      <c r="BK1" s="234"/>
      <c r="BL1" s="234"/>
      <c r="BM1" s="234"/>
      <c r="BN1" s="234"/>
      <c r="BO1" s="234"/>
    </row>
    <row r="2" spans="1:67" ht="24" customHeight="1" thickBot="1" x14ac:dyDescent="0.3">
      <c r="A2" s="234"/>
      <c r="B2" s="295" t="s">
        <v>112</v>
      </c>
      <c r="C2" s="330" t="s">
        <v>113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4"/>
      <c r="V2" s="297" t="s">
        <v>114</v>
      </c>
      <c r="W2" s="287"/>
      <c r="X2" s="287"/>
      <c r="Y2" s="284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35"/>
      <c r="AL2" s="235"/>
      <c r="AM2" s="235"/>
      <c r="AN2" s="235"/>
      <c r="AO2" s="235"/>
      <c r="AP2" s="235"/>
      <c r="AQ2" s="235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234"/>
      <c r="BD2" s="234"/>
      <c r="BE2" s="234"/>
      <c r="BF2" s="234"/>
      <c r="BG2" s="234"/>
      <c r="BH2" s="234"/>
      <c r="BI2" s="234"/>
      <c r="BJ2" s="234"/>
      <c r="BK2" s="234"/>
      <c r="BL2" s="234"/>
      <c r="BM2" s="234"/>
      <c r="BN2" s="234"/>
      <c r="BO2" s="234"/>
    </row>
    <row r="3" spans="1:67" ht="24" customHeight="1" thickBot="1" x14ac:dyDescent="0.3">
      <c r="A3" s="234"/>
      <c r="B3" s="293"/>
      <c r="C3" s="325">
        <v>1.3888888888888888E-2</v>
      </c>
      <c r="D3" s="369" t="s">
        <v>115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4"/>
      <c r="V3" s="298" t="s">
        <v>103</v>
      </c>
      <c r="W3" s="287"/>
      <c r="X3" s="287"/>
      <c r="Y3" s="284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35"/>
      <c r="AL3" s="235"/>
      <c r="AM3" s="235"/>
      <c r="AN3" s="235"/>
      <c r="AO3" s="235"/>
      <c r="AP3" s="235"/>
      <c r="AQ3" s="235"/>
      <c r="AR3" s="234"/>
      <c r="AS3" s="234"/>
      <c r="AT3" s="234"/>
      <c r="AU3" s="234"/>
      <c r="AV3" s="234"/>
      <c r="AW3" s="234"/>
      <c r="AX3" s="234"/>
      <c r="AY3" s="234"/>
      <c r="AZ3" s="234"/>
      <c r="BA3" s="234"/>
      <c r="BB3" s="234"/>
      <c r="BC3" s="234"/>
      <c r="BD3" s="234"/>
      <c r="BE3" s="234"/>
      <c r="BF3" s="234"/>
      <c r="BG3" s="234"/>
      <c r="BH3" s="234"/>
      <c r="BI3" s="234"/>
      <c r="BJ3" s="234"/>
      <c r="BK3" s="234"/>
      <c r="BL3" s="234"/>
      <c r="BM3" s="234"/>
      <c r="BN3" s="234"/>
      <c r="BO3" s="234"/>
    </row>
    <row r="4" spans="1:67" ht="24" customHeight="1" thickBot="1" x14ac:dyDescent="0.3">
      <c r="A4" s="234"/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1" t="s">
        <v>6</v>
      </c>
      <c r="Q4" s="287"/>
      <c r="R4" s="287"/>
      <c r="S4" s="287"/>
      <c r="T4" s="287"/>
      <c r="U4" s="284"/>
      <c r="V4" s="268" t="s">
        <v>14</v>
      </c>
      <c r="W4" s="269" t="s">
        <v>15</v>
      </c>
      <c r="X4" s="269" t="s">
        <v>14</v>
      </c>
      <c r="Y4" s="204" t="s">
        <v>15</v>
      </c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35"/>
      <c r="AL4" s="235"/>
      <c r="AM4" s="235"/>
      <c r="AN4" s="235"/>
      <c r="AO4" s="235"/>
      <c r="AP4" s="235"/>
      <c r="AQ4" s="235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4"/>
      <c r="BL4" s="234"/>
      <c r="BM4" s="234"/>
      <c r="BN4" s="234"/>
      <c r="BO4" s="234"/>
    </row>
    <row r="5" spans="1:67" ht="24" customHeight="1" thickBot="1" x14ac:dyDescent="0.3">
      <c r="A5" s="234"/>
      <c r="B5" s="293"/>
      <c r="C5" s="292" t="s">
        <v>7</v>
      </c>
      <c r="D5" s="270" t="s">
        <v>8</v>
      </c>
      <c r="E5" s="270" t="s">
        <v>9</v>
      </c>
      <c r="F5" s="270" t="s">
        <v>10</v>
      </c>
      <c r="G5" s="270" t="s">
        <v>11</v>
      </c>
      <c r="H5" s="270" t="s">
        <v>12</v>
      </c>
      <c r="I5" s="270" t="s">
        <v>116</v>
      </c>
      <c r="J5" s="270" t="s">
        <v>8</v>
      </c>
      <c r="K5" s="270" t="s">
        <v>9</v>
      </c>
      <c r="L5" s="270" t="s">
        <v>10</v>
      </c>
      <c r="M5" s="270" t="s">
        <v>11</v>
      </c>
      <c r="N5" s="270" t="s">
        <v>12</v>
      </c>
      <c r="O5" s="270" t="s">
        <v>116</v>
      </c>
      <c r="P5" s="270" t="s">
        <v>8</v>
      </c>
      <c r="Q5" s="270" t="s">
        <v>9</v>
      </c>
      <c r="R5" s="270" t="s">
        <v>10</v>
      </c>
      <c r="S5" s="270" t="s">
        <v>11</v>
      </c>
      <c r="T5" s="270" t="s">
        <v>12</v>
      </c>
      <c r="U5" s="270" t="s">
        <v>116</v>
      </c>
      <c r="V5" s="206">
        <v>0.22916666666666666</v>
      </c>
      <c r="W5" s="271"/>
      <c r="X5" s="207">
        <v>0.57986111111111105</v>
      </c>
      <c r="Y5" s="272">
        <f>X5-V16</f>
        <v>2.4305555555555469E-2</v>
      </c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35"/>
      <c r="AL5" s="235"/>
      <c r="AM5" s="235"/>
      <c r="AN5" s="235"/>
      <c r="AO5" s="235"/>
      <c r="AP5" s="235"/>
      <c r="AQ5" s="235"/>
      <c r="AR5" s="234"/>
      <c r="AS5" s="234"/>
      <c r="AT5" s="234"/>
      <c r="AU5" s="234"/>
      <c r="AV5" s="234"/>
      <c r="AW5" s="234"/>
      <c r="AX5" s="234"/>
      <c r="AY5" s="234"/>
      <c r="AZ5" s="234"/>
      <c r="BA5" s="234"/>
      <c r="BB5" s="234"/>
      <c r="BC5" s="234"/>
      <c r="BD5" s="234"/>
      <c r="BE5" s="234"/>
      <c r="BF5" s="234"/>
      <c r="BG5" s="234"/>
      <c r="BH5" s="234"/>
      <c r="BI5" s="234"/>
      <c r="BJ5" s="234"/>
      <c r="BK5" s="234"/>
      <c r="BL5" s="234"/>
      <c r="BM5" s="234"/>
      <c r="BN5" s="234"/>
      <c r="BO5" s="234"/>
    </row>
    <row r="6" spans="1:67" ht="24" customHeight="1" x14ac:dyDescent="0.25">
      <c r="A6" s="234"/>
      <c r="B6" s="293"/>
      <c r="C6" s="293"/>
      <c r="D6" s="206">
        <v>0.22916666666666666</v>
      </c>
      <c r="E6" s="207">
        <v>0.25694444444444448</v>
      </c>
      <c r="F6" s="207">
        <v>0.28888888888888892</v>
      </c>
      <c r="G6" s="208">
        <f t="shared" ref="G6:G7" si="0">F6-D6</f>
        <v>5.972222222222226E-2</v>
      </c>
      <c r="H6" s="209">
        <v>129</v>
      </c>
      <c r="I6" s="210">
        <v>1</v>
      </c>
      <c r="J6" s="206">
        <v>0.25347222222222221</v>
      </c>
      <c r="K6" s="207">
        <v>0.28194444444444444</v>
      </c>
      <c r="L6" s="207">
        <v>0.31527777777777777</v>
      </c>
      <c r="M6" s="208">
        <f t="shared" ref="M6:M8" si="1">L6-J6</f>
        <v>6.1805555555555558E-2</v>
      </c>
      <c r="N6" s="209">
        <v>129</v>
      </c>
      <c r="O6" s="210">
        <v>2</v>
      </c>
      <c r="P6" s="206">
        <v>0.27777777777777779</v>
      </c>
      <c r="Q6" s="207">
        <v>0.30624999999999997</v>
      </c>
      <c r="R6" s="207">
        <v>0.34097222222222223</v>
      </c>
      <c r="S6" s="208">
        <f t="shared" ref="S6:S7" si="2">R6-P6</f>
        <v>6.3194444444444442E-2</v>
      </c>
      <c r="T6" s="209">
        <v>129</v>
      </c>
      <c r="U6" s="210">
        <v>3</v>
      </c>
      <c r="V6" s="213">
        <v>0.25347222222222221</v>
      </c>
      <c r="W6" s="241">
        <f t="shared" ref="W6:W16" si="3">V6-V5</f>
        <v>2.4305555555555552E-2</v>
      </c>
      <c r="X6" s="214">
        <v>0.60416666666666663</v>
      </c>
      <c r="Y6" s="273">
        <f t="shared" ref="Y6:Y16" si="4">X6-X5</f>
        <v>2.430555555555558E-2</v>
      </c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35"/>
      <c r="AL6" s="235"/>
      <c r="AM6" s="235"/>
      <c r="AN6" s="235"/>
      <c r="AO6" s="235"/>
      <c r="AP6" s="235"/>
      <c r="AQ6" s="235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</row>
    <row r="7" spans="1:67" ht="24" customHeight="1" thickBot="1" x14ac:dyDescent="0.3">
      <c r="A7" s="234"/>
      <c r="B7" s="293"/>
      <c r="C7" s="293"/>
      <c r="D7" s="213">
        <v>0.30208333333333331</v>
      </c>
      <c r="E7" s="214">
        <v>0.33124999999999999</v>
      </c>
      <c r="F7" s="214">
        <v>0.3659722222222222</v>
      </c>
      <c r="G7" s="215">
        <f t="shared" si="0"/>
        <v>6.3888888888888884E-2</v>
      </c>
      <c r="H7" s="216">
        <v>129</v>
      </c>
      <c r="I7" s="217">
        <v>1</v>
      </c>
      <c r="J7" s="213">
        <v>0.3263888888888889</v>
      </c>
      <c r="K7" s="214">
        <v>0.35555555555555557</v>
      </c>
      <c r="L7" s="214">
        <v>0.39097222222222222</v>
      </c>
      <c r="M7" s="215">
        <f t="shared" si="1"/>
        <v>6.4583333333333326E-2</v>
      </c>
      <c r="N7" s="216">
        <v>129</v>
      </c>
      <c r="O7" s="217">
        <v>2</v>
      </c>
      <c r="P7" s="213">
        <v>0.35416666666666669</v>
      </c>
      <c r="Q7" s="214">
        <v>0.38541666666666669</v>
      </c>
      <c r="R7" s="214">
        <v>0.42430555555555555</v>
      </c>
      <c r="S7" s="215">
        <f t="shared" si="2"/>
        <v>7.0138888888888862E-2</v>
      </c>
      <c r="T7" s="216">
        <v>129</v>
      </c>
      <c r="U7" s="217">
        <v>3</v>
      </c>
      <c r="V7" s="213">
        <v>0.27777777777777779</v>
      </c>
      <c r="W7" s="241">
        <f t="shared" si="3"/>
        <v>2.430555555555558E-2</v>
      </c>
      <c r="X7" s="214">
        <v>0.62847222222222221</v>
      </c>
      <c r="Y7" s="273">
        <f t="shared" si="4"/>
        <v>2.430555555555558E-2</v>
      </c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35"/>
      <c r="AL7" s="235"/>
      <c r="AM7" s="235"/>
      <c r="AN7" s="235"/>
      <c r="AO7" s="235"/>
      <c r="AP7" s="235"/>
      <c r="AQ7" s="235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K7" s="234"/>
      <c r="BL7" s="234"/>
      <c r="BM7" s="234"/>
      <c r="BN7" s="234"/>
      <c r="BO7" s="234"/>
    </row>
    <row r="8" spans="1:67" ht="24" customHeight="1" thickBot="1" x14ac:dyDescent="0.3">
      <c r="A8" s="234"/>
      <c r="B8" s="293"/>
      <c r="C8" s="293"/>
      <c r="D8" s="283">
        <f>F7</f>
        <v>0.3659722222222222</v>
      </c>
      <c r="E8" s="287"/>
      <c r="F8" s="283">
        <f>D9</f>
        <v>0.43402777777777773</v>
      </c>
      <c r="G8" s="284"/>
      <c r="H8" s="283">
        <f>F8-D8</f>
        <v>6.8055555555555536E-2</v>
      </c>
      <c r="I8" s="284"/>
      <c r="J8" s="213">
        <v>0.39930555555555558</v>
      </c>
      <c r="K8" s="214">
        <v>0.4284722222222222</v>
      </c>
      <c r="L8" s="214">
        <v>0.46597222222222223</v>
      </c>
      <c r="M8" s="215">
        <f t="shared" si="1"/>
        <v>6.6666666666666652E-2</v>
      </c>
      <c r="N8" s="216">
        <v>129</v>
      </c>
      <c r="O8" s="217">
        <v>2</v>
      </c>
      <c r="P8" s="283">
        <f>R7</f>
        <v>0.42430555555555555</v>
      </c>
      <c r="Q8" s="287"/>
      <c r="R8" s="283">
        <f>P9</f>
        <v>0.46875</v>
      </c>
      <c r="S8" s="284"/>
      <c r="T8" s="283">
        <f>R8-P8</f>
        <v>4.4444444444444453E-2</v>
      </c>
      <c r="U8" s="284"/>
      <c r="V8" s="213">
        <v>0.30208333333333331</v>
      </c>
      <c r="W8" s="241">
        <f t="shared" si="3"/>
        <v>2.4305555555555525E-2</v>
      </c>
      <c r="X8" s="214">
        <v>0.65277777777777779</v>
      </c>
      <c r="Y8" s="273">
        <f t="shared" si="4"/>
        <v>2.430555555555558E-2</v>
      </c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35"/>
      <c r="AL8" s="235"/>
      <c r="AM8" s="235"/>
      <c r="AN8" s="235"/>
      <c r="AO8" s="235"/>
      <c r="AP8" s="235"/>
      <c r="AQ8" s="235"/>
      <c r="AR8" s="234"/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  <c r="BE8" s="234"/>
      <c r="BF8" s="234"/>
      <c r="BG8" s="234"/>
      <c r="BH8" s="234"/>
      <c r="BI8" s="234"/>
      <c r="BJ8" s="234"/>
      <c r="BK8" s="234"/>
      <c r="BL8" s="234"/>
      <c r="BM8" s="234"/>
      <c r="BN8" s="234"/>
      <c r="BO8" s="234"/>
    </row>
    <row r="9" spans="1:67" ht="24" customHeight="1" thickBot="1" x14ac:dyDescent="0.3">
      <c r="A9" s="234"/>
      <c r="B9" s="293"/>
      <c r="C9" s="293"/>
      <c r="D9" s="213">
        <v>0.43402777777777773</v>
      </c>
      <c r="E9" s="214">
        <v>0.46319444444444446</v>
      </c>
      <c r="F9" s="214">
        <v>0.4993055555555555</v>
      </c>
      <c r="G9" s="215">
        <f t="shared" ref="G9:G10" si="5">F9-D9</f>
        <v>6.5277777777777768E-2</v>
      </c>
      <c r="H9" s="216">
        <v>129</v>
      </c>
      <c r="I9" s="217">
        <v>1</v>
      </c>
      <c r="J9" s="283">
        <f>L8</f>
        <v>0.46597222222222223</v>
      </c>
      <c r="K9" s="287"/>
      <c r="L9" s="283">
        <f>J10</f>
        <v>0.53125</v>
      </c>
      <c r="M9" s="284"/>
      <c r="N9" s="283">
        <f>L9-J9</f>
        <v>6.5277777777777768E-2</v>
      </c>
      <c r="O9" s="284"/>
      <c r="P9" s="213">
        <v>0.46875</v>
      </c>
      <c r="Q9" s="214">
        <v>0.49791666666666662</v>
      </c>
      <c r="R9" s="214">
        <v>0.53402777777777777</v>
      </c>
      <c r="S9" s="215">
        <f t="shared" ref="S9:S10" si="6">R9-P9</f>
        <v>6.5277777777777768E-2</v>
      </c>
      <c r="T9" s="216">
        <v>129</v>
      </c>
      <c r="U9" s="217">
        <v>3</v>
      </c>
      <c r="V9" s="213">
        <v>0.3263888888888889</v>
      </c>
      <c r="W9" s="241">
        <f t="shared" si="3"/>
        <v>2.430555555555558E-2</v>
      </c>
      <c r="X9" s="214">
        <v>0.68055555555555547</v>
      </c>
      <c r="Y9" s="273">
        <f t="shared" si="4"/>
        <v>2.7777777777777679E-2</v>
      </c>
      <c r="Z9" s="235"/>
      <c r="AA9" s="235"/>
      <c r="AB9" s="200"/>
      <c r="AC9" s="200"/>
      <c r="AD9" s="200"/>
      <c r="AE9" s="200"/>
      <c r="AF9" s="200"/>
      <c r="AG9" s="200"/>
      <c r="AH9" s="200"/>
      <c r="AI9" s="200"/>
      <c r="AJ9" s="200"/>
      <c r="AK9" s="235"/>
      <c r="AL9" s="235"/>
      <c r="AM9" s="235"/>
      <c r="AN9" s="235"/>
      <c r="AO9" s="235"/>
      <c r="AP9" s="235"/>
      <c r="AQ9" s="235"/>
      <c r="AR9" s="234"/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  <c r="BM9" s="234"/>
      <c r="BN9" s="234"/>
      <c r="BO9" s="234"/>
    </row>
    <row r="10" spans="1:67" ht="24" customHeight="1" thickBot="1" x14ac:dyDescent="0.3">
      <c r="A10" s="234"/>
      <c r="B10" s="293"/>
      <c r="C10" s="293"/>
      <c r="D10" s="220">
        <v>0.50694444444444442</v>
      </c>
      <c r="E10" s="221">
        <v>0.53402777777777777</v>
      </c>
      <c r="F10" s="221">
        <v>0.56736111111111109</v>
      </c>
      <c r="G10" s="222">
        <f t="shared" si="5"/>
        <v>6.0416666666666674E-2</v>
      </c>
      <c r="H10" s="223">
        <v>129</v>
      </c>
      <c r="I10" s="224">
        <v>1</v>
      </c>
      <c r="J10" s="220">
        <v>0.53125</v>
      </c>
      <c r="K10" s="221">
        <v>0.55833333333333335</v>
      </c>
      <c r="L10" s="221">
        <v>0.59166666666666667</v>
      </c>
      <c r="M10" s="222">
        <f>L10-J10</f>
        <v>6.0416666666666674E-2</v>
      </c>
      <c r="N10" s="223">
        <v>129</v>
      </c>
      <c r="O10" s="224">
        <v>2</v>
      </c>
      <c r="P10" s="220">
        <v>0.55555555555555558</v>
      </c>
      <c r="Q10" s="221">
        <v>0.58124999999999993</v>
      </c>
      <c r="R10" s="221">
        <v>0.61458333333333337</v>
      </c>
      <c r="S10" s="222">
        <f t="shared" si="6"/>
        <v>5.902777777777779E-2</v>
      </c>
      <c r="T10" s="223">
        <v>129</v>
      </c>
      <c r="U10" s="224">
        <v>3</v>
      </c>
      <c r="V10" s="213">
        <v>0.35416666666666669</v>
      </c>
      <c r="W10" s="241">
        <f t="shared" si="3"/>
        <v>2.777777777777779E-2</v>
      </c>
      <c r="X10" s="214">
        <v>0.70833333333333337</v>
      </c>
      <c r="Y10" s="273">
        <f t="shared" si="4"/>
        <v>2.7777777777777901E-2</v>
      </c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K10" s="234"/>
      <c r="BL10" s="234"/>
      <c r="BM10" s="234"/>
      <c r="BN10" s="234"/>
      <c r="BO10" s="234"/>
    </row>
    <row r="11" spans="1:67" ht="24" customHeight="1" thickBot="1" x14ac:dyDescent="0.3">
      <c r="A11" s="234"/>
      <c r="B11" s="293"/>
      <c r="C11" s="293"/>
      <c r="D11" s="334" t="s">
        <v>35</v>
      </c>
      <c r="E11" s="287"/>
      <c r="F11" s="287"/>
      <c r="G11" s="287"/>
      <c r="H11" s="287"/>
      <c r="I11" s="284"/>
      <c r="J11" s="334" t="s">
        <v>35</v>
      </c>
      <c r="K11" s="287"/>
      <c r="L11" s="287"/>
      <c r="M11" s="287"/>
      <c r="N11" s="287"/>
      <c r="O11" s="284"/>
      <c r="P11" s="334" t="s">
        <v>35</v>
      </c>
      <c r="Q11" s="287"/>
      <c r="R11" s="287"/>
      <c r="S11" s="287"/>
      <c r="T11" s="287"/>
      <c r="U11" s="284"/>
      <c r="V11" s="213">
        <v>0.39930555555555558</v>
      </c>
      <c r="W11" s="241">
        <f t="shared" si="3"/>
        <v>4.5138888888888895E-2</v>
      </c>
      <c r="X11" s="214">
        <v>0.73611111111111116</v>
      </c>
      <c r="Y11" s="273">
        <f t="shared" si="4"/>
        <v>2.777777777777779E-2</v>
      </c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K11" s="234"/>
      <c r="BL11" s="234"/>
      <c r="BM11" s="234"/>
      <c r="BN11" s="234"/>
      <c r="BO11" s="234"/>
    </row>
    <row r="12" spans="1:67" ht="24" customHeight="1" thickBot="1" x14ac:dyDescent="0.3">
      <c r="A12" s="234"/>
      <c r="B12" s="293"/>
      <c r="C12" s="247" t="s">
        <v>17</v>
      </c>
      <c r="D12" s="288">
        <f>MAX(E6:F11)-IF(D6="",E6,D6)-MIN(H6:H11)+$C3</f>
        <v>0.28402777777777782</v>
      </c>
      <c r="E12" s="287"/>
      <c r="F12" s="287"/>
      <c r="G12" s="284"/>
      <c r="H12" s="294">
        <f ca="1">OFFSET(H5,MATCH(MIN(H6:H10),H6:H10,0),-4)-IF(D6="",E6,D6)+$C3</f>
        <v>0.15069444444444444</v>
      </c>
      <c r="I12" s="284"/>
      <c r="J12" s="288">
        <f>MAX(K6:L11)-IF(J6="",K6,J6)-MIN(N6:N11)+$C3</f>
        <v>0.28680555555555559</v>
      </c>
      <c r="K12" s="287"/>
      <c r="L12" s="287"/>
      <c r="M12" s="284"/>
      <c r="N12" s="294">
        <f ca="1">OFFSET(N5,MATCH(MIN(N6:N10),N6:N10,0),-4)-IF(J6="",K6,J6)+$C3</f>
        <v>0.22638888888888892</v>
      </c>
      <c r="O12" s="284"/>
      <c r="P12" s="288">
        <f>MAX(Q6:R11)-IF(P6="",Q6,P6)-MIN(T6:T11)+$C3</f>
        <v>0.30625000000000002</v>
      </c>
      <c r="Q12" s="287"/>
      <c r="R12" s="287"/>
      <c r="S12" s="284"/>
      <c r="T12" s="294">
        <f ca="1">OFFSET(T5,MATCH(MIN(T6:T10),T6:T10,0),-4)-IF(P6="",Q6,P6)+$C3</f>
        <v>0.16041666666666665</v>
      </c>
      <c r="U12" s="284"/>
      <c r="V12" s="213">
        <v>0.43402777777777773</v>
      </c>
      <c r="W12" s="241">
        <f t="shared" si="3"/>
        <v>3.4722222222222154E-2</v>
      </c>
      <c r="X12" s="214">
        <v>0.76388888888888884</v>
      </c>
      <c r="Y12" s="273">
        <f t="shared" si="4"/>
        <v>2.7777777777777679E-2</v>
      </c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4"/>
      <c r="AS12" s="234"/>
      <c r="AT12" s="234"/>
      <c r="AU12" s="234"/>
      <c r="AV12" s="234"/>
      <c r="AW12" s="234"/>
      <c r="AX12" s="234"/>
      <c r="AY12" s="234"/>
      <c r="AZ12" s="234"/>
      <c r="BA12" s="234"/>
      <c r="BB12" s="234"/>
      <c r="BC12" s="234"/>
      <c r="BD12" s="234"/>
      <c r="BE12" s="234"/>
      <c r="BF12" s="234"/>
      <c r="BG12" s="234"/>
      <c r="BH12" s="234"/>
      <c r="BI12" s="234"/>
      <c r="BJ12" s="234"/>
      <c r="BK12" s="234"/>
      <c r="BL12" s="234"/>
      <c r="BM12" s="234"/>
      <c r="BN12" s="234"/>
      <c r="BO12" s="234"/>
    </row>
    <row r="13" spans="1:67" ht="24" customHeight="1" thickBot="1" x14ac:dyDescent="0.3">
      <c r="A13" s="234"/>
      <c r="B13" s="293"/>
      <c r="C13" s="325">
        <v>1.3888888888888888E-2</v>
      </c>
      <c r="D13" s="369" t="s">
        <v>117</v>
      </c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13">
        <v>0.46875</v>
      </c>
      <c r="W13" s="241">
        <f t="shared" si="3"/>
        <v>3.4722222222222265E-2</v>
      </c>
      <c r="X13" s="214">
        <v>0.80208333333333337</v>
      </c>
      <c r="Y13" s="273">
        <f t="shared" si="4"/>
        <v>3.8194444444444531E-2</v>
      </c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4"/>
      <c r="AS13" s="234"/>
      <c r="AT13" s="234"/>
      <c r="AU13" s="234"/>
      <c r="AV13" s="234"/>
      <c r="AW13" s="234"/>
      <c r="AX13" s="234"/>
      <c r="AY13" s="234"/>
      <c r="AZ13" s="234"/>
      <c r="BA13" s="234"/>
      <c r="BB13" s="234"/>
      <c r="BC13" s="234"/>
      <c r="BD13" s="234"/>
      <c r="BE13" s="234"/>
      <c r="BF13" s="234"/>
      <c r="BG13" s="234"/>
      <c r="BH13" s="234"/>
      <c r="BI13" s="234"/>
      <c r="BJ13" s="234"/>
      <c r="BK13" s="234"/>
      <c r="BL13" s="234"/>
      <c r="BM13" s="234"/>
      <c r="BN13" s="234"/>
      <c r="BO13" s="234"/>
    </row>
    <row r="14" spans="1:67" ht="24" customHeight="1" thickBot="1" x14ac:dyDescent="0.3">
      <c r="A14" s="234"/>
      <c r="B14" s="293"/>
      <c r="C14" s="290"/>
      <c r="D14" s="291" t="s">
        <v>19</v>
      </c>
      <c r="E14" s="287"/>
      <c r="F14" s="287"/>
      <c r="G14" s="287"/>
      <c r="H14" s="287"/>
      <c r="I14" s="284"/>
      <c r="J14" s="291" t="s">
        <v>20</v>
      </c>
      <c r="K14" s="287"/>
      <c r="L14" s="287"/>
      <c r="M14" s="287"/>
      <c r="N14" s="287"/>
      <c r="O14" s="284"/>
      <c r="P14" s="291" t="s">
        <v>21</v>
      </c>
      <c r="Q14" s="287"/>
      <c r="R14" s="287"/>
      <c r="S14" s="287"/>
      <c r="T14" s="287"/>
      <c r="U14" s="284"/>
      <c r="V14" s="213">
        <v>0.50694444444444442</v>
      </c>
      <c r="W14" s="241">
        <f t="shared" si="3"/>
        <v>3.819444444444442E-2</v>
      </c>
      <c r="X14" s="214">
        <v>0.84722222222222221</v>
      </c>
      <c r="Y14" s="273">
        <f t="shared" si="4"/>
        <v>4.513888888888884E-2</v>
      </c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</row>
    <row r="15" spans="1:67" ht="24" customHeight="1" thickBot="1" x14ac:dyDescent="0.3">
      <c r="A15" s="234"/>
      <c r="B15" s="293"/>
      <c r="C15" s="292" t="s">
        <v>7</v>
      </c>
      <c r="D15" s="270" t="s">
        <v>8</v>
      </c>
      <c r="E15" s="274" t="s">
        <v>9</v>
      </c>
      <c r="F15" s="274" t="s">
        <v>10</v>
      </c>
      <c r="G15" s="270" t="s">
        <v>11</v>
      </c>
      <c r="H15" s="270" t="s">
        <v>12</v>
      </c>
      <c r="I15" s="274" t="s">
        <v>116</v>
      </c>
      <c r="J15" s="270" t="s">
        <v>8</v>
      </c>
      <c r="K15" s="270" t="s">
        <v>9</v>
      </c>
      <c r="L15" s="270" t="s">
        <v>10</v>
      </c>
      <c r="M15" s="270" t="s">
        <v>11</v>
      </c>
      <c r="N15" s="270" t="s">
        <v>12</v>
      </c>
      <c r="O15" s="270" t="s">
        <v>116</v>
      </c>
      <c r="P15" s="270" t="s">
        <v>8</v>
      </c>
      <c r="Q15" s="270" t="s">
        <v>9</v>
      </c>
      <c r="R15" s="270" t="s">
        <v>10</v>
      </c>
      <c r="S15" s="270" t="s">
        <v>11</v>
      </c>
      <c r="T15" s="270" t="s">
        <v>12</v>
      </c>
      <c r="U15" s="270" t="s">
        <v>116</v>
      </c>
      <c r="V15" s="213">
        <v>0.53125</v>
      </c>
      <c r="W15" s="241">
        <f t="shared" si="3"/>
        <v>2.430555555555558E-2</v>
      </c>
      <c r="X15" s="214">
        <v>0.88194444444444453</v>
      </c>
      <c r="Y15" s="273">
        <f t="shared" si="4"/>
        <v>3.4722222222222321E-2</v>
      </c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4"/>
      <c r="BK15" s="234"/>
      <c r="BL15" s="234"/>
      <c r="BM15" s="234"/>
      <c r="BN15" s="234"/>
      <c r="BO15" s="234"/>
    </row>
    <row r="16" spans="1:67" ht="24" customHeight="1" thickBot="1" x14ac:dyDescent="0.3">
      <c r="A16" s="234"/>
      <c r="B16" s="293"/>
      <c r="C16" s="293"/>
      <c r="D16" s="206">
        <v>0.57986111111111105</v>
      </c>
      <c r="E16" s="207">
        <v>0.60555555555555551</v>
      </c>
      <c r="F16" s="207">
        <v>0.63750000000000007</v>
      </c>
      <c r="G16" s="208">
        <f t="shared" ref="G16:G18" si="7">F16-D16</f>
        <v>5.7638888888889017E-2</v>
      </c>
      <c r="H16" s="209">
        <v>129</v>
      </c>
      <c r="I16" s="210">
        <v>1</v>
      </c>
      <c r="J16" s="206">
        <v>0.60416666666666663</v>
      </c>
      <c r="K16" s="207">
        <v>0.62986111111111109</v>
      </c>
      <c r="L16" s="207">
        <v>0.66388888888888886</v>
      </c>
      <c r="M16" s="208">
        <f t="shared" ref="M16:M18" si="8">L16-J16</f>
        <v>5.9722222222222232E-2</v>
      </c>
      <c r="N16" s="209">
        <v>129</v>
      </c>
      <c r="O16" s="210">
        <v>2</v>
      </c>
      <c r="P16" s="206">
        <v>0.62847222222222221</v>
      </c>
      <c r="Q16" s="207">
        <v>0.65763888888888888</v>
      </c>
      <c r="R16" s="207">
        <v>0.69166666666666676</v>
      </c>
      <c r="S16" s="208">
        <f t="shared" ref="S16:S18" si="9">R16-P16</f>
        <v>6.3194444444444553E-2</v>
      </c>
      <c r="T16" s="209">
        <v>129</v>
      </c>
      <c r="U16" s="210">
        <v>3</v>
      </c>
      <c r="V16" s="230">
        <v>0.55555555555555558</v>
      </c>
      <c r="W16" s="275">
        <f t="shared" si="3"/>
        <v>2.430555555555558E-2</v>
      </c>
      <c r="X16" s="232">
        <v>0.91666666666666663</v>
      </c>
      <c r="Y16" s="276">
        <f t="shared" si="4"/>
        <v>3.4722222222222099E-2</v>
      </c>
      <c r="Z16" s="235"/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4"/>
      <c r="BK16" s="234"/>
      <c r="BL16" s="234"/>
      <c r="BM16" s="234"/>
      <c r="BN16" s="234"/>
      <c r="BO16" s="234"/>
    </row>
    <row r="17" spans="1:67" ht="24" customHeight="1" thickBot="1" x14ac:dyDescent="0.3">
      <c r="A17" s="234"/>
      <c r="B17" s="293"/>
      <c r="C17" s="293"/>
      <c r="D17" s="213">
        <v>0.65277777777777779</v>
      </c>
      <c r="E17" s="214">
        <v>0.68194444444444446</v>
      </c>
      <c r="F17" s="214">
        <v>0.71736111111111101</v>
      </c>
      <c r="G17" s="215">
        <f t="shared" si="7"/>
        <v>6.4583333333333215E-2</v>
      </c>
      <c r="H17" s="216">
        <v>129</v>
      </c>
      <c r="I17" s="217">
        <v>1</v>
      </c>
      <c r="J17" s="213">
        <v>0.68055555555555547</v>
      </c>
      <c r="K17" s="214">
        <v>0.70972222222222225</v>
      </c>
      <c r="L17" s="214">
        <v>0.74722222222222223</v>
      </c>
      <c r="M17" s="215">
        <f t="shared" si="8"/>
        <v>6.6666666666666763E-2</v>
      </c>
      <c r="N17" s="216">
        <v>129</v>
      </c>
      <c r="O17" s="217">
        <v>2</v>
      </c>
      <c r="P17" s="213">
        <v>0.70833333333333337</v>
      </c>
      <c r="Q17" s="214">
        <v>0.73888888888888893</v>
      </c>
      <c r="R17" s="214">
        <v>0.77638888888888891</v>
      </c>
      <c r="S17" s="215">
        <f t="shared" si="9"/>
        <v>6.8055555555555536E-2</v>
      </c>
      <c r="T17" s="216">
        <v>129</v>
      </c>
      <c r="U17" s="217">
        <v>3</v>
      </c>
      <c r="V17" s="297" t="s">
        <v>118</v>
      </c>
      <c r="W17" s="287"/>
      <c r="X17" s="287"/>
      <c r="Y17" s="284"/>
      <c r="Z17" s="235"/>
      <c r="AA17" s="235"/>
      <c r="AB17" s="235"/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4"/>
      <c r="BC17" s="234"/>
      <c r="BD17" s="234"/>
      <c r="BE17" s="234"/>
      <c r="BF17" s="234"/>
      <c r="BG17" s="234"/>
      <c r="BH17" s="234"/>
      <c r="BI17" s="234"/>
      <c r="BJ17" s="234"/>
      <c r="BK17" s="234"/>
      <c r="BL17" s="234"/>
      <c r="BM17" s="234"/>
      <c r="BN17" s="234"/>
      <c r="BO17" s="234"/>
    </row>
    <row r="18" spans="1:67" ht="24" customHeight="1" thickBot="1" x14ac:dyDescent="0.3">
      <c r="A18" s="234"/>
      <c r="B18" s="293"/>
      <c r="C18" s="293"/>
      <c r="D18" s="213">
        <v>0.73611111111111116</v>
      </c>
      <c r="E18" s="214">
        <v>0.76666666666666661</v>
      </c>
      <c r="F18" s="214">
        <v>0.8041666666666667</v>
      </c>
      <c r="G18" s="215">
        <f t="shared" si="7"/>
        <v>6.8055555555555536E-2</v>
      </c>
      <c r="H18" s="216">
        <v>129</v>
      </c>
      <c r="I18" s="217">
        <v>1</v>
      </c>
      <c r="J18" s="213">
        <v>0.76388888888888884</v>
      </c>
      <c r="K18" s="214">
        <v>0.79513888888888884</v>
      </c>
      <c r="L18" s="214">
        <v>0.83124999999999993</v>
      </c>
      <c r="M18" s="215">
        <f t="shared" si="8"/>
        <v>6.7361111111111094E-2</v>
      </c>
      <c r="N18" s="216">
        <v>129</v>
      </c>
      <c r="O18" s="217">
        <v>2</v>
      </c>
      <c r="P18" s="213">
        <v>0.80208333333333337</v>
      </c>
      <c r="Q18" s="214">
        <v>0.82986111111111116</v>
      </c>
      <c r="R18" s="214">
        <v>0.86597222222222225</v>
      </c>
      <c r="S18" s="215">
        <f t="shared" si="9"/>
        <v>6.3888888888888884E-2</v>
      </c>
      <c r="T18" s="216">
        <v>129</v>
      </c>
      <c r="U18" s="217">
        <v>3</v>
      </c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4"/>
      <c r="AS18" s="234"/>
      <c r="AT18" s="234"/>
      <c r="AU18" s="234"/>
      <c r="AV18" s="234"/>
      <c r="AW18" s="234"/>
      <c r="AX18" s="234"/>
      <c r="AY18" s="234"/>
      <c r="AZ18" s="234"/>
      <c r="BA18" s="234"/>
      <c r="BB18" s="234"/>
      <c r="BC18" s="234"/>
      <c r="BD18" s="234"/>
      <c r="BE18" s="234"/>
      <c r="BF18" s="234"/>
      <c r="BG18" s="234"/>
      <c r="BH18" s="234"/>
      <c r="BI18" s="234"/>
      <c r="BJ18" s="234"/>
      <c r="BK18" s="234"/>
      <c r="BL18" s="234"/>
      <c r="BM18" s="234"/>
      <c r="BN18" s="234"/>
      <c r="BO18" s="234"/>
    </row>
    <row r="19" spans="1:67" ht="24" customHeight="1" thickBot="1" x14ac:dyDescent="0.3">
      <c r="A19" s="234"/>
      <c r="B19" s="293"/>
      <c r="C19" s="293"/>
      <c r="D19" s="283">
        <f>F18</f>
        <v>0.8041666666666667</v>
      </c>
      <c r="E19" s="287"/>
      <c r="F19" s="283">
        <f>D20</f>
        <v>0.84722222222222221</v>
      </c>
      <c r="G19" s="284"/>
      <c r="H19" s="283">
        <f>F19-D19</f>
        <v>4.3055555555555514E-2</v>
      </c>
      <c r="I19" s="284"/>
      <c r="J19" s="283">
        <f>L18</f>
        <v>0.83124999999999993</v>
      </c>
      <c r="K19" s="287"/>
      <c r="L19" s="283">
        <f>J20</f>
        <v>0.88194444444444453</v>
      </c>
      <c r="M19" s="284"/>
      <c r="N19" s="283">
        <f>L19-J19</f>
        <v>5.0694444444444597E-2</v>
      </c>
      <c r="O19" s="284"/>
      <c r="P19" s="283">
        <f>R18</f>
        <v>0.86597222222222225</v>
      </c>
      <c r="Q19" s="287"/>
      <c r="R19" s="283">
        <f>P20</f>
        <v>0.91666666666666663</v>
      </c>
      <c r="S19" s="284"/>
      <c r="T19" s="283">
        <f>R19-P19</f>
        <v>5.0694444444444375E-2</v>
      </c>
      <c r="U19" s="284"/>
      <c r="V19" s="200"/>
      <c r="W19" s="200"/>
      <c r="X19" s="200"/>
      <c r="Y19" s="200"/>
      <c r="Z19" s="200"/>
      <c r="AA19" s="200"/>
      <c r="AB19" s="235"/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4"/>
      <c r="AS19" s="234"/>
      <c r="AT19" s="234"/>
      <c r="AU19" s="234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4"/>
      <c r="BG19" s="234"/>
      <c r="BH19" s="234"/>
      <c r="BI19" s="234"/>
      <c r="BJ19" s="234"/>
      <c r="BK19" s="234"/>
      <c r="BL19" s="234"/>
      <c r="BM19" s="234"/>
      <c r="BN19" s="234"/>
      <c r="BO19" s="234"/>
    </row>
    <row r="20" spans="1:67" ht="24" customHeight="1" thickBot="1" x14ac:dyDescent="0.3">
      <c r="A20" s="234"/>
      <c r="B20" s="293"/>
      <c r="C20" s="293"/>
      <c r="D20" s="220">
        <v>0.84722222222222221</v>
      </c>
      <c r="E20" s="221">
        <v>0.87152777777777779</v>
      </c>
      <c r="F20" s="221">
        <v>0.90416666666666667</v>
      </c>
      <c r="G20" s="222">
        <f>F20-D20</f>
        <v>5.6944444444444464E-2</v>
      </c>
      <c r="H20" s="223">
        <v>129</v>
      </c>
      <c r="I20" s="224">
        <v>1</v>
      </c>
      <c r="J20" s="220">
        <v>0.88194444444444453</v>
      </c>
      <c r="K20" s="221">
        <v>0.90625</v>
      </c>
      <c r="L20" s="221">
        <v>0.93541666666666667</v>
      </c>
      <c r="M20" s="222">
        <f>L20-J20</f>
        <v>5.3472222222222143E-2</v>
      </c>
      <c r="N20" s="223">
        <v>129</v>
      </c>
      <c r="O20" s="224">
        <v>2</v>
      </c>
      <c r="P20" s="220">
        <v>0.91666666666666663</v>
      </c>
      <c r="Q20" s="221">
        <v>0.94097222222222221</v>
      </c>
      <c r="R20" s="221">
        <v>0.97083333333333333</v>
      </c>
      <c r="S20" s="222">
        <f>R20-P20</f>
        <v>5.4166666666666696E-2</v>
      </c>
      <c r="T20" s="223">
        <v>129</v>
      </c>
      <c r="U20" s="224">
        <v>3</v>
      </c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35"/>
      <c r="AL20" s="235"/>
      <c r="AM20" s="235"/>
      <c r="AN20" s="235"/>
      <c r="AO20" s="235"/>
      <c r="AP20" s="235"/>
      <c r="AQ20" s="235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4"/>
      <c r="BN20" s="234"/>
      <c r="BO20" s="234"/>
    </row>
    <row r="21" spans="1:67" ht="24" customHeight="1" thickBot="1" x14ac:dyDescent="0.3">
      <c r="A21" s="234"/>
      <c r="B21" s="293"/>
      <c r="C21" s="368"/>
      <c r="D21" s="334" t="s">
        <v>35</v>
      </c>
      <c r="E21" s="287"/>
      <c r="F21" s="287"/>
      <c r="G21" s="287"/>
      <c r="H21" s="287"/>
      <c r="I21" s="284"/>
      <c r="J21" s="334" t="s">
        <v>35</v>
      </c>
      <c r="K21" s="287"/>
      <c r="L21" s="287"/>
      <c r="M21" s="287"/>
      <c r="N21" s="287"/>
      <c r="O21" s="284"/>
      <c r="P21" s="334" t="s">
        <v>35</v>
      </c>
      <c r="Q21" s="287"/>
      <c r="R21" s="287"/>
      <c r="S21" s="287"/>
      <c r="T21" s="287"/>
      <c r="U21" s="284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35"/>
      <c r="AL21" s="235"/>
      <c r="AM21" s="235"/>
      <c r="AN21" s="235"/>
      <c r="AO21" s="235"/>
      <c r="AP21" s="235"/>
      <c r="AQ21" s="235"/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4"/>
      <c r="BK21" s="234"/>
      <c r="BL21" s="234"/>
      <c r="BM21" s="234"/>
      <c r="BN21" s="234"/>
      <c r="BO21" s="234"/>
    </row>
    <row r="22" spans="1:67" ht="24" customHeight="1" thickBot="1" x14ac:dyDescent="0.3">
      <c r="A22" s="234"/>
      <c r="B22" s="290"/>
      <c r="C22" s="247" t="s">
        <v>17</v>
      </c>
      <c r="D22" s="288">
        <f>MAX(E16:F20)-IF(D16="",E16,D16)-MIN(H16:H20)+$C13</f>
        <v>0.29513888888888901</v>
      </c>
      <c r="E22" s="287"/>
      <c r="F22" s="287"/>
      <c r="G22" s="284"/>
      <c r="H22" s="281">
        <f ca="1">OFFSET(H15,MATCH(MIN(H16:H20),H16:H20,0),-4)-IF(D16="",E16,D16)</f>
        <v>0.22430555555555565</v>
      </c>
      <c r="I22" s="282"/>
      <c r="J22" s="288">
        <f>MAX(K16:L20)-IF(J16="",K16,J16)-MIN(N16:N20)+$C13</f>
        <v>0.29444444444444434</v>
      </c>
      <c r="K22" s="287"/>
      <c r="L22" s="287"/>
      <c r="M22" s="284"/>
      <c r="N22" s="281">
        <f ca="1">OFFSET(N15,MATCH(MIN(N16:N20),N16:N20,0),-4)-IF(J16="",K16,J16)</f>
        <v>0.2270833333333333</v>
      </c>
      <c r="O22" s="282"/>
      <c r="P22" s="288">
        <f>MAX(Q16:R20)-IF(P16="",Q16,P16)-MIN(T16:T20)+$C13</f>
        <v>0.30555555555555564</v>
      </c>
      <c r="Q22" s="287"/>
      <c r="R22" s="287"/>
      <c r="S22" s="284"/>
      <c r="T22" s="281">
        <f ca="1">OFFSET(T15,MATCH(MIN(T16:T20),T16:T20,0),-4)-IF(P16="",Q16,P16)</f>
        <v>0.23750000000000004</v>
      </c>
      <c r="U22" s="282"/>
      <c r="V22" s="200"/>
      <c r="W22" s="277"/>
      <c r="X22" s="235"/>
      <c r="Y22" s="235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35"/>
      <c r="AL22" s="235"/>
      <c r="AM22" s="235"/>
      <c r="AN22" s="235"/>
      <c r="AO22" s="235"/>
      <c r="AP22" s="235"/>
      <c r="AQ22" s="235"/>
      <c r="AR22" s="234"/>
      <c r="AS22" s="234"/>
      <c r="AT22" s="234"/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4"/>
      <c r="BH22" s="234"/>
      <c r="BI22" s="234"/>
      <c r="BJ22" s="234"/>
      <c r="BK22" s="234"/>
      <c r="BL22" s="234"/>
      <c r="BM22" s="234"/>
      <c r="BN22" s="234"/>
      <c r="BO22" s="234"/>
    </row>
    <row r="23" spans="1:67" ht="24" customHeight="1" x14ac:dyDescent="0.25">
      <c r="A23" s="234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4"/>
      <c r="BK23" s="234"/>
      <c r="BL23" s="234"/>
      <c r="BM23" s="234"/>
      <c r="BN23" s="234"/>
      <c r="BO23" s="234"/>
    </row>
    <row r="24" spans="1:67" ht="24" customHeight="1" x14ac:dyDescent="0.25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  <c r="AZ24" s="234"/>
      <c r="BA24" s="234"/>
      <c r="BB24" s="234"/>
      <c r="BC24" s="234"/>
      <c r="BD24" s="234"/>
      <c r="BE24" s="234"/>
      <c r="BF24" s="234"/>
      <c r="BG24" s="234"/>
      <c r="BH24" s="234"/>
      <c r="BI24" s="234"/>
      <c r="BJ24" s="234"/>
      <c r="BK24" s="234"/>
      <c r="BL24" s="234"/>
      <c r="BM24" s="234"/>
      <c r="BN24" s="234"/>
      <c r="BO24" s="234"/>
    </row>
    <row r="25" spans="1:67" ht="24" customHeight="1" x14ac:dyDescent="0.25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  <c r="AZ25" s="234"/>
      <c r="BA25" s="234"/>
      <c r="BB25" s="234"/>
      <c r="BC25" s="234"/>
      <c r="BD25" s="234"/>
      <c r="BE25" s="234"/>
      <c r="BF25" s="234"/>
      <c r="BG25" s="234"/>
      <c r="BH25" s="234"/>
      <c r="BI25" s="234"/>
      <c r="BJ25" s="234"/>
      <c r="BK25" s="234"/>
      <c r="BL25" s="234"/>
      <c r="BM25" s="234"/>
      <c r="BN25" s="234"/>
      <c r="BO25" s="234"/>
    </row>
    <row r="26" spans="1:67" ht="24" customHeight="1" x14ac:dyDescent="0.25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  <c r="AZ26" s="234"/>
      <c r="BA26" s="234"/>
      <c r="BB26" s="234"/>
      <c r="BC26" s="234"/>
      <c r="BD26" s="234"/>
      <c r="BE26" s="234"/>
      <c r="BF26" s="234"/>
      <c r="BG26" s="234"/>
      <c r="BH26" s="234"/>
      <c r="BI26" s="234"/>
      <c r="BJ26" s="234"/>
      <c r="BK26" s="234"/>
      <c r="BL26" s="234"/>
      <c r="BM26" s="234"/>
      <c r="BN26" s="234"/>
      <c r="BO26" s="234"/>
    </row>
    <row r="27" spans="1:67" ht="24" customHeight="1" x14ac:dyDescent="0.2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  <c r="AZ27" s="234"/>
      <c r="BA27" s="234"/>
      <c r="BB27" s="234"/>
      <c r="BC27" s="234"/>
      <c r="BD27" s="234"/>
      <c r="BE27" s="234"/>
      <c r="BF27" s="234"/>
      <c r="BG27" s="234"/>
      <c r="BH27" s="234"/>
      <c r="BI27" s="234"/>
      <c r="BJ27" s="234"/>
      <c r="BK27" s="234"/>
      <c r="BL27" s="234"/>
      <c r="BM27" s="234"/>
      <c r="BN27" s="234"/>
      <c r="BO27" s="234"/>
    </row>
    <row r="28" spans="1:67" ht="24" customHeight="1" x14ac:dyDescent="0.25">
      <c r="A28" s="234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  <c r="AZ28" s="234"/>
      <c r="BA28" s="234"/>
      <c r="BB28" s="234"/>
      <c r="BC28" s="234"/>
      <c r="BD28" s="234"/>
      <c r="BE28" s="234"/>
      <c r="BF28" s="234"/>
      <c r="BG28" s="234"/>
      <c r="BH28" s="234"/>
      <c r="BI28" s="234"/>
      <c r="BJ28" s="234"/>
      <c r="BK28" s="234"/>
      <c r="BL28" s="234"/>
      <c r="BM28" s="234"/>
      <c r="BN28" s="234"/>
      <c r="BO28" s="234"/>
    </row>
    <row r="29" spans="1:67" ht="24" customHeight="1" x14ac:dyDescent="0.25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</row>
    <row r="30" spans="1:67" ht="24" customHeight="1" x14ac:dyDescent="0.25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4"/>
      <c r="BH30" s="234"/>
      <c r="BI30" s="234"/>
      <c r="BJ30" s="234"/>
      <c r="BK30" s="234"/>
      <c r="BL30" s="234"/>
      <c r="BM30" s="234"/>
      <c r="BN30" s="234"/>
      <c r="BO30" s="234"/>
    </row>
    <row r="31" spans="1:67" ht="24" customHeight="1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4"/>
      <c r="BK31" s="234"/>
      <c r="BL31" s="234"/>
      <c r="BM31" s="234"/>
      <c r="BN31" s="234"/>
      <c r="BO31" s="234"/>
    </row>
    <row r="32" spans="1:67" ht="24" customHeight="1" x14ac:dyDescent="0.25">
      <c r="A32" s="234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</row>
    <row r="33" spans="1:67" ht="24" customHeight="1" x14ac:dyDescent="0.25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4"/>
      <c r="BC33" s="234"/>
      <c r="BD33" s="234"/>
      <c r="BE33" s="234"/>
      <c r="BF33" s="234"/>
      <c r="BG33" s="234"/>
      <c r="BH33" s="234"/>
      <c r="BI33" s="234"/>
      <c r="BJ33" s="234"/>
      <c r="BK33" s="234"/>
      <c r="BL33" s="234"/>
      <c r="BM33" s="234"/>
      <c r="BN33" s="234"/>
      <c r="BO33" s="234"/>
    </row>
    <row r="34" spans="1:67" ht="24" customHeight="1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  <c r="AZ34" s="234"/>
      <c r="BA34" s="234"/>
      <c r="BB34" s="234"/>
      <c r="BC34" s="234"/>
      <c r="BD34" s="234"/>
      <c r="BE34" s="234"/>
      <c r="BF34" s="234"/>
      <c r="BG34" s="234"/>
      <c r="BH34" s="234"/>
      <c r="BI34" s="234"/>
      <c r="BJ34" s="234"/>
      <c r="BK34" s="234"/>
      <c r="BL34" s="234"/>
      <c r="BM34" s="234"/>
      <c r="BN34" s="234"/>
      <c r="BO34" s="234"/>
    </row>
    <row r="35" spans="1:67" ht="24" customHeight="1" x14ac:dyDescent="0.25">
      <c r="A35" s="234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  <c r="AZ35" s="234"/>
      <c r="BA35" s="234"/>
      <c r="BB35" s="234"/>
      <c r="BC35" s="234"/>
      <c r="BD35" s="234"/>
      <c r="BE35" s="234"/>
      <c r="BF35" s="234"/>
      <c r="BG35" s="234"/>
      <c r="BH35" s="234"/>
      <c r="BI35" s="234"/>
      <c r="BJ35" s="234"/>
      <c r="BK35" s="234"/>
      <c r="BL35" s="234"/>
      <c r="BM35" s="234"/>
      <c r="BN35" s="234"/>
      <c r="BO35" s="234"/>
    </row>
    <row r="36" spans="1:67" ht="24" customHeight="1" x14ac:dyDescent="0.25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  <c r="AZ36" s="234"/>
      <c r="BA36" s="234"/>
      <c r="BB36" s="234"/>
      <c r="BC36" s="234"/>
      <c r="BD36" s="234"/>
      <c r="BE36" s="234"/>
      <c r="BF36" s="234"/>
      <c r="BG36" s="234"/>
      <c r="BH36" s="234"/>
      <c r="BI36" s="234"/>
      <c r="BJ36" s="234"/>
      <c r="BK36" s="234"/>
      <c r="BL36" s="234"/>
      <c r="BM36" s="234"/>
      <c r="BN36" s="234"/>
      <c r="BO36" s="234"/>
    </row>
    <row r="37" spans="1:67" ht="24" customHeight="1" x14ac:dyDescent="0.25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4"/>
      <c r="BD37" s="234"/>
      <c r="BE37" s="234"/>
      <c r="BF37" s="234"/>
      <c r="BG37" s="234"/>
      <c r="BH37" s="234"/>
      <c r="BI37" s="234"/>
      <c r="BJ37" s="234"/>
      <c r="BK37" s="234"/>
      <c r="BL37" s="234"/>
      <c r="BM37" s="234"/>
      <c r="BN37" s="234"/>
      <c r="BO37" s="234"/>
    </row>
    <row r="38" spans="1:67" ht="24" customHeight="1" x14ac:dyDescent="0.25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4"/>
      <c r="BB38" s="234"/>
      <c r="BC38" s="234"/>
      <c r="BD38" s="234"/>
      <c r="BE38" s="234"/>
      <c r="BF38" s="234"/>
      <c r="BG38" s="234"/>
      <c r="BH38" s="234"/>
      <c r="BI38" s="234"/>
      <c r="BJ38" s="234"/>
      <c r="BK38" s="234"/>
      <c r="BL38" s="234"/>
      <c r="BM38" s="234"/>
      <c r="BN38" s="234"/>
      <c r="BO38" s="234"/>
    </row>
    <row r="39" spans="1:67" ht="24" customHeight="1" x14ac:dyDescent="0.25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  <c r="AZ39" s="234"/>
      <c r="BA39" s="234"/>
      <c r="BB39" s="234"/>
      <c r="BC39" s="234"/>
      <c r="BD39" s="234"/>
      <c r="BE39" s="234"/>
      <c r="BF39" s="234"/>
      <c r="BG39" s="234"/>
      <c r="BH39" s="234"/>
      <c r="BI39" s="234"/>
      <c r="BJ39" s="234"/>
      <c r="BK39" s="234"/>
      <c r="BL39" s="234"/>
      <c r="BM39" s="234"/>
      <c r="BN39" s="234"/>
      <c r="BO39" s="234"/>
    </row>
    <row r="40" spans="1:67" ht="24" customHeight="1" x14ac:dyDescent="0.25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4"/>
      <c r="BK40" s="234"/>
      <c r="BL40" s="234"/>
      <c r="BM40" s="234"/>
      <c r="BN40" s="234"/>
      <c r="BO40" s="234"/>
    </row>
    <row r="41" spans="1:67" ht="24" customHeight="1" x14ac:dyDescent="0.25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4"/>
      <c r="AT41" s="234"/>
      <c r="AU41" s="234"/>
      <c r="AV41" s="234"/>
      <c r="AW41" s="234"/>
      <c r="AX41" s="234"/>
      <c r="AY41" s="234"/>
      <c r="AZ41" s="234"/>
      <c r="BA41" s="234"/>
      <c r="BB41" s="234"/>
      <c r="BC41" s="234"/>
      <c r="BD41" s="234"/>
      <c r="BE41" s="234"/>
      <c r="BF41" s="234"/>
      <c r="BG41" s="234"/>
      <c r="BH41" s="234"/>
      <c r="BI41" s="234"/>
      <c r="BJ41" s="234"/>
      <c r="BK41" s="234"/>
      <c r="BL41" s="234"/>
      <c r="BM41" s="234"/>
      <c r="BN41" s="234"/>
      <c r="BO41" s="234"/>
    </row>
    <row r="42" spans="1:67" ht="24" customHeight="1" x14ac:dyDescent="0.25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  <c r="AZ42" s="234"/>
      <c r="BA42" s="234"/>
      <c r="BB42" s="234"/>
      <c r="BC42" s="234"/>
      <c r="BD42" s="234"/>
      <c r="BE42" s="234"/>
      <c r="BF42" s="234"/>
      <c r="BG42" s="234"/>
      <c r="BH42" s="234"/>
      <c r="BI42" s="234"/>
      <c r="BJ42" s="234"/>
      <c r="BK42" s="234"/>
      <c r="BL42" s="234"/>
      <c r="BM42" s="234"/>
      <c r="BN42" s="234"/>
      <c r="BO42" s="234"/>
    </row>
    <row r="43" spans="1:67" ht="24" customHeight="1" x14ac:dyDescent="0.25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4"/>
      <c r="AT43" s="234"/>
      <c r="AU43" s="234"/>
      <c r="AV43" s="234"/>
      <c r="AW43" s="234"/>
      <c r="AX43" s="234"/>
      <c r="AY43" s="234"/>
      <c r="AZ43" s="234"/>
      <c r="BA43" s="234"/>
      <c r="BB43" s="234"/>
      <c r="BC43" s="234"/>
      <c r="BD43" s="234"/>
      <c r="BE43" s="234"/>
      <c r="BF43" s="234"/>
      <c r="BG43" s="234"/>
      <c r="BH43" s="234"/>
      <c r="BI43" s="234"/>
      <c r="BJ43" s="234"/>
      <c r="BK43" s="234"/>
      <c r="BL43" s="234"/>
      <c r="BM43" s="234"/>
      <c r="BN43" s="234"/>
      <c r="BO43" s="234"/>
    </row>
    <row r="44" spans="1:67" ht="24" customHeight="1" x14ac:dyDescent="0.25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  <c r="AZ44" s="234"/>
      <c r="BA44" s="234"/>
      <c r="BB44" s="234"/>
      <c r="BC44" s="234"/>
      <c r="BD44" s="234"/>
      <c r="BE44" s="234"/>
      <c r="BF44" s="234"/>
      <c r="BG44" s="234"/>
      <c r="BH44" s="234"/>
      <c r="BI44" s="234"/>
      <c r="BJ44" s="234"/>
      <c r="BK44" s="234"/>
      <c r="BL44" s="234"/>
      <c r="BM44" s="234"/>
      <c r="BN44" s="234"/>
      <c r="BO44" s="234"/>
    </row>
    <row r="45" spans="1:67" ht="24" customHeight="1" x14ac:dyDescent="0.25">
      <c r="A45" s="234"/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4"/>
      <c r="BD45" s="234"/>
      <c r="BE45" s="234"/>
      <c r="BF45" s="234"/>
      <c r="BG45" s="234"/>
      <c r="BH45" s="234"/>
      <c r="BI45" s="234"/>
      <c r="BJ45" s="234"/>
      <c r="BK45" s="234"/>
      <c r="BL45" s="234"/>
      <c r="BM45" s="234"/>
      <c r="BN45" s="234"/>
      <c r="BO45" s="234"/>
    </row>
    <row r="46" spans="1:67" ht="24" customHeight="1" x14ac:dyDescent="0.25">
      <c r="A46" s="234"/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  <c r="AZ46" s="234"/>
      <c r="BA46" s="234"/>
      <c r="BB46" s="234"/>
      <c r="BC46" s="234"/>
      <c r="BD46" s="234"/>
      <c r="BE46" s="234"/>
      <c r="BF46" s="234"/>
      <c r="BG46" s="234"/>
      <c r="BH46" s="234"/>
      <c r="BI46" s="234"/>
      <c r="BJ46" s="234"/>
      <c r="BK46" s="234"/>
      <c r="BL46" s="234"/>
      <c r="BM46" s="234"/>
      <c r="BN46" s="234"/>
      <c r="BO46" s="234"/>
    </row>
    <row r="47" spans="1:67" ht="24" customHeight="1" x14ac:dyDescent="0.25">
      <c r="A47" s="234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4"/>
      <c r="BD47" s="234"/>
      <c r="BE47" s="234"/>
      <c r="BF47" s="234"/>
      <c r="BG47" s="234"/>
      <c r="BH47" s="234"/>
      <c r="BI47" s="234"/>
      <c r="BJ47" s="234"/>
      <c r="BK47" s="234"/>
      <c r="BL47" s="234"/>
      <c r="BM47" s="234"/>
      <c r="BN47" s="234"/>
      <c r="BO47" s="234"/>
    </row>
    <row r="48" spans="1:67" ht="24" customHeight="1" x14ac:dyDescent="0.25">
      <c r="A48" s="234"/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  <c r="AZ48" s="234"/>
      <c r="BA48" s="234"/>
      <c r="BB48" s="234"/>
      <c r="BC48" s="234"/>
      <c r="BD48" s="234"/>
      <c r="BE48" s="234"/>
      <c r="BF48" s="234"/>
      <c r="BG48" s="234"/>
      <c r="BH48" s="234"/>
      <c r="BI48" s="234"/>
      <c r="BJ48" s="234"/>
      <c r="BK48" s="234"/>
      <c r="BL48" s="234"/>
      <c r="BM48" s="234"/>
      <c r="BN48" s="234"/>
      <c r="BO48" s="234"/>
    </row>
    <row r="49" spans="1:67" ht="24" customHeight="1" x14ac:dyDescent="0.25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  <c r="AZ49" s="234"/>
      <c r="BA49" s="234"/>
      <c r="BB49" s="234"/>
      <c r="BC49" s="234"/>
      <c r="BD49" s="234"/>
      <c r="BE49" s="234"/>
      <c r="BF49" s="234"/>
      <c r="BG49" s="234"/>
      <c r="BH49" s="234"/>
      <c r="BI49" s="234"/>
      <c r="BJ49" s="234"/>
      <c r="BK49" s="234"/>
      <c r="BL49" s="234"/>
      <c r="BM49" s="234"/>
      <c r="BN49" s="234"/>
      <c r="BO49" s="234"/>
    </row>
    <row r="50" spans="1:67" ht="24" customHeight="1" x14ac:dyDescent="0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  <c r="AZ50" s="234"/>
      <c r="BA50" s="234"/>
      <c r="BB50" s="234"/>
      <c r="BC50" s="234"/>
      <c r="BD50" s="234"/>
      <c r="BE50" s="234"/>
      <c r="BF50" s="234"/>
      <c r="BG50" s="234"/>
      <c r="BH50" s="234"/>
      <c r="BI50" s="234"/>
      <c r="BJ50" s="234"/>
      <c r="BK50" s="234"/>
      <c r="BL50" s="234"/>
      <c r="BM50" s="234"/>
      <c r="BN50" s="234"/>
      <c r="BO50" s="234"/>
    </row>
    <row r="51" spans="1:67" ht="24" customHeight="1" x14ac:dyDescent="0.25">
      <c r="A51" s="234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  <c r="AZ51" s="234"/>
      <c r="BA51" s="234"/>
      <c r="BB51" s="234"/>
      <c r="BC51" s="234"/>
      <c r="BD51" s="234"/>
      <c r="BE51" s="234"/>
      <c r="BF51" s="234"/>
      <c r="BG51" s="234"/>
      <c r="BH51" s="234"/>
      <c r="BI51" s="234"/>
      <c r="BJ51" s="234"/>
      <c r="BK51" s="234"/>
      <c r="BL51" s="234"/>
      <c r="BM51" s="234"/>
      <c r="BN51" s="234"/>
      <c r="BO51" s="234"/>
    </row>
    <row r="52" spans="1:67" ht="24" customHeight="1" x14ac:dyDescent="0.25">
      <c r="A52" s="234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  <c r="AZ52" s="234"/>
      <c r="BA52" s="234"/>
      <c r="BB52" s="234"/>
      <c r="BC52" s="234"/>
      <c r="BD52" s="234"/>
      <c r="BE52" s="234"/>
      <c r="BF52" s="234"/>
      <c r="BG52" s="234"/>
      <c r="BH52" s="234"/>
      <c r="BI52" s="234"/>
      <c r="BJ52" s="234"/>
      <c r="BK52" s="234"/>
      <c r="BL52" s="234"/>
      <c r="BM52" s="234"/>
      <c r="BN52" s="234"/>
      <c r="BO52" s="234"/>
    </row>
    <row r="53" spans="1:67" ht="24" customHeight="1" x14ac:dyDescent="0.25">
      <c r="A53" s="234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  <c r="AZ53" s="234"/>
      <c r="BA53" s="234"/>
      <c r="BB53" s="234"/>
      <c r="BC53" s="234"/>
      <c r="BD53" s="234"/>
      <c r="BE53" s="234"/>
      <c r="BF53" s="234"/>
      <c r="BG53" s="234"/>
      <c r="BH53" s="234"/>
      <c r="BI53" s="234"/>
      <c r="BJ53" s="234"/>
      <c r="BK53" s="234"/>
      <c r="BL53" s="234"/>
      <c r="BM53" s="234"/>
      <c r="BN53" s="234"/>
      <c r="BO53" s="234"/>
    </row>
    <row r="54" spans="1:67" ht="24" customHeight="1" x14ac:dyDescent="0.25">
      <c r="A54" s="234"/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  <c r="AZ54" s="234"/>
      <c r="BA54" s="234"/>
      <c r="BB54" s="234"/>
      <c r="BC54" s="234"/>
      <c r="BD54" s="234"/>
      <c r="BE54" s="234"/>
      <c r="BF54" s="234"/>
      <c r="BG54" s="234"/>
      <c r="BH54" s="234"/>
      <c r="BI54" s="234"/>
      <c r="BJ54" s="234"/>
      <c r="BK54" s="234"/>
      <c r="BL54" s="234"/>
      <c r="BM54" s="234"/>
      <c r="BN54" s="234"/>
      <c r="BO54" s="234"/>
    </row>
    <row r="55" spans="1:67" ht="24" customHeight="1" x14ac:dyDescent="0.25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4"/>
      <c r="BH55" s="234"/>
      <c r="BI55" s="234"/>
      <c r="BJ55" s="234"/>
      <c r="BK55" s="234"/>
      <c r="BL55" s="234"/>
      <c r="BM55" s="234"/>
      <c r="BN55" s="234"/>
      <c r="BO55" s="234"/>
    </row>
    <row r="56" spans="1:67" ht="24" customHeight="1" x14ac:dyDescent="0.25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4"/>
      <c r="BH56" s="234"/>
      <c r="BI56" s="234"/>
      <c r="BJ56" s="234"/>
      <c r="BK56" s="234"/>
      <c r="BL56" s="234"/>
      <c r="BM56" s="234"/>
      <c r="BN56" s="234"/>
      <c r="BO56" s="234"/>
    </row>
    <row r="57" spans="1:67" ht="24" customHeight="1" x14ac:dyDescent="0.25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  <c r="AZ57" s="234"/>
      <c r="BA57" s="234"/>
      <c r="BB57" s="234"/>
      <c r="BC57" s="234"/>
      <c r="BD57" s="234"/>
      <c r="BE57" s="234"/>
      <c r="BF57" s="234"/>
      <c r="BG57" s="234"/>
      <c r="BH57" s="234"/>
      <c r="BI57" s="234"/>
      <c r="BJ57" s="234"/>
      <c r="BK57" s="234"/>
      <c r="BL57" s="234"/>
      <c r="BM57" s="234"/>
      <c r="BN57" s="234"/>
      <c r="BO57" s="234"/>
    </row>
    <row r="58" spans="1:67" ht="24" customHeight="1" x14ac:dyDescent="0.25">
      <c r="A58" s="234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  <c r="AZ58" s="234"/>
      <c r="BA58" s="234"/>
      <c r="BB58" s="234"/>
      <c r="BC58" s="234"/>
      <c r="BD58" s="234"/>
      <c r="BE58" s="234"/>
      <c r="BF58" s="234"/>
      <c r="BG58" s="234"/>
      <c r="BH58" s="234"/>
      <c r="BI58" s="234"/>
      <c r="BJ58" s="234"/>
      <c r="BK58" s="234"/>
      <c r="BL58" s="234"/>
      <c r="BM58" s="234"/>
      <c r="BN58" s="234"/>
      <c r="BO58" s="234"/>
    </row>
    <row r="59" spans="1:67" ht="24" customHeight="1" x14ac:dyDescent="0.25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  <c r="AZ59" s="234"/>
      <c r="BA59" s="234"/>
      <c r="BB59" s="234"/>
      <c r="BC59" s="234"/>
      <c r="BD59" s="234"/>
      <c r="BE59" s="234"/>
      <c r="BF59" s="234"/>
      <c r="BG59" s="234"/>
      <c r="BH59" s="234"/>
      <c r="BI59" s="234"/>
      <c r="BJ59" s="234"/>
      <c r="BK59" s="234"/>
      <c r="BL59" s="234"/>
      <c r="BM59" s="234"/>
      <c r="BN59" s="234"/>
      <c r="BO59" s="234"/>
    </row>
    <row r="60" spans="1:67" ht="24" customHeight="1" x14ac:dyDescent="0.25">
      <c r="A60" s="234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4"/>
      <c r="BO60" s="234"/>
    </row>
    <row r="61" spans="1:67" ht="24" customHeight="1" x14ac:dyDescent="0.25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4"/>
      <c r="BG61" s="234"/>
      <c r="BH61" s="234"/>
      <c r="BI61" s="234"/>
      <c r="BJ61" s="234"/>
      <c r="BK61" s="234"/>
      <c r="BL61" s="234"/>
      <c r="BM61" s="234"/>
      <c r="BN61" s="234"/>
      <c r="BO61" s="234"/>
    </row>
    <row r="62" spans="1:67" ht="24" customHeight="1" x14ac:dyDescent="0.25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34"/>
      <c r="AO62" s="234"/>
      <c r="AP62" s="234"/>
      <c r="AQ62" s="234"/>
      <c r="AR62" s="234"/>
      <c r="AS62" s="234"/>
      <c r="AT62" s="234"/>
      <c r="AU62" s="234"/>
      <c r="AV62" s="234"/>
      <c r="AW62" s="234"/>
      <c r="AX62" s="234"/>
      <c r="AY62" s="234"/>
      <c r="AZ62" s="234"/>
      <c r="BA62" s="234"/>
      <c r="BB62" s="234"/>
      <c r="BC62" s="234"/>
      <c r="BD62" s="234"/>
      <c r="BE62" s="234"/>
      <c r="BF62" s="234"/>
      <c r="BG62" s="234"/>
      <c r="BH62" s="234"/>
      <c r="BI62" s="234"/>
      <c r="BJ62" s="234"/>
      <c r="BK62" s="234"/>
      <c r="BL62" s="234"/>
      <c r="BM62" s="234"/>
      <c r="BN62" s="234"/>
      <c r="BO62" s="234"/>
    </row>
    <row r="63" spans="1:67" ht="24" customHeight="1" x14ac:dyDescent="0.25">
      <c r="A63" s="234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34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34"/>
      <c r="AZ63" s="234"/>
      <c r="BA63" s="234"/>
      <c r="BB63" s="234"/>
      <c r="BC63" s="234"/>
      <c r="BD63" s="234"/>
      <c r="BE63" s="234"/>
      <c r="BF63" s="234"/>
      <c r="BG63" s="234"/>
      <c r="BH63" s="234"/>
      <c r="BI63" s="234"/>
      <c r="BJ63" s="234"/>
      <c r="BK63" s="234"/>
      <c r="BL63" s="234"/>
      <c r="BM63" s="234"/>
      <c r="BN63" s="234"/>
      <c r="BO63" s="234"/>
    </row>
    <row r="64" spans="1:67" ht="24" customHeight="1" x14ac:dyDescent="0.25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/>
      <c r="AP64" s="234"/>
      <c r="AQ64" s="234"/>
      <c r="AR64" s="234"/>
      <c r="AS64" s="234"/>
      <c r="AT64" s="234"/>
      <c r="AU64" s="234"/>
      <c r="AV64" s="234"/>
      <c r="AW64" s="234"/>
      <c r="AX64" s="234"/>
      <c r="AY64" s="234"/>
      <c r="AZ64" s="234"/>
      <c r="BA64" s="234"/>
      <c r="BB64" s="234"/>
      <c r="BC64" s="234"/>
      <c r="BD64" s="234"/>
      <c r="BE64" s="234"/>
      <c r="BF64" s="234"/>
      <c r="BG64" s="234"/>
      <c r="BH64" s="234"/>
      <c r="BI64" s="234"/>
      <c r="BJ64" s="234"/>
      <c r="BK64" s="234"/>
      <c r="BL64" s="234"/>
      <c r="BM64" s="234"/>
      <c r="BN64" s="234"/>
      <c r="BO64" s="234"/>
    </row>
    <row r="65" spans="1:67" ht="24" customHeight="1" x14ac:dyDescent="0.2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</row>
    <row r="66" spans="1:67" ht="24" customHeight="1" x14ac:dyDescent="0.25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4"/>
      <c r="BH66" s="234"/>
      <c r="BI66" s="234"/>
      <c r="BJ66" s="234"/>
      <c r="BK66" s="234"/>
      <c r="BL66" s="234"/>
      <c r="BM66" s="234"/>
      <c r="BN66" s="234"/>
      <c r="BO66" s="234"/>
    </row>
    <row r="67" spans="1:67" ht="24" customHeight="1" x14ac:dyDescent="0.25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  <c r="AZ67" s="234"/>
      <c r="BA67" s="234"/>
      <c r="BB67" s="234"/>
      <c r="BC67" s="234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</row>
    <row r="68" spans="1:67" ht="24" customHeight="1" x14ac:dyDescent="0.25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  <c r="AZ68" s="234"/>
      <c r="BA68" s="234"/>
      <c r="BB68" s="234"/>
      <c r="BC68" s="234"/>
      <c r="BD68" s="234"/>
      <c r="BE68" s="234"/>
      <c r="BF68" s="234"/>
      <c r="BG68" s="234"/>
      <c r="BH68" s="234"/>
      <c r="BI68" s="234"/>
      <c r="BJ68" s="234"/>
      <c r="BK68" s="234"/>
      <c r="BL68" s="234"/>
      <c r="BM68" s="234"/>
      <c r="BN68" s="234"/>
      <c r="BO68" s="234"/>
    </row>
    <row r="69" spans="1:67" ht="24" customHeight="1" x14ac:dyDescent="0.25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4"/>
      <c r="BJ69" s="234"/>
      <c r="BK69" s="234"/>
      <c r="BL69" s="234"/>
      <c r="BM69" s="234"/>
      <c r="BN69" s="234"/>
      <c r="BO69" s="234"/>
    </row>
    <row r="70" spans="1:67" ht="24" customHeight="1" x14ac:dyDescent="0.25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  <c r="AZ70" s="234"/>
      <c r="BA70" s="234"/>
      <c r="BB70" s="234"/>
      <c r="BC70" s="234"/>
      <c r="BD70" s="234"/>
      <c r="BE70" s="234"/>
      <c r="BF70" s="234"/>
      <c r="BG70" s="234"/>
      <c r="BH70" s="234"/>
      <c r="BI70" s="234"/>
      <c r="BJ70" s="234"/>
      <c r="BK70" s="234"/>
      <c r="BL70" s="234"/>
      <c r="BM70" s="234"/>
      <c r="BN70" s="234"/>
      <c r="BO70" s="234"/>
    </row>
    <row r="71" spans="1:67" ht="24" customHeight="1" x14ac:dyDescent="0.25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  <c r="AZ71" s="234"/>
      <c r="BA71" s="234"/>
      <c r="BB71" s="234"/>
      <c r="BC71" s="234"/>
      <c r="BD71" s="234"/>
      <c r="BE71" s="234"/>
      <c r="BF71" s="234"/>
      <c r="BG71" s="234"/>
      <c r="BH71" s="234"/>
      <c r="BI71" s="234"/>
      <c r="BJ71" s="234"/>
      <c r="BK71" s="234"/>
      <c r="BL71" s="234"/>
      <c r="BM71" s="234"/>
      <c r="BN71" s="234"/>
      <c r="BO71" s="234"/>
    </row>
    <row r="72" spans="1:67" ht="24" customHeight="1" x14ac:dyDescent="0.25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4"/>
      <c r="BF72" s="234"/>
      <c r="BG72" s="234"/>
      <c r="BH72" s="234"/>
      <c r="BI72" s="234"/>
      <c r="BJ72" s="234"/>
      <c r="BK72" s="234"/>
      <c r="BL72" s="234"/>
      <c r="BM72" s="234"/>
      <c r="BN72" s="234"/>
      <c r="BO72" s="234"/>
    </row>
    <row r="73" spans="1:67" ht="24" customHeight="1" x14ac:dyDescent="0.25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  <c r="AZ73" s="234"/>
      <c r="BA73" s="234"/>
      <c r="BB73" s="234"/>
      <c r="BC73" s="234"/>
      <c r="BD73" s="234"/>
      <c r="BE73" s="234"/>
      <c r="BF73" s="234"/>
      <c r="BG73" s="234"/>
      <c r="BH73" s="234"/>
      <c r="BI73" s="234"/>
      <c r="BJ73" s="234"/>
      <c r="BK73" s="234"/>
      <c r="BL73" s="234"/>
      <c r="BM73" s="234"/>
      <c r="BN73" s="234"/>
      <c r="BO73" s="234"/>
    </row>
    <row r="74" spans="1:67" ht="24" customHeight="1" x14ac:dyDescent="0.25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4"/>
      <c r="AS74" s="234"/>
      <c r="AT74" s="234"/>
      <c r="AU74" s="234"/>
      <c r="AV74" s="234"/>
      <c r="AW74" s="234"/>
      <c r="AX74" s="234"/>
      <c r="AY74" s="234"/>
      <c r="AZ74" s="234"/>
      <c r="BA74" s="234"/>
      <c r="BB74" s="234"/>
      <c r="BC74" s="234"/>
      <c r="BD74" s="234"/>
      <c r="BE74" s="234"/>
      <c r="BF74" s="234"/>
      <c r="BG74" s="234"/>
      <c r="BH74" s="234"/>
      <c r="BI74" s="234"/>
      <c r="BJ74" s="234"/>
      <c r="BK74" s="234"/>
      <c r="BL74" s="234"/>
      <c r="BM74" s="234"/>
      <c r="BN74" s="234"/>
      <c r="BO74" s="234"/>
    </row>
    <row r="75" spans="1:67" ht="24" customHeight="1" x14ac:dyDescent="0.25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  <c r="AZ75" s="234"/>
      <c r="BA75" s="234"/>
      <c r="BB75" s="234"/>
      <c r="BC75" s="234"/>
      <c r="BD75" s="234"/>
      <c r="BE75" s="234"/>
      <c r="BF75" s="234"/>
      <c r="BG75" s="234"/>
      <c r="BH75" s="234"/>
      <c r="BI75" s="234"/>
      <c r="BJ75" s="234"/>
      <c r="BK75" s="234"/>
      <c r="BL75" s="234"/>
      <c r="BM75" s="234"/>
      <c r="BN75" s="234"/>
      <c r="BO75" s="234"/>
    </row>
    <row r="76" spans="1:67" ht="24" customHeight="1" x14ac:dyDescent="0.25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  <c r="AZ76" s="234"/>
      <c r="BA76" s="234"/>
      <c r="BB76" s="234"/>
      <c r="BC76" s="234"/>
      <c r="BD76" s="234"/>
      <c r="BE76" s="234"/>
      <c r="BF76" s="234"/>
      <c r="BG76" s="234"/>
      <c r="BH76" s="234"/>
      <c r="BI76" s="234"/>
      <c r="BJ76" s="234"/>
      <c r="BK76" s="234"/>
      <c r="BL76" s="234"/>
      <c r="BM76" s="234"/>
      <c r="BN76" s="234"/>
      <c r="BO76" s="234"/>
    </row>
    <row r="77" spans="1:67" ht="24" customHeight="1" x14ac:dyDescent="0.25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  <c r="AZ77" s="234"/>
      <c r="BA77" s="234"/>
      <c r="BB77" s="234"/>
      <c r="BC77" s="234"/>
      <c r="BD77" s="234"/>
      <c r="BE77" s="234"/>
      <c r="BF77" s="234"/>
      <c r="BG77" s="234"/>
      <c r="BH77" s="234"/>
      <c r="BI77" s="234"/>
      <c r="BJ77" s="234"/>
      <c r="BK77" s="234"/>
      <c r="BL77" s="234"/>
      <c r="BM77" s="234"/>
      <c r="BN77" s="234"/>
      <c r="BO77" s="234"/>
    </row>
    <row r="78" spans="1:67" ht="24" customHeight="1" x14ac:dyDescent="0.25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  <c r="AZ78" s="234"/>
      <c r="BA78" s="234"/>
      <c r="BB78" s="234"/>
      <c r="BC78" s="234"/>
      <c r="BD78" s="234"/>
      <c r="BE78" s="234"/>
      <c r="BF78" s="234"/>
      <c r="BG78" s="234"/>
      <c r="BH78" s="234"/>
      <c r="BI78" s="234"/>
      <c r="BJ78" s="234"/>
      <c r="BK78" s="234"/>
      <c r="BL78" s="234"/>
      <c r="BM78" s="234"/>
      <c r="BN78" s="234"/>
      <c r="BO78" s="234"/>
    </row>
    <row r="79" spans="1:67" ht="24" customHeight="1" x14ac:dyDescent="0.25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4"/>
      <c r="AL79" s="234"/>
      <c r="AM79" s="234"/>
      <c r="AN79" s="234"/>
      <c r="AO79" s="234"/>
      <c r="AP79" s="234"/>
      <c r="AQ79" s="234"/>
      <c r="AR79" s="234"/>
      <c r="AS79" s="234"/>
      <c r="AT79" s="234"/>
      <c r="AU79" s="234"/>
      <c r="AV79" s="234"/>
      <c r="AW79" s="234"/>
      <c r="AX79" s="234"/>
      <c r="AY79" s="234"/>
      <c r="AZ79" s="234"/>
      <c r="BA79" s="234"/>
      <c r="BB79" s="234"/>
      <c r="BC79" s="234"/>
      <c r="BD79" s="234"/>
      <c r="BE79" s="234"/>
      <c r="BF79" s="234"/>
      <c r="BG79" s="234"/>
      <c r="BH79" s="234"/>
      <c r="BI79" s="234"/>
      <c r="BJ79" s="234"/>
      <c r="BK79" s="234"/>
      <c r="BL79" s="234"/>
      <c r="BM79" s="234"/>
      <c r="BN79" s="234"/>
      <c r="BO79" s="234"/>
    </row>
    <row r="80" spans="1:67" ht="24" customHeight="1" x14ac:dyDescent="0.25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4"/>
      <c r="AZ80" s="234"/>
      <c r="BA80" s="234"/>
      <c r="BB80" s="234"/>
      <c r="BC80" s="234"/>
      <c r="BD80" s="234"/>
      <c r="BE80" s="234"/>
      <c r="BF80" s="234"/>
      <c r="BG80" s="234"/>
      <c r="BH80" s="234"/>
      <c r="BI80" s="234"/>
      <c r="BJ80" s="234"/>
      <c r="BK80" s="234"/>
      <c r="BL80" s="234"/>
      <c r="BM80" s="234"/>
      <c r="BN80" s="234"/>
      <c r="BO80" s="234"/>
    </row>
    <row r="81" spans="1:67" ht="24" customHeight="1" x14ac:dyDescent="0.25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4"/>
      <c r="AP81" s="234"/>
      <c r="AQ81" s="234"/>
      <c r="AR81" s="234"/>
      <c r="AS81" s="234"/>
      <c r="AT81" s="234"/>
      <c r="AU81" s="234"/>
      <c r="AV81" s="234"/>
      <c r="AW81" s="234"/>
      <c r="AX81" s="234"/>
      <c r="AY81" s="234"/>
      <c r="AZ81" s="234"/>
      <c r="BA81" s="234"/>
      <c r="BB81" s="234"/>
      <c r="BC81" s="234"/>
      <c r="BD81" s="234"/>
      <c r="BE81" s="234"/>
      <c r="BF81" s="234"/>
      <c r="BG81" s="234"/>
      <c r="BH81" s="234"/>
      <c r="BI81" s="234"/>
      <c r="BJ81" s="234"/>
      <c r="BK81" s="234"/>
      <c r="BL81" s="234"/>
      <c r="BM81" s="234"/>
      <c r="BN81" s="234"/>
      <c r="BO81" s="234"/>
    </row>
    <row r="82" spans="1:67" ht="24" customHeight="1" x14ac:dyDescent="0.25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234"/>
      <c r="AN82" s="234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4"/>
      <c r="BG82" s="234"/>
      <c r="BH82" s="234"/>
      <c r="BI82" s="234"/>
      <c r="BJ82" s="234"/>
      <c r="BK82" s="234"/>
      <c r="BL82" s="234"/>
      <c r="BM82" s="234"/>
      <c r="BN82" s="234"/>
      <c r="BO82" s="234"/>
    </row>
    <row r="83" spans="1:67" ht="24" customHeight="1" x14ac:dyDescent="0.25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234"/>
      <c r="AN83" s="234"/>
      <c r="AO83" s="234"/>
      <c r="AP83" s="234"/>
      <c r="AQ83" s="234"/>
      <c r="AR83" s="234"/>
      <c r="AS83" s="234"/>
      <c r="AT83" s="234"/>
      <c r="AU83" s="234"/>
      <c r="AV83" s="234"/>
      <c r="AW83" s="234"/>
      <c r="AX83" s="234"/>
      <c r="AY83" s="234"/>
      <c r="AZ83" s="234"/>
      <c r="BA83" s="234"/>
      <c r="BB83" s="234"/>
      <c r="BC83" s="234"/>
      <c r="BD83" s="234"/>
      <c r="BE83" s="234"/>
      <c r="BF83" s="234"/>
      <c r="BG83" s="234"/>
      <c r="BH83" s="234"/>
      <c r="BI83" s="234"/>
      <c r="BJ83" s="234"/>
      <c r="BK83" s="234"/>
      <c r="BL83" s="234"/>
      <c r="BM83" s="234"/>
      <c r="BN83" s="234"/>
      <c r="BO83" s="234"/>
    </row>
    <row r="84" spans="1:67" ht="24" customHeight="1" x14ac:dyDescent="0.25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234"/>
      <c r="AN84" s="234"/>
      <c r="AO84" s="234"/>
      <c r="AP84" s="234"/>
      <c r="AQ84" s="234"/>
      <c r="AR84" s="234"/>
      <c r="AS84" s="234"/>
      <c r="AT84" s="234"/>
      <c r="AU84" s="234"/>
      <c r="AV84" s="234"/>
      <c r="AW84" s="234"/>
      <c r="AX84" s="234"/>
      <c r="AY84" s="234"/>
      <c r="AZ84" s="234"/>
      <c r="BA84" s="234"/>
      <c r="BB84" s="234"/>
      <c r="BC84" s="234"/>
      <c r="BD84" s="234"/>
      <c r="BE84" s="234"/>
      <c r="BF84" s="234"/>
      <c r="BG84" s="234"/>
      <c r="BH84" s="234"/>
      <c r="BI84" s="234"/>
      <c r="BJ84" s="234"/>
      <c r="BK84" s="234"/>
      <c r="BL84" s="234"/>
      <c r="BM84" s="234"/>
      <c r="BN84" s="234"/>
      <c r="BO84" s="234"/>
    </row>
    <row r="85" spans="1:67" ht="24" customHeight="1" x14ac:dyDescent="0.25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234"/>
      <c r="AN85" s="234"/>
      <c r="AO85" s="234"/>
      <c r="AP85" s="234"/>
      <c r="AQ85" s="234"/>
      <c r="AR85" s="234"/>
      <c r="AS85" s="234"/>
      <c r="AT85" s="234"/>
      <c r="AU85" s="234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4"/>
      <c r="BG85" s="234"/>
      <c r="BH85" s="234"/>
      <c r="BI85" s="234"/>
      <c r="BJ85" s="234"/>
      <c r="BK85" s="234"/>
      <c r="BL85" s="234"/>
      <c r="BM85" s="234"/>
      <c r="BN85" s="234"/>
      <c r="BO85" s="234"/>
    </row>
    <row r="86" spans="1:67" ht="24" customHeight="1" x14ac:dyDescent="0.2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/>
      <c r="BK86" s="234"/>
      <c r="BL86" s="234"/>
      <c r="BM86" s="234"/>
      <c r="BN86" s="234"/>
      <c r="BO86" s="234"/>
    </row>
    <row r="87" spans="1:67" ht="24" customHeight="1" x14ac:dyDescent="0.2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234"/>
      <c r="AN87" s="234"/>
      <c r="AO87" s="234"/>
      <c r="AP87" s="234"/>
      <c r="AQ87" s="234"/>
      <c r="AR87" s="234"/>
      <c r="AS87" s="234"/>
      <c r="AT87" s="234"/>
      <c r="AU87" s="234"/>
      <c r="AV87" s="234"/>
      <c r="AW87" s="234"/>
      <c r="AX87" s="234"/>
      <c r="AY87" s="234"/>
      <c r="AZ87" s="234"/>
      <c r="BA87" s="234"/>
      <c r="BB87" s="234"/>
      <c r="BC87" s="234"/>
      <c r="BD87" s="234"/>
      <c r="BE87" s="234"/>
      <c r="BF87" s="234"/>
      <c r="BG87" s="234"/>
      <c r="BH87" s="234"/>
      <c r="BI87" s="234"/>
      <c r="BJ87" s="234"/>
      <c r="BK87" s="234"/>
      <c r="BL87" s="234"/>
      <c r="BM87" s="234"/>
      <c r="BN87" s="234"/>
      <c r="BO87" s="234"/>
    </row>
    <row r="88" spans="1:67" ht="24" customHeight="1" x14ac:dyDescent="0.2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  <c r="AZ88" s="234"/>
      <c r="BA88" s="234"/>
      <c r="BB88" s="234"/>
      <c r="BC88" s="234"/>
      <c r="BD88" s="234"/>
      <c r="BE88" s="234"/>
      <c r="BF88" s="234"/>
      <c r="BG88" s="234"/>
      <c r="BH88" s="234"/>
      <c r="BI88" s="234"/>
      <c r="BJ88" s="234"/>
      <c r="BK88" s="234"/>
      <c r="BL88" s="234"/>
      <c r="BM88" s="234"/>
      <c r="BN88" s="234"/>
      <c r="BO88" s="234"/>
    </row>
    <row r="89" spans="1:67" ht="24" customHeight="1" x14ac:dyDescent="0.2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234"/>
      <c r="AN89" s="234"/>
      <c r="AO89" s="234"/>
      <c r="AP89" s="234"/>
      <c r="AQ89" s="234"/>
      <c r="AR89" s="234"/>
      <c r="AS89" s="234"/>
      <c r="AT89" s="234"/>
      <c r="AU89" s="234"/>
      <c r="AV89" s="234"/>
      <c r="AW89" s="234"/>
      <c r="AX89" s="234"/>
      <c r="AY89" s="234"/>
      <c r="AZ89" s="234"/>
      <c r="BA89" s="234"/>
      <c r="BB89" s="234"/>
      <c r="BC89" s="234"/>
      <c r="BD89" s="234"/>
      <c r="BE89" s="234"/>
      <c r="BF89" s="234"/>
      <c r="BG89" s="234"/>
      <c r="BH89" s="234"/>
      <c r="BI89" s="234"/>
      <c r="BJ89" s="234"/>
      <c r="BK89" s="234"/>
      <c r="BL89" s="234"/>
      <c r="BM89" s="234"/>
      <c r="BN89" s="234"/>
      <c r="BO89" s="234"/>
    </row>
    <row r="90" spans="1:67" ht="24" customHeight="1" x14ac:dyDescent="0.2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234"/>
      <c r="AN90" s="234"/>
      <c r="AO90" s="234"/>
      <c r="AP90" s="234"/>
      <c r="AQ90" s="234"/>
      <c r="AR90" s="234"/>
      <c r="AS90" s="234"/>
      <c r="AT90" s="234"/>
      <c r="AU90" s="234"/>
      <c r="AV90" s="234"/>
      <c r="AW90" s="234"/>
      <c r="AX90" s="234"/>
      <c r="AY90" s="234"/>
      <c r="AZ90" s="234"/>
      <c r="BA90" s="234"/>
      <c r="BB90" s="234"/>
      <c r="BC90" s="234"/>
      <c r="BD90" s="234"/>
      <c r="BE90" s="234"/>
      <c r="BF90" s="234"/>
      <c r="BG90" s="234"/>
      <c r="BH90" s="234"/>
      <c r="BI90" s="234"/>
      <c r="BJ90" s="234"/>
      <c r="BK90" s="234"/>
      <c r="BL90" s="234"/>
      <c r="BM90" s="234"/>
      <c r="BN90" s="234"/>
      <c r="BO90" s="234"/>
    </row>
    <row r="91" spans="1:67" ht="24" customHeight="1" x14ac:dyDescent="0.2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234"/>
      <c r="AN91" s="234"/>
      <c r="AO91" s="234"/>
      <c r="AP91" s="234"/>
      <c r="AQ91" s="234"/>
      <c r="AR91" s="234"/>
      <c r="AS91" s="234"/>
      <c r="AT91" s="234"/>
      <c r="AU91" s="234"/>
      <c r="AV91" s="234"/>
      <c r="AW91" s="234"/>
      <c r="AX91" s="234"/>
      <c r="AY91" s="234"/>
      <c r="AZ91" s="234"/>
      <c r="BA91" s="234"/>
      <c r="BB91" s="234"/>
      <c r="BC91" s="234"/>
      <c r="BD91" s="234"/>
      <c r="BE91" s="234"/>
      <c r="BF91" s="234"/>
      <c r="BG91" s="234"/>
      <c r="BH91" s="234"/>
      <c r="BI91" s="234"/>
      <c r="BJ91" s="234"/>
      <c r="BK91" s="234"/>
      <c r="BL91" s="234"/>
      <c r="BM91" s="234"/>
      <c r="BN91" s="234"/>
      <c r="BO91" s="234"/>
    </row>
    <row r="92" spans="1:67" ht="24" customHeight="1" x14ac:dyDescent="0.2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34"/>
      <c r="AO92" s="234"/>
      <c r="AP92" s="234"/>
      <c r="AQ92" s="234"/>
      <c r="AR92" s="234"/>
      <c r="AS92" s="234"/>
      <c r="AT92" s="234"/>
      <c r="AU92" s="234"/>
      <c r="AV92" s="234"/>
      <c r="AW92" s="234"/>
      <c r="AX92" s="234"/>
      <c r="AY92" s="234"/>
      <c r="AZ92" s="234"/>
      <c r="BA92" s="234"/>
      <c r="BB92" s="234"/>
      <c r="BC92" s="234"/>
      <c r="BD92" s="234"/>
      <c r="BE92" s="234"/>
      <c r="BF92" s="234"/>
      <c r="BG92" s="234"/>
      <c r="BH92" s="234"/>
      <c r="BI92" s="234"/>
      <c r="BJ92" s="234"/>
      <c r="BK92" s="234"/>
      <c r="BL92" s="234"/>
      <c r="BM92" s="234"/>
      <c r="BN92" s="234"/>
      <c r="BO92" s="234"/>
    </row>
    <row r="93" spans="1:67" ht="24" customHeight="1" x14ac:dyDescent="0.2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  <c r="AZ93" s="234"/>
      <c r="BA93" s="234"/>
      <c r="BB93" s="234"/>
      <c r="BC93" s="234"/>
      <c r="BD93" s="234"/>
      <c r="BE93" s="234"/>
      <c r="BF93" s="234"/>
      <c r="BG93" s="234"/>
      <c r="BH93" s="234"/>
      <c r="BI93" s="234"/>
      <c r="BJ93" s="234"/>
      <c r="BK93" s="234"/>
      <c r="BL93" s="234"/>
      <c r="BM93" s="234"/>
      <c r="BN93" s="234"/>
      <c r="BO93" s="234"/>
    </row>
    <row r="94" spans="1:67" ht="24" customHeight="1" x14ac:dyDescent="0.2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4"/>
      <c r="AL94" s="234"/>
      <c r="AM94" s="234"/>
      <c r="AN94" s="234"/>
      <c r="AO94" s="234"/>
      <c r="AP94" s="234"/>
      <c r="AQ94" s="234"/>
      <c r="AR94" s="234"/>
      <c r="AS94" s="234"/>
      <c r="AT94" s="234"/>
      <c r="AU94" s="234"/>
      <c r="AV94" s="234"/>
      <c r="AW94" s="234"/>
      <c r="AX94" s="234"/>
      <c r="AY94" s="234"/>
      <c r="AZ94" s="234"/>
      <c r="BA94" s="234"/>
      <c r="BB94" s="234"/>
      <c r="BC94" s="234"/>
      <c r="BD94" s="234"/>
      <c r="BE94" s="234"/>
      <c r="BF94" s="234"/>
      <c r="BG94" s="234"/>
      <c r="BH94" s="234"/>
      <c r="BI94" s="234"/>
      <c r="BJ94" s="234"/>
      <c r="BK94" s="234"/>
      <c r="BL94" s="234"/>
      <c r="BM94" s="234"/>
      <c r="BN94" s="234"/>
      <c r="BO94" s="234"/>
    </row>
    <row r="95" spans="1:67" ht="24" customHeight="1" x14ac:dyDescent="0.2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234"/>
      <c r="AN95" s="234"/>
      <c r="AO95" s="234"/>
      <c r="AP95" s="234"/>
      <c r="AQ95" s="234"/>
      <c r="AR95" s="234"/>
      <c r="AS95" s="234"/>
      <c r="AT95" s="234"/>
      <c r="AU95" s="234"/>
      <c r="AV95" s="234"/>
      <c r="AW95" s="234"/>
      <c r="AX95" s="234"/>
      <c r="AY95" s="234"/>
      <c r="AZ95" s="234"/>
      <c r="BA95" s="234"/>
      <c r="BB95" s="234"/>
      <c r="BC95" s="234"/>
      <c r="BD95" s="234"/>
      <c r="BE95" s="234"/>
      <c r="BF95" s="234"/>
      <c r="BG95" s="234"/>
      <c r="BH95" s="234"/>
      <c r="BI95" s="234"/>
      <c r="BJ95" s="234"/>
      <c r="BK95" s="234"/>
      <c r="BL95" s="234"/>
      <c r="BM95" s="234"/>
      <c r="BN95" s="234"/>
      <c r="BO95" s="234"/>
    </row>
    <row r="96" spans="1:67" ht="24" customHeight="1" x14ac:dyDescent="0.2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234"/>
      <c r="AN96" s="234"/>
      <c r="AO96" s="234"/>
      <c r="AP96" s="234"/>
      <c r="AQ96" s="234"/>
      <c r="AR96" s="234"/>
      <c r="AS96" s="234"/>
      <c r="AT96" s="234"/>
      <c r="AU96" s="234"/>
      <c r="AV96" s="234"/>
      <c r="AW96" s="234"/>
      <c r="AX96" s="234"/>
      <c r="AY96" s="234"/>
      <c r="AZ96" s="234"/>
      <c r="BA96" s="234"/>
      <c r="BB96" s="234"/>
      <c r="BC96" s="234"/>
      <c r="BD96" s="234"/>
      <c r="BE96" s="234"/>
      <c r="BF96" s="234"/>
      <c r="BG96" s="234"/>
      <c r="BH96" s="234"/>
      <c r="BI96" s="234"/>
      <c r="BJ96" s="234"/>
      <c r="BK96" s="234"/>
      <c r="BL96" s="234"/>
      <c r="BM96" s="234"/>
      <c r="BN96" s="234"/>
      <c r="BO96" s="234"/>
    </row>
    <row r="97" spans="1:67" ht="24" customHeight="1" x14ac:dyDescent="0.2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234"/>
      <c r="AN97" s="234"/>
      <c r="AO97" s="234"/>
      <c r="AP97" s="234"/>
      <c r="AQ97" s="234"/>
      <c r="AR97" s="234"/>
      <c r="AS97" s="234"/>
      <c r="AT97" s="234"/>
      <c r="AU97" s="234"/>
      <c r="AV97" s="234"/>
      <c r="AW97" s="234"/>
      <c r="AX97" s="234"/>
      <c r="AY97" s="234"/>
      <c r="AZ97" s="234"/>
      <c r="BA97" s="234"/>
      <c r="BB97" s="234"/>
      <c r="BC97" s="234"/>
      <c r="BD97" s="234"/>
      <c r="BE97" s="234"/>
      <c r="BF97" s="234"/>
      <c r="BG97" s="234"/>
      <c r="BH97" s="234"/>
      <c r="BI97" s="234"/>
      <c r="BJ97" s="234"/>
      <c r="BK97" s="234"/>
      <c r="BL97" s="234"/>
      <c r="BM97" s="234"/>
      <c r="BN97" s="234"/>
      <c r="BO97" s="234"/>
    </row>
    <row r="98" spans="1:67" ht="24" customHeight="1" x14ac:dyDescent="0.2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234"/>
      <c r="AN98" s="234"/>
      <c r="AO98" s="234"/>
      <c r="AP98" s="234"/>
      <c r="AQ98" s="234"/>
      <c r="AR98" s="234"/>
      <c r="AS98" s="234"/>
      <c r="AT98" s="234"/>
      <c r="AU98" s="234"/>
      <c r="AV98" s="234"/>
      <c r="AW98" s="234"/>
      <c r="AX98" s="234"/>
      <c r="AY98" s="234"/>
      <c r="AZ98" s="234"/>
      <c r="BA98" s="234"/>
      <c r="BB98" s="234"/>
      <c r="BC98" s="234"/>
      <c r="BD98" s="234"/>
      <c r="BE98" s="234"/>
      <c r="BF98" s="234"/>
      <c r="BG98" s="234"/>
      <c r="BH98" s="234"/>
      <c r="BI98" s="234"/>
      <c r="BJ98" s="234"/>
      <c r="BK98" s="234"/>
      <c r="BL98" s="234"/>
      <c r="BM98" s="234"/>
      <c r="BN98" s="234"/>
      <c r="BO98" s="234"/>
    </row>
    <row r="99" spans="1:67" ht="24" customHeight="1" x14ac:dyDescent="0.2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234"/>
      <c r="AN99" s="234"/>
      <c r="AO99" s="234"/>
      <c r="AP99" s="234"/>
      <c r="AQ99" s="234"/>
      <c r="AR99" s="234"/>
      <c r="AS99" s="234"/>
      <c r="AT99" s="234"/>
      <c r="AU99" s="234"/>
      <c r="AV99" s="234"/>
      <c r="AW99" s="234"/>
      <c r="AX99" s="234"/>
      <c r="AY99" s="234"/>
      <c r="AZ99" s="234"/>
      <c r="BA99" s="234"/>
      <c r="BB99" s="234"/>
      <c r="BC99" s="234"/>
      <c r="BD99" s="234"/>
      <c r="BE99" s="234"/>
      <c r="BF99" s="234"/>
      <c r="BG99" s="234"/>
      <c r="BH99" s="234"/>
      <c r="BI99" s="234"/>
      <c r="BJ99" s="234"/>
      <c r="BK99" s="234"/>
      <c r="BL99" s="234"/>
      <c r="BM99" s="234"/>
      <c r="BN99" s="234"/>
      <c r="BO99" s="234"/>
    </row>
    <row r="100" spans="1:67" ht="24" customHeight="1" x14ac:dyDescent="0.2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34"/>
      <c r="AO100" s="234"/>
      <c r="AP100" s="234"/>
      <c r="AQ100" s="234"/>
      <c r="AR100" s="234"/>
      <c r="AS100" s="234"/>
      <c r="AT100" s="234"/>
      <c r="AU100" s="234"/>
      <c r="AV100" s="234"/>
      <c r="AW100" s="234"/>
      <c r="AX100" s="234"/>
      <c r="AY100" s="234"/>
      <c r="AZ100" s="234"/>
      <c r="BA100" s="234"/>
      <c r="BB100" s="234"/>
      <c r="BC100" s="234"/>
      <c r="BD100" s="234"/>
      <c r="BE100" s="234"/>
      <c r="BF100" s="234"/>
      <c r="BG100" s="234"/>
      <c r="BH100" s="234"/>
      <c r="BI100" s="234"/>
      <c r="BJ100" s="234"/>
      <c r="BK100" s="234"/>
      <c r="BL100" s="234"/>
      <c r="BM100" s="234"/>
      <c r="BN100" s="234"/>
      <c r="BO100" s="234"/>
    </row>
    <row r="101" spans="1:67" ht="24" customHeight="1" x14ac:dyDescent="0.2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234"/>
      <c r="AS101" s="234"/>
      <c r="AT101" s="234"/>
      <c r="AU101" s="234"/>
      <c r="AV101" s="234"/>
      <c r="AW101" s="234"/>
      <c r="AX101" s="234"/>
      <c r="AY101" s="234"/>
      <c r="AZ101" s="234"/>
      <c r="BA101" s="234"/>
      <c r="BB101" s="234"/>
      <c r="BC101" s="234"/>
      <c r="BD101" s="234"/>
      <c r="BE101" s="234"/>
      <c r="BF101" s="234"/>
      <c r="BG101" s="234"/>
      <c r="BH101" s="234"/>
      <c r="BI101" s="234"/>
      <c r="BJ101" s="234"/>
      <c r="BK101" s="234"/>
      <c r="BL101" s="234"/>
      <c r="BM101" s="234"/>
      <c r="BN101" s="234"/>
      <c r="BO101" s="234"/>
    </row>
    <row r="102" spans="1:67" ht="24" customHeight="1" x14ac:dyDescent="0.2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  <c r="AZ102" s="234"/>
      <c r="BA102" s="234"/>
      <c r="BB102" s="234"/>
      <c r="BC102" s="234"/>
      <c r="BD102" s="234"/>
      <c r="BE102" s="234"/>
      <c r="BF102" s="234"/>
      <c r="BG102" s="234"/>
      <c r="BH102" s="234"/>
      <c r="BI102" s="234"/>
      <c r="BJ102" s="234"/>
      <c r="BK102" s="234"/>
      <c r="BL102" s="234"/>
      <c r="BM102" s="234"/>
      <c r="BN102" s="234"/>
      <c r="BO102" s="234"/>
    </row>
    <row r="103" spans="1:67" ht="24" customHeight="1" x14ac:dyDescent="0.2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234"/>
      <c r="AN103" s="234"/>
      <c r="AO103" s="234"/>
      <c r="AP103" s="234"/>
      <c r="AQ103" s="234"/>
      <c r="AR103" s="234"/>
      <c r="AS103" s="234"/>
      <c r="AT103" s="234"/>
      <c r="AU103" s="234"/>
      <c r="AV103" s="234"/>
      <c r="AW103" s="234"/>
      <c r="AX103" s="234"/>
      <c r="AY103" s="234"/>
      <c r="AZ103" s="234"/>
      <c r="BA103" s="234"/>
      <c r="BB103" s="234"/>
      <c r="BC103" s="234"/>
      <c r="BD103" s="234"/>
      <c r="BE103" s="234"/>
      <c r="BF103" s="234"/>
      <c r="BG103" s="234"/>
      <c r="BH103" s="234"/>
      <c r="BI103" s="234"/>
      <c r="BJ103" s="234"/>
      <c r="BK103" s="234"/>
      <c r="BL103" s="234"/>
      <c r="BM103" s="234"/>
      <c r="BN103" s="234"/>
      <c r="BO103" s="234"/>
    </row>
    <row r="104" spans="1:67" ht="24" customHeight="1" x14ac:dyDescent="0.2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34"/>
      <c r="AO104" s="234"/>
      <c r="AP104" s="234"/>
      <c r="AQ104" s="234"/>
      <c r="AR104" s="234"/>
      <c r="AS104" s="234"/>
      <c r="AT104" s="234"/>
      <c r="AU104" s="234"/>
      <c r="AV104" s="234"/>
      <c r="AW104" s="234"/>
      <c r="AX104" s="234"/>
      <c r="AY104" s="234"/>
      <c r="AZ104" s="234"/>
      <c r="BA104" s="234"/>
      <c r="BB104" s="234"/>
      <c r="BC104" s="234"/>
      <c r="BD104" s="234"/>
      <c r="BE104" s="234"/>
      <c r="BF104" s="234"/>
      <c r="BG104" s="234"/>
      <c r="BH104" s="234"/>
      <c r="BI104" s="234"/>
      <c r="BJ104" s="234"/>
      <c r="BK104" s="234"/>
      <c r="BL104" s="234"/>
      <c r="BM104" s="234"/>
      <c r="BN104" s="234"/>
      <c r="BO104" s="234"/>
    </row>
    <row r="105" spans="1:67" ht="24" customHeight="1" x14ac:dyDescent="0.2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234"/>
      <c r="AN105" s="234"/>
      <c r="AO105" s="234"/>
      <c r="AP105" s="234"/>
      <c r="AQ105" s="234"/>
      <c r="AR105" s="234"/>
      <c r="AS105" s="234"/>
      <c r="AT105" s="234"/>
      <c r="AU105" s="234"/>
      <c r="AV105" s="234"/>
      <c r="AW105" s="234"/>
      <c r="AX105" s="234"/>
      <c r="AY105" s="234"/>
      <c r="AZ105" s="234"/>
      <c r="BA105" s="234"/>
      <c r="BB105" s="234"/>
      <c r="BC105" s="234"/>
      <c r="BD105" s="234"/>
      <c r="BE105" s="234"/>
      <c r="BF105" s="234"/>
      <c r="BG105" s="234"/>
      <c r="BH105" s="234"/>
      <c r="BI105" s="234"/>
      <c r="BJ105" s="234"/>
      <c r="BK105" s="234"/>
      <c r="BL105" s="234"/>
      <c r="BM105" s="234"/>
      <c r="BN105" s="234"/>
      <c r="BO105" s="234"/>
    </row>
    <row r="106" spans="1:67" ht="24" customHeight="1" x14ac:dyDescent="0.2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234"/>
      <c r="AS106" s="234"/>
      <c r="AT106" s="234"/>
      <c r="AU106" s="234"/>
      <c r="AV106" s="234"/>
      <c r="AW106" s="234"/>
      <c r="AX106" s="234"/>
      <c r="AY106" s="234"/>
      <c r="AZ106" s="234"/>
      <c r="BA106" s="234"/>
      <c r="BB106" s="234"/>
      <c r="BC106" s="234"/>
      <c r="BD106" s="234"/>
      <c r="BE106" s="234"/>
      <c r="BF106" s="234"/>
      <c r="BG106" s="234"/>
      <c r="BH106" s="234"/>
      <c r="BI106" s="234"/>
      <c r="BJ106" s="234"/>
      <c r="BK106" s="234"/>
      <c r="BL106" s="234"/>
      <c r="BM106" s="234"/>
      <c r="BN106" s="234"/>
      <c r="BO106" s="234"/>
    </row>
    <row r="107" spans="1:67" ht="24" customHeight="1" x14ac:dyDescent="0.2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34"/>
      <c r="AO107" s="234"/>
      <c r="AP107" s="234"/>
      <c r="AQ107" s="234"/>
      <c r="AR107" s="234"/>
      <c r="AS107" s="234"/>
      <c r="AT107" s="234"/>
      <c r="AU107" s="234"/>
      <c r="AV107" s="234"/>
      <c r="AW107" s="234"/>
      <c r="AX107" s="234"/>
      <c r="AY107" s="234"/>
      <c r="AZ107" s="234"/>
      <c r="BA107" s="234"/>
      <c r="BB107" s="234"/>
      <c r="BC107" s="234"/>
      <c r="BD107" s="234"/>
      <c r="BE107" s="234"/>
      <c r="BF107" s="234"/>
      <c r="BG107" s="234"/>
      <c r="BH107" s="234"/>
      <c r="BI107" s="234"/>
      <c r="BJ107" s="234"/>
      <c r="BK107" s="234"/>
      <c r="BL107" s="234"/>
      <c r="BM107" s="234"/>
      <c r="BN107" s="234"/>
      <c r="BO107" s="234"/>
    </row>
    <row r="108" spans="1:67" ht="24" customHeight="1" x14ac:dyDescent="0.2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4"/>
      <c r="AL108" s="234"/>
      <c r="AM108" s="234"/>
      <c r="AN108" s="234"/>
      <c r="AO108" s="234"/>
      <c r="AP108" s="234"/>
      <c r="AQ108" s="234"/>
      <c r="AR108" s="234"/>
      <c r="AS108" s="234"/>
      <c r="AT108" s="234"/>
      <c r="AU108" s="234"/>
      <c r="AV108" s="234"/>
      <c r="AW108" s="234"/>
      <c r="AX108" s="234"/>
      <c r="AY108" s="234"/>
      <c r="AZ108" s="234"/>
      <c r="BA108" s="234"/>
      <c r="BB108" s="234"/>
      <c r="BC108" s="234"/>
      <c r="BD108" s="234"/>
      <c r="BE108" s="234"/>
      <c r="BF108" s="234"/>
      <c r="BG108" s="234"/>
      <c r="BH108" s="234"/>
      <c r="BI108" s="234"/>
      <c r="BJ108" s="234"/>
      <c r="BK108" s="234"/>
      <c r="BL108" s="234"/>
      <c r="BM108" s="234"/>
      <c r="BN108" s="234"/>
      <c r="BO108" s="234"/>
    </row>
    <row r="109" spans="1:67" ht="24" customHeight="1" x14ac:dyDescent="0.2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34"/>
      <c r="AO109" s="234"/>
      <c r="AP109" s="234"/>
      <c r="AQ109" s="234"/>
      <c r="AR109" s="234"/>
      <c r="AS109" s="234"/>
      <c r="AT109" s="234"/>
      <c r="AU109" s="234"/>
      <c r="AV109" s="234"/>
      <c r="AW109" s="234"/>
      <c r="AX109" s="234"/>
      <c r="AY109" s="234"/>
      <c r="AZ109" s="234"/>
      <c r="BA109" s="234"/>
      <c r="BB109" s="234"/>
      <c r="BC109" s="234"/>
      <c r="BD109" s="234"/>
      <c r="BE109" s="234"/>
      <c r="BF109" s="234"/>
      <c r="BG109" s="234"/>
      <c r="BH109" s="234"/>
      <c r="BI109" s="234"/>
      <c r="BJ109" s="234"/>
      <c r="BK109" s="234"/>
      <c r="BL109" s="234"/>
      <c r="BM109" s="234"/>
      <c r="BN109" s="234"/>
      <c r="BO109" s="234"/>
    </row>
    <row r="110" spans="1:67" ht="24" customHeight="1" x14ac:dyDescent="0.2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234"/>
      <c r="AN110" s="234"/>
      <c r="AO110" s="234"/>
      <c r="AP110" s="234"/>
      <c r="AQ110" s="234"/>
      <c r="AR110" s="234"/>
      <c r="AS110" s="234"/>
      <c r="AT110" s="234"/>
      <c r="AU110" s="234"/>
      <c r="AV110" s="234"/>
      <c r="AW110" s="234"/>
      <c r="AX110" s="234"/>
      <c r="AY110" s="234"/>
      <c r="AZ110" s="234"/>
      <c r="BA110" s="234"/>
      <c r="BB110" s="234"/>
      <c r="BC110" s="234"/>
      <c r="BD110" s="234"/>
      <c r="BE110" s="234"/>
      <c r="BF110" s="234"/>
      <c r="BG110" s="234"/>
      <c r="BH110" s="234"/>
      <c r="BI110" s="234"/>
      <c r="BJ110" s="234"/>
      <c r="BK110" s="234"/>
      <c r="BL110" s="234"/>
      <c r="BM110" s="234"/>
      <c r="BN110" s="234"/>
      <c r="BO110" s="234"/>
    </row>
    <row r="111" spans="1:67" ht="24" customHeight="1" x14ac:dyDescent="0.2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34"/>
      <c r="AO111" s="234"/>
      <c r="AP111" s="234"/>
      <c r="AQ111" s="234"/>
      <c r="AR111" s="234"/>
      <c r="AS111" s="234"/>
      <c r="AT111" s="234"/>
      <c r="AU111" s="234"/>
      <c r="AV111" s="234"/>
      <c r="AW111" s="234"/>
      <c r="AX111" s="234"/>
      <c r="AY111" s="234"/>
      <c r="AZ111" s="234"/>
      <c r="BA111" s="234"/>
      <c r="BB111" s="234"/>
      <c r="BC111" s="234"/>
      <c r="BD111" s="234"/>
      <c r="BE111" s="234"/>
      <c r="BF111" s="234"/>
      <c r="BG111" s="234"/>
      <c r="BH111" s="234"/>
      <c r="BI111" s="234"/>
      <c r="BJ111" s="234"/>
      <c r="BK111" s="234"/>
      <c r="BL111" s="234"/>
      <c r="BM111" s="234"/>
      <c r="BN111" s="234"/>
      <c r="BO111" s="234"/>
    </row>
    <row r="112" spans="1:67" ht="24" customHeight="1" x14ac:dyDescent="0.2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234"/>
      <c r="AN112" s="234"/>
      <c r="AO112" s="234"/>
      <c r="AP112" s="234"/>
      <c r="AQ112" s="234"/>
      <c r="AR112" s="234"/>
      <c r="AS112" s="234"/>
      <c r="AT112" s="234"/>
      <c r="AU112" s="234"/>
      <c r="AV112" s="234"/>
      <c r="AW112" s="234"/>
      <c r="AX112" s="234"/>
      <c r="AY112" s="234"/>
      <c r="AZ112" s="234"/>
      <c r="BA112" s="234"/>
      <c r="BB112" s="234"/>
      <c r="BC112" s="234"/>
      <c r="BD112" s="234"/>
      <c r="BE112" s="234"/>
      <c r="BF112" s="234"/>
      <c r="BG112" s="234"/>
      <c r="BH112" s="234"/>
      <c r="BI112" s="234"/>
      <c r="BJ112" s="234"/>
      <c r="BK112" s="234"/>
      <c r="BL112" s="234"/>
      <c r="BM112" s="234"/>
      <c r="BN112" s="234"/>
      <c r="BO112" s="234"/>
    </row>
    <row r="113" spans="1:67" ht="24" customHeight="1" x14ac:dyDescent="0.2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34"/>
      <c r="AO113" s="234"/>
      <c r="AP113" s="234"/>
      <c r="AQ113" s="234"/>
      <c r="AR113" s="234"/>
      <c r="AS113" s="234"/>
      <c r="AT113" s="234"/>
      <c r="AU113" s="234"/>
      <c r="AV113" s="234"/>
      <c r="AW113" s="234"/>
      <c r="AX113" s="234"/>
      <c r="AY113" s="234"/>
      <c r="AZ113" s="234"/>
      <c r="BA113" s="234"/>
      <c r="BB113" s="234"/>
      <c r="BC113" s="234"/>
      <c r="BD113" s="234"/>
      <c r="BE113" s="234"/>
      <c r="BF113" s="234"/>
      <c r="BG113" s="234"/>
      <c r="BH113" s="234"/>
      <c r="BI113" s="234"/>
      <c r="BJ113" s="234"/>
      <c r="BK113" s="234"/>
      <c r="BL113" s="234"/>
      <c r="BM113" s="234"/>
      <c r="BN113" s="234"/>
      <c r="BO113" s="234"/>
    </row>
    <row r="114" spans="1:67" ht="24" customHeight="1" x14ac:dyDescent="0.2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34"/>
      <c r="AO114" s="234"/>
      <c r="AP114" s="234"/>
      <c r="AQ114" s="234"/>
      <c r="AR114" s="234"/>
      <c r="AS114" s="234"/>
      <c r="AT114" s="234"/>
      <c r="AU114" s="234"/>
      <c r="AV114" s="234"/>
      <c r="AW114" s="234"/>
      <c r="AX114" s="234"/>
      <c r="AY114" s="234"/>
      <c r="AZ114" s="234"/>
      <c r="BA114" s="234"/>
      <c r="BB114" s="234"/>
      <c r="BC114" s="234"/>
      <c r="BD114" s="234"/>
      <c r="BE114" s="234"/>
      <c r="BF114" s="234"/>
      <c r="BG114" s="234"/>
      <c r="BH114" s="234"/>
      <c r="BI114" s="234"/>
      <c r="BJ114" s="234"/>
      <c r="BK114" s="234"/>
      <c r="BL114" s="234"/>
      <c r="BM114" s="234"/>
      <c r="BN114" s="234"/>
      <c r="BO114" s="234"/>
    </row>
    <row r="115" spans="1:67" ht="24" customHeight="1" x14ac:dyDescent="0.2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234"/>
      <c r="AN115" s="234"/>
      <c r="AO115" s="234"/>
      <c r="AP115" s="234"/>
      <c r="AQ115" s="234"/>
      <c r="AR115" s="234"/>
      <c r="AS115" s="234"/>
      <c r="AT115" s="234"/>
      <c r="AU115" s="234"/>
      <c r="AV115" s="234"/>
      <c r="AW115" s="234"/>
      <c r="AX115" s="234"/>
      <c r="AY115" s="234"/>
      <c r="AZ115" s="234"/>
      <c r="BA115" s="234"/>
      <c r="BB115" s="234"/>
      <c r="BC115" s="234"/>
      <c r="BD115" s="234"/>
      <c r="BE115" s="234"/>
      <c r="BF115" s="234"/>
      <c r="BG115" s="234"/>
      <c r="BH115" s="234"/>
      <c r="BI115" s="234"/>
      <c r="BJ115" s="234"/>
      <c r="BK115" s="234"/>
      <c r="BL115" s="234"/>
      <c r="BM115" s="234"/>
      <c r="BN115" s="234"/>
      <c r="BO115" s="234"/>
    </row>
    <row r="116" spans="1:67" ht="24" customHeight="1" x14ac:dyDescent="0.2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234"/>
      <c r="AN116" s="234"/>
      <c r="AO116" s="234"/>
      <c r="AP116" s="234"/>
      <c r="AQ116" s="234"/>
      <c r="AR116" s="234"/>
      <c r="AS116" s="234"/>
      <c r="AT116" s="234"/>
      <c r="AU116" s="234"/>
      <c r="AV116" s="234"/>
      <c r="AW116" s="234"/>
      <c r="AX116" s="234"/>
      <c r="AY116" s="234"/>
      <c r="AZ116" s="234"/>
      <c r="BA116" s="234"/>
      <c r="BB116" s="234"/>
      <c r="BC116" s="234"/>
      <c r="BD116" s="234"/>
      <c r="BE116" s="234"/>
      <c r="BF116" s="234"/>
      <c r="BG116" s="234"/>
      <c r="BH116" s="234"/>
      <c r="BI116" s="234"/>
      <c r="BJ116" s="234"/>
      <c r="BK116" s="234"/>
      <c r="BL116" s="234"/>
      <c r="BM116" s="234"/>
      <c r="BN116" s="234"/>
      <c r="BO116" s="234"/>
    </row>
    <row r="117" spans="1:67" ht="24" customHeight="1" x14ac:dyDescent="0.2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234"/>
      <c r="AN117" s="234"/>
      <c r="AO117" s="234"/>
      <c r="AP117" s="234"/>
      <c r="AQ117" s="234"/>
      <c r="AR117" s="234"/>
      <c r="AS117" s="234"/>
      <c r="AT117" s="234"/>
      <c r="AU117" s="234"/>
      <c r="AV117" s="234"/>
      <c r="AW117" s="234"/>
      <c r="AX117" s="234"/>
      <c r="AY117" s="234"/>
      <c r="AZ117" s="234"/>
      <c r="BA117" s="234"/>
      <c r="BB117" s="234"/>
      <c r="BC117" s="234"/>
      <c r="BD117" s="234"/>
      <c r="BE117" s="234"/>
      <c r="BF117" s="234"/>
      <c r="BG117" s="234"/>
      <c r="BH117" s="234"/>
      <c r="BI117" s="234"/>
      <c r="BJ117" s="234"/>
      <c r="BK117" s="234"/>
      <c r="BL117" s="234"/>
      <c r="BM117" s="234"/>
      <c r="BN117" s="234"/>
      <c r="BO117" s="234"/>
    </row>
    <row r="118" spans="1:67" ht="24" customHeight="1" x14ac:dyDescent="0.2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4"/>
      <c r="AL118" s="234"/>
      <c r="AM118" s="234"/>
      <c r="AN118" s="234"/>
      <c r="AO118" s="234"/>
      <c r="AP118" s="234"/>
      <c r="AQ118" s="234"/>
      <c r="AR118" s="234"/>
      <c r="AS118" s="234"/>
      <c r="AT118" s="234"/>
      <c r="AU118" s="234"/>
      <c r="AV118" s="234"/>
      <c r="AW118" s="234"/>
      <c r="AX118" s="234"/>
      <c r="AY118" s="234"/>
      <c r="AZ118" s="234"/>
      <c r="BA118" s="234"/>
      <c r="BB118" s="234"/>
      <c r="BC118" s="234"/>
      <c r="BD118" s="234"/>
      <c r="BE118" s="234"/>
      <c r="BF118" s="234"/>
      <c r="BG118" s="234"/>
      <c r="BH118" s="234"/>
      <c r="BI118" s="234"/>
      <c r="BJ118" s="234"/>
      <c r="BK118" s="234"/>
      <c r="BL118" s="234"/>
      <c r="BM118" s="234"/>
      <c r="BN118" s="234"/>
      <c r="BO118" s="234"/>
    </row>
    <row r="119" spans="1:67" ht="24" customHeight="1" x14ac:dyDescent="0.2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234"/>
      <c r="AN119" s="234"/>
      <c r="AO119" s="234"/>
      <c r="AP119" s="234"/>
      <c r="AQ119" s="234"/>
      <c r="AR119" s="234"/>
      <c r="AS119" s="234"/>
      <c r="AT119" s="234"/>
      <c r="AU119" s="234"/>
      <c r="AV119" s="234"/>
      <c r="AW119" s="234"/>
      <c r="AX119" s="234"/>
      <c r="AY119" s="234"/>
      <c r="AZ119" s="234"/>
      <c r="BA119" s="234"/>
      <c r="BB119" s="234"/>
      <c r="BC119" s="234"/>
      <c r="BD119" s="234"/>
      <c r="BE119" s="234"/>
      <c r="BF119" s="234"/>
      <c r="BG119" s="234"/>
      <c r="BH119" s="234"/>
      <c r="BI119" s="234"/>
      <c r="BJ119" s="234"/>
      <c r="BK119" s="234"/>
      <c r="BL119" s="234"/>
      <c r="BM119" s="234"/>
      <c r="BN119" s="234"/>
      <c r="BO119" s="234"/>
    </row>
    <row r="120" spans="1:67" ht="24" customHeight="1" x14ac:dyDescent="0.2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234"/>
      <c r="AN120" s="234"/>
      <c r="AO120" s="234"/>
      <c r="AP120" s="234"/>
      <c r="AQ120" s="234"/>
      <c r="AR120" s="234"/>
      <c r="AS120" s="234"/>
      <c r="AT120" s="234"/>
      <c r="AU120" s="234"/>
      <c r="AV120" s="234"/>
      <c r="AW120" s="234"/>
      <c r="AX120" s="234"/>
      <c r="AY120" s="234"/>
      <c r="AZ120" s="234"/>
      <c r="BA120" s="234"/>
      <c r="BB120" s="234"/>
      <c r="BC120" s="234"/>
      <c r="BD120" s="234"/>
      <c r="BE120" s="234"/>
      <c r="BF120" s="234"/>
      <c r="BG120" s="234"/>
      <c r="BH120" s="234"/>
      <c r="BI120" s="234"/>
      <c r="BJ120" s="234"/>
      <c r="BK120" s="234"/>
      <c r="BL120" s="234"/>
      <c r="BM120" s="234"/>
      <c r="BN120" s="234"/>
      <c r="BO120" s="234"/>
    </row>
    <row r="121" spans="1:67" ht="24" customHeight="1" x14ac:dyDescent="0.2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4"/>
      <c r="AW121" s="234"/>
      <c r="AX121" s="234"/>
      <c r="AY121" s="234"/>
      <c r="AZ121" s="234"/>
      <c r="BA121" s="234"/>
      <c r="BB121" s="234"/>
      <c r="BC121" s="234"/>
      <c r="BD121" s="234"/>
      <c r="BE121" s="234"/>
      <c r="BF121" s="234"/>
      <c r="BG121" s="234"/>
      <c r="BH121" s="234"/>
      <c r="BI121" s="234"/>
      <c r="BJ121" s="234"/>
      <c r="BK121" s="234"/>
      <c r="BL121" s="234"/>
      <c r="BM121" s="234"/>
      <c r="BN121" s="234"/>
      <c r="BO121" s="234"/>
    </row>
    <row r="122" spans="1:67" ht="24" customHeight="1" x14ac:dyDescent="0.2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234"/>
      <c r="AN122" s="234"/>
      <c r="AO122" s="234"/>
      <c r="AP122" s="234"/>
      <c r="AQ122" s="234"/>
      <c r="AR122" s="234"/>
      <c r="AS122" s="234"/>
      <c r="AT122" s="234"/>
      <c r="AU122" s="234"/>
      <c r="AV122" s="234"/>
      <c r="AW122" s="234"/>
      <c r="AX122" s="234"/>
      <c r="AY122" s="234"/>
      <c r="AZ122" s="234"/>
      <c r="BA122" s="234"/>
      <c r="BB122" s="234"/>
      <c r="BC122" s="234"/>
      <c r="BD122" s="234"/>
      <c r="BE122" s="234"/>
      <c r="BF122" s="234"/>
      <c r="BG122" s="234"/>
      <c r="BH122" s="234"/>
      <c r="BI122" s="234"/>
      <c r="BJ122" s="234"/>
      <c r="BK122" s="234"/>
      <c r="BL122" s="234"/>
      <c r="BM122" s="234"/>
      <c r="BN122" s="234"/>
      <c r="BO122" s="234"/>
    </row>
    <row r="123" spans="1:67" ht="24" customHeight="1" x14ac:dyDescent="0.2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234"/>
      <c r="AN123" s="234"/>
      <c r="AO123" s="234"/>
      <c r="AP123" s="234"/>
      <c r="AQ123" s="234"/>
      <c r="AR123" s="234"/>
      <c r="AS123" s="234"/>
      <c r="AT123" s="234"/>
      <c r="AU123" s="234"/>
      <c r="AV123" s="234"/>
      <c r="AW123" s="234"/>
      <c r="AX123" s="234"/>
      <c r="AY123" s="234"/>
      <c r="AZ123" s="234"/>
      <c r="BA123" s="234"/>
      <c r="BB123" s="234"/>
      <c r="BC123" s="234"/>
      <c r="BD123" s="234"/>
      <c r="BE123" s="234"/>
      <c r="BF123" s="234"/>
      <c r="BG123" s="234"/>
      <c r="BH123" s="234"/>
      <c r="BI123" s="234"/>
      <c r="BJ123" s="234"/>
      <c r="BK123" s="234"/>
      <c r="BL123" s="234"/>
      <c r="BM123" s="234"/>
      <c r="BN123" s="234"/>
      <c r="BO123" s="234"/>
    </row>
    <row r="124" spans="1:67" ht="24" customHeight="1" x14ac:dyDescent="0.2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234"/>
      <c r="AN124" s="234"/>
      <c r="AO124" s="234"/>
      <c r="AP124" s="234"/>
      <c r="AQ124" s="234"/>
      <c r="AR124" s="234"/>
      <c r="AS124" s="234"/>
      <c r="AT124" s="234"/>
      <c r="AU124" s="234"/>
      <c r="AV124" s="234"/>
      <c r="AW124" s="234"/>
      <c r="AX124" s="234"/>
      <c r="AY124" s="234"/>
      <c r="AZ124" s="234"/>
      <c r="BA124" s="234"/>
      <c r="BB124" s="234"/>
      <c r="BC124" s="234"/>
      <c r="BD124" s="234"/>
      <c r="BE124" s="234"/>
      <c r="BF124" s="234"/>
      <c r="BG124" s="234"/>
      <c r="BH124" s="234"/>
      <c r="BI124" s="234"/>
      <c r="BJ124" s="234"/>
      <c r="BK124" s="234"/>
      <c r="BL124" s="234"/>
      <c r="BM124" s="234"/>
      <c r="BN124" s="234"/>
      <c r="BO124" s="234"/>
    </row>
    <row r="125" spans="1:67" ht="24" customHeight="1" x14ac:dyDescent="0.25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234"/>
      <c r="AN125" s="234"/>
      <c r="AO125" s="234"/>
      <c r="AP125" s="234"/>
      <c r="AQ125" s="234"/>
      <c r="AR125" s="234"/>
      <c r="AS125" s="234"/>
      <c r="AT125" s="234"/>
      <c r="AU125" s="234"/>
      <c r="AV125" s="234"/>
      <c r="AW125" s="234"/>
      <c r="AX125" s="234"/>
      <c r="AY125" s="234"/>
      <c r="AZ125" s="234"/>
      <c r="BA125" s="234"/>
      <c r="BB125" s="234"/>
      <c r="BC125" s="234"/>
      <c r="BD125" s="234"/>
      <c r="BE125" s="234"/>
      <c r="BF125" s="234"/>
      <c r="BG125" s="234"/>
      <c r="BH125" s="234"/>
      <c r="BI125" s="234"/>
      <c r="BJ125" s="234"/>
      <c r="BK125" s="234"/>
      <c r="BL125" s="234"/>
      <c r="BM125" s="234"/>
      <c r="BN125" s="234"/>
      <c r="BO125" s="234"/>
    </row>
    <row r="126" spans="1:67" ht="24" customHeight="1" x14ac:dyDescent="0.25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4"/>
      <c r="AL126" s="234"/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34"/>
      <c r="AZ126" s="234"/>
      <c r="BA126" s="234"/>
      <c r="BB126" s="234"/>
      <c r="BC126" s="234"/>
      <c r="BD126" s="234"/>
      <c r="BE126" s="234"/>
      <c r="BF126" s="234"/>
      <c r="BG126" s="234"/>
      <c r="BH126" s="234"/>
      <c r="BI126" s="234"/>
      <c r="BJ126" s="234"/>
      <c r="BK126" s="234"/>
      <c r="BL126" s="234"/>
      <c r="BM126" s="234"/>
      <c r="BN126" s="234"/>
      <c r="BO126" s="234"/>
    </row>
    <row r="127" spans="1:67" ht="24" customHeight="1" x14ac:dyDescent="0.25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4"/>
      <c r="AL127" s="234"/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4"/>
      <c r="AW127" s="234"/>
      <c r="AX127" s="234"/>
      <c r="AY127" s="234"/>
      <c r="AZ127" s="234"/>
      <c r="BA127" s="234"/>
      <c r="BB127" s="234"/>
      <c r="BC127" s="234"/>
      <c r="BD127" s="234"/>
      <c r="BE127" s="234"/>
      <c r="BF127" s="234"/>
      <c r="BG127" s="234"/>
      <c r="BH127" s="234"/>
      <c r="BI127" s="234"/>
      <c r="BJ127" s="234"/>
      <c r="BK127" s="234"/>
      <c r="BL127" s="234"/>
      <c r="BM127" s="234"/>
      <c r="BN127" s="234"/>
      <c r="BO127" s="234"/>
    </row>
    <row r="128" spans="1:67" ht="24" customHeight="1" x14ac:dyDescent="0.25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4"/>
      <c r="AL128" s="234"/>
      <c r="AM128" s="234"/>
      <c r="AN128" s="234"/>
      <c r="AO128" s="234"/>
      <c r="AP128" s="234"/>
      <c r="AQ128" s="234"/>
      <c r="AR128" s="234"/>
      <c r="AS128" s="234"/>
      <c r="AT128" s="234"/>
      <c r="AU128" s="234"/>
      <c r="AV128" s="234"/>
      <c r="AW128" s="234"/>
      <c r="AX128" s="234"/>
      <c r="AY128" s="234"/>
      <c r="AZ128" s="234"/>
      <c r="BA128" s="234"/>
      <c r="BB128" s="234"/>
      <c r="BC128" s="234"/>
      <c r="BD128" s="234"/>
      <c r="BE128" s="234"/>
      <c r="BF128" s="234"/>
      <c r="BG128" s="234"/>
      <c r="BH128" s="234"/>
      <c r="BI128" s="234"/>
      <c r="BJ128" s="234"/>
      <c r="BK128" s="234"/>
      <c r="BL128" s="234"/>
      <c r="BM128" s="234"/>
      <c r="BN128" s="234"/>
      <c r="BO128" s="234"/>
    </row>
    <row r="129" spans="1:67" ht="24" customHeight="1" x14ac:dyDescent="0.25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4"/>
      <c r="AL129" s="234"/>
      <c r="AM129" s="234"/>
      <c r="AN129" s="234"/>
      <c r="AO129" s="234"/>
      <c r="AP129" s="234"/>
      <c r="AQ129" s="234"/>
      <c r="AR129" s="234"/>
      <c r="AS129" s="234"/>
      <c r="AT129" s="234"/>
      <c r="AU129" s="234"/>
      <c r="AV129" s="234"/>
      <c r="AW129" s="234"/>
      <c r="AX129" s="234"/>
      <c r="AY129" s="234"/>
      <c r="AZ129" s="234"/>
      <c r="BA129" s="234"/>
      <c r="BB129" s="234"/>
      <c r="BC129" s="234"/>
      <c r="BD129" s="234"/>
      <c r="BE129" s="234"/>
      <c r="BF129" s="234"/>
      <c r="BG129" s="234"/>
      <c r="BH129" s="234"/>
      <c r="BI129" s="234"/>
      <c r="BJ129" s="234"/>
      <c r="BK129" s="234"/>
      <c r="BL129" s="234"/>
      <c r="BM129" s="234"/>
      <c r="BN129" s="234"/>
      <c r="BO129" s="234"/>
    </row>
    <row r="130" spans="1:67" ht="24" customHeight="1" x14ac:dyDescent="0.25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34"/>
      <c r="AO130" s="234"/>
      <c r="AP130" s="234"/>
      <c r="AQ130" s="234"/>
      <c r="AR130" s="234"/>
      <c r="AS130" s="234"/>
      <c r="AT130" s="234"/>
      <c r="AU130" s="234"/>
      <c r="AV130" s="234"/>
      <c r="AW130" s="234"/>
      <c r="AX130" s="234"/>
      <c r="AY130" s="234"/>
      <c r="AZ130" s="234"/>
      <c r="BA130" s="234"/>
      <c r="BB130" s="234"/>
      <c r="BC130" s="234"/>
      <c r="BD130" s="234"/>
      <c r="BE130" s="234"/>
      <c r="BF130" s="234"/>
      <c r="BG130" s="234"/>
      <c r="BH130" s="234"/>
      <c r="BI130" s="234"/>
      <c r="BJ130" s="234"/>
      <c r="BK130" s="234"/>
      <c r="BL130" s="234"/>
      <c r="BM130" s="234"/>
      <c r="BN130" s="234"/>
      <c r="BO130" s="234"/>
    </row>
    <row r="131" spans="1:67" ht="24" customHeight="1" x14ac:dyDescent="0.25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34"/>
      <c r="AP131" s="234"/>
      <c r="AQ131" s="234"/>
      <c r="AR131" s="234"/>
      <c r="AS131" s="234"/>
      <c r="AT131" s="234"/>
      <c r="AU131" s="234"/>
      <c r="AV131" s="234"/>
      <c r="AW131" s="234"/>
      <c r="AX131" s="234"/>
      <c r="AY131" s="234"/>
      <c r="AZ131" s="234"/>
      <c r="BA131" s="234"/>
      <c r="BB131" s="234"/>
      <c r="BC131" s="234"/>
      <c r="BD131" s="234"/>
      <c r="BE131" s="234"/>
      <c r="BF131" s="234"/>
      <c r="BG131" s="234"/>
      <c r="BH131" s="234"/>
      <c r="BI131" s="234"/>
      <c r="BJ131" s="234"/>
      <c r="BK131" s="234"/>
      <c r="BL131" s="234"/>
      <c r="BM131" s="234"/>
      <c r="BN131" s="234"/>
      <c r="BO131" s="234"/>
    </row>
    <row r="132" spans="1:67" ht="24" customHeight="1" x14ac:dyDescent="0.25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34"/>
      <c r="AP132" s="234"/>
      <c r="AQ132" s="234"/>
      <c r="AR132" s="234"/>
      <c r="AS132" s="234"/>
      <c r="AT132" s="234"/>
      <c r="AU132" s="234"/>
      <c r="AV132" s="234"/>
      <c r="AW132" s="234"/>
      <c r="AX132" s="234"/>
      <c r="AY132" s="234"/>
      <c r="AZ132" s="234"/>
      <c r="BA132" s="234"/>
      <c r="BB132" s="234"/>
      <c r="BC132" s="234"/>
      <c r="BD132" s="234"/>
      <c r="BE132" s="234"/>
      <c r="BF132" s="234"/>
      <c r="BG132" s="234"/>
      <c r="BH132" s="234"/>
      <c r="BI132" s="234"/>
      <c r="BJ132" s="234"/>
      <c r="BK132" s="234"/>
      <c r="BL132" s="234"/>
      <c r="BM132" s="234"/>
      <c r="BN132" s="234"/>
      <c r="BO132" s="234"/>
    </row>
    <row r="133" spans="1:67" ht="24" customHeight="1" x14ac:dyDescent="0.25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34"/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  <c r="AZ133" s="234"/>
      <c r="BA133" s="234"/>
      <c r="BB133" s="234"/>
      <c r="BC133" s="234"/>
      <c r="BD133" s="234"/>
      <c r="BE133" s="234"/>
      <c r="BF133" s="234"/>
      <c r="BG133" s="234"/>
      <c r="BH133" s="234"/>
      <c r="BI133" s="234"/>
      <c r="BJ133" s="234"/>
      <c r="BK133" s="234"/>
      <c r="BL133" s="234"/>
      <c r="BM133" s="234"/>
      <c r="BN133" s="234"/>
      <c r="BO133" s="234"/>
    </row>
    <row r="134" spans="1:67" ht="24" customHeight="1" x14ac:dyDescent="0.25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34"/>
      <c r="AP134" s="234"/>
      <c r="AQ134" s="234"/>
      <c r="AR134" s="234"/>
      <c r="AS134" s="234"/>
      <c r="AT134" s="234"/>
      <c r="AU134" s="234"/>
      <c r="AV134" s="234"/>
      <c r="AW134" s="234"/>
      <c r="AX134" s="234"/>
      <c r="AY134" s="234"/>
      <c r="AZ134" s="234"/>
      <c r="BA134" s="234"/>
      <c r="BB134" s="234"/>
      <c r="BC134" s="234"/>
      <c r="BD134" s="234"/>
      <c r="BE134" s="234"/>
      <c r="BF134" s="234"/>
      <c r="BG134" s="234"/>
      <c r="BH134" s="234"/>
      <c r="BI134" s="234"/>
      <c r="BJ134" s="234"/>
      <c r="BK134" s="234"/>
      <c r="BL134" s="234"/>
      <c r="BM134" s="234"/>
      <c r="BN134" s="234"/>
      <c r="BO134" s="234"/>
    </row>
    <row r="135" spans="1:67" ht="24" customHeight="1" x14ac:dyDescent="0.2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34"/>
      <c r="AP135" s="234"/>
      <c r="AQ135" s="234"/>
      <c r="AR135" s="234"/>
      <c r="AS135" s="234"/>
      <c r="AT135" s="234"/>
      <c r="AU135" s="234"/>
      <c r="AV135" s="234"/>
      <c r="AW135" s="234"/>
      <c r="AX135" s="234"/>
      <c r="AY135" s="234"/>
      <c r="AZ135" s="234"/>
      <c r="BA135" s="234"/>
      <c r="BB135" s="234"/>
      <c r="BC135" s="234"/>
      <c r="BD135" s="234"/>
      <c r="BE135" s="234"/>
      <c r="BF135" s="234"/>
      <c r="BG135" s="234"/>
      <c r="BH135" s="234"/>
      <c r="BI135" s="234"/>
      <c r="BJ135" s="234"/>
      <c r="BK135" s="234"/>
      <c r="BL135" s="234"/>
      <c r="BM135" s="234"/>
      <c r="BN135" s="234"/>
      <c r="BO135" s="234"/>
    </row>
    <row r="136" spans="1:67" ht="24" customHeight="1" x14ac:dyDescent="0.25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34"/>
      <c r="AP136" s="234"/>
      <c r="AQ136" s="234"/>
      <c r="AR136" s="234"/>
      <c r="AS136" s="234"/>
      <c r="AT136" s="234"/>
      <c r="AU136" s="234"/>
      <c r="AV136" s="234"/>
      <c r="AW136" s="234"/>
      <c r="AX136" s="234"/>
      <c r="AY136" s="234"/>
      <c r="AZ136" s="234"/>
      <c r="BA136" s="234"/>
      <c r="BB136" s="234"/>
      <c r="BC136" s="234"/>
      <c r="BD136" s="234"/>
      <c r="BE136" s="234"/>
      <c r="BF136" s="234"/>
      <c r="BG136" s="234"/>
      <c r="BH136" s="234"/>
      <c r="BI136" s="234"/>
      <c r="BJ136" s="234"/>
      <c r="BK136" s="234"/>
      <c r="BL136" s="234"/>
      <c r="BM136" s="234"/>
      <c r="BN136" s="234"/>
      <c r="BO136" s="234"/>
    </row>
    <row r="137" spans="1:67" ht="24" customHeight="1" x14ac:dyDescent="0.25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34"/>
      <c r="AP137" s="234"/>
      <c r="AQ137" s="234"/>
      <c r="AR137" s="234"/>
      <c r="AS137" s="234"/>
      <c r="AT137" s="234"/>
      <c r="AU137" s="234"/>
      <c r="AV137" s="234"/>
      <c r="AW137" s="234"/>
      <c r="AX137" s="234"/>
      <c r="AY137" s="234"/>
      <c r="AZ137" s="234"/>
      <c r="BA137" s="234"/>
      <c r="BB137" s="234"/>
      <c r="BC137" s="234"/>
      <c r="BD137" s="234"/>
      <c r="BE137" s="234"/>
      <c r="BF137" s="234"/>
      <c r="BG137" s="234"/>
      <c r="BH137" s="234"/>
      <c r="BI137" s="234"/>
      <c r="BJ137" s="234"/>
      <c r="BK137" s="234"/>
      <c r="BL137" s="234"/>
      <c r="BM137" s="234"/>
      <c r="BN137" s="234"/>
      <c r="BO137" s="234"/>
    </row>
    <row r="138" spans="1:67" ht="24" customHeight="1" x14ac:dyDescent="0.25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34"/>
      <c r="AP138" s="234"/>
      <c r="AQ138" s="234"/>
      <c r="AR138" s="234"/>
      <c r="AS138" s="234"/>
      <c r="AT138" s="234"/>
      <c r="AU138" s="234"/>
      <c r="AV138" s="234"/>
      <c r="AW138" s="234"/>
      <c r="AX138" s="234"/>
      <c r="AY138" s="234"/>
      <c r="AZ138" s="234"/>
      <c r="BA138" s="234"/>
      <c r="BB138" s="234"/>
      <c r="BC138" s="234"/>
      <c r="BD138" s="234"/>
      <c r="BE138" s="234"/>
      <c r="BF138" s="234"/>
      <c r="BG138" s="234"/>
      <c r="BH138" s="234"/>
      <c r="BI138" s="234"/>
      <c r="BJ138" s="234"/>
      <c r="BK138" s="234"/>
      <c r="BL138" s="234"/>
      <c r="BM138" s="234"/>
      <c r="BN138" s="234"/>
      <c r="BO138" s="234"/>
    </row>
    <row r="139" spans="1:67" ht="24" customHeight="1" x14ac:dyDescent="0.25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34"/>
      <c r="AP139" s="234"/>
      <c r="AQ139" s="234"/>
      <c r="AR139" s="234"/>
      <c r="AS139" s="234"/>
      <c r="AT139" s="234"/>
      <c r="AU139" s="234"/>
      <c r="AV139" s="234"/>
      <c r="AW139" s="234"/>
      <c r="AX139" s="234"/>
      <c r="AY139" s="234"/>
      <c r="AZ139" s="234"/>
      <c r="BA139" s="234"/>
      <c r="BB139" s="234"/>
      <c r="BC139" s="234"/>
      <c r="BD139" s="234"/>
      <c r="BE139" s="234"/>
      <c r="BF139" s="234"/>
      <c r="BG139" s="234"/>
      <c r="BH139" s="234"/>
      <c r="BI139" s="234"/>
      <c r="BJ139" s="234"/>
      <c r="BK139" s="234"/>
      <c r="BL139" s="234"/>
      <c r="BM139" s="234"/>
      <c r="BN139" s="234"/>
      <c r="BO139" s="234"/>
    </row>
    <row r="140" spans="1:67" ht="24" customHeight="1" x14ac:dyDescent="0.25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34"/>
      <c r="AP140" s="234"/>
      <c r="AQ140" s="234"/>
      <c r="AR140" s="234"/>
      <c r="AS140" s="234"/>
      <c r="AT140" s="234"/>
      <c r="AU140" s="234"/>
      <c r="AV140" s="234"/>
      <c r="AW140" s="234"/>
      <c r="AX140" s="234"/>
      <c r="AY140" s="234"/>
      <c r="AZ140" s="234"/>
      <c r="BA140" s="234"/>
      <c r="BB140" s="234"/>
      <c r="BC140" s="234"/>
      <c r="BD140" s="234"/>
      <c r="BE140" s="234"/>
      <c r="BF140" s="234"/>
      <c r="BG140" s="234"/>
      <c r="BH140" s="234"/>
      <c r="BI140" s="234"/>
      <c r="BJ140" s="234"/>
      <c r="BK140" s="234"/>
      <c r="BL140" s="234"/>
      <c r="BM140" s="234"/>
      <c r="BN140" s="234"/>
      <c r="BO140" s="234"/>
    </row>
    <row r="141" spans="1:67" ht="24" customHeight="1" x14ac:dyDescent="0.25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34"/>
      <c r="AP141" s="234"/>
      <c r="AQ141" s="234"/>
      <c r="AR141" s="234"/>
      <c r="AS141" s="234"/>
      <c r="AT141" s="234"/>
      <c r="AU141" s="234"/>
      <c r="AV141" s="234"/>
      <c r="AW141" s="234"/>
      <c r="AX141" s="234"/>
      <c r="AY141" s="234"/>
      <c r="AZ141" s="234"/>
      <c r="BA141" s="234"/>
      <c r="BB141" s="234"/>
      <c r="BC141" s="234"/>
      <c r="BD141" s="234"/>
      <c r="BE141" s="234"/>
      <c r="BF141" s="234"/>
      <c r="BG141" s="234"/>
      <c r="BH141" s="234"/>
      <c r="BI141" s="234"/>
      <c r="BJ141" s="234"/>
      <c r="BK141" s="234"/>
      <c r="BL141" s="234"/>
      <c r="BM141" s="234"/>
      <c r="BN141" s="234"/>
      <c r="BO141" s="234"/>
    </row>
    <row r="142" spans="1:67" ht="24" customHeight="1" x14ac:dyDescent="0.25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34"/>
      <c r="AP142" s="234"/>
      <c r="AQ142" s="234"/>
      <c r="AR142" s="234"/>
      <c r="AS142" s="234"/>
      <c r="AT142" s="234"/>
      <c r="AU142" s="234"/>
      <c r="AV142" s="234"/>
      <c r="AW142" s="234"/>
      <c r="AX142" s="234"/>
      <c r="AY142" s="234"/>
      <c r="AZ142" s="234"/>
      <c r="BA142" s="234"/>
      <c r="BB142" s="234"/>
      <c r="BC142" s="234"/>
      <c r="BD142" s="234"/>
      <c r="BE142" s="234"/>
      <c r="BF142" s="234"/>
      <c r="BG142" s="234"/>
      <c r="BH142" s="234"/>
      <c r="BI142" s="234"/>
      <c r="BJ142" s="234"/>
      <c r="BK142" s="234"/>
      <c r="BL142" s="234"/>
      <c r="BM142" s="234"/>
      <c r="BN142" s="234"/>
      <c r="BO142" s="234"/>
    </row>
    <row r="143" spans="1:67" ht="24" customHeight="1" x14ac:dyDescent="0.25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34"/>
      <c r="AP143" s="234"/>
      <c r="AQ143" s="234"/>
      <c r="AR143" s="234"/>
      <c r="AS143" s="234"/>
      <c r="AT143" s="234"/>
      <c r="AU143" s="234"/>
      <c r="AV143" s="234"/>
      <c r="AW143" s="234"/>
      <c r="AX143" s="234"/>
      <c r="AY143" s="234"/>
      <c r="AZ143" s="234"/>
      <c r="BA143" s="234"/>
      <c r="BB143" s="234"/>
      <c r="BC143" s="234"/>
      <c r="BD143" s="234"/>
      <c r="BE143" s="234"/>
      <c r="BF143" s="234"/>
      <c r="BG143" s="234"/>
      <c r="BH143" s="234"/>
      <c r="BI143" s="234"/>
      <c r="BJ143" s="234"/>
      <c r="BK143" s="234"/>
      <c r="BL143" s="234"/>
      <c r="BM143" s="234"/>
      <c r="BN143" s="234"/>
      <c r="BO143" s="234"/>
    </row>
    <row r="144" spans="1:67" ht="24" customHeight="1" x14ac:dyDescent="0.25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34"/>
      <c r="AP144" s="234"/>
      <c r="AQ144" s="234"/>
      <c r="AR144" s="234"/>
      <c r="AS144" s="234"/>
      <c r="AT144" s="234"/>
      <c r="AU144" s="234"/>
      <c r="AV144" s="234"/>
      <c r="AW144" s="234"/>
      <c r="AX144" s="234"/>
      <c r="AY144" s="234"/>
      <c r="AZ144" s="234"/>
      <c r="BA144" s="234"/>
      <c r="BB144" s="234"/>
      <c r="BC144" s="234"/>
      <c r="BD144" s="234"/>
      <c r="BE144" s="234"/>
      <c r="BF144" s="234"/>
      <c r="BG144" s="234"/>
      <c r="BH144" s="234"/>
      <c r="BI144" s="234"/>
      <c r="BJ144" s="234"/>
      <c r="BK144" s="234"/>
      <c r="BL144" s="234"/>
      <c r="BM144" s="234"/>
      <c r="BN144" s="234"/>
      <c r="BO144" s="234"/>
    </row>
    <row r="145" spans="1:67" ht="24" customHeight="1" x14ac:dyDescent="0.25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34"/>
      <c r="AP145" s="234"/>
      <c r="AQ145" s="234"/>
      <c r="AR145" s="234"/>
      <c r="AS145" s="234"/>
      <c r="AT145" s="234"/>
      <c r="AU145" s="234"/>
      <c r="AV145" s="234"/>
      <c r="AW145" s="234"/>
      <c r="AX145" s="234"/>
      <c r="AY145" s="234"/>
      <c r="AZ145" s="234"/>
      <c r="BA145" s="234"/>
      <c r="BB145" s="234"/>
      <c r="BC145" s="234"/>
      <c r="BD145" s="234"/>
      <c r="BE145" s="234"/>
      <c r="BF145" s="234"/>
      <c r="BG145" s="234"/>
      <c r="BH145" s="234"/>
      <c r="BI145" s="234"/>
      <c r="BJ145" s="234"/>
      <c r="BK145" s="234"/>
      <c r="BL145" s="234"/>
      <c r="BM145" s="234"/>
      <c r="BN145" s="234"/>
      <c r="BO145" s="234"/>
    </row>
    <row r="146" spans="1:67" ht="24" customHeight="1" x14ac:dyDescent="0.25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34"/>
      <c r="AP146" s="234"/>
      <c r="AQ146" s="234"/>
      <c r="AR146" s="234"/>
      <c r="AS146" s="234"/>
      <c r="AT146" s="234"/>
      <c r="AU146" s="234"/>
      <c r="AV146" s="234"/>
      <c r="AW146" s="234"/>
      <c r="AX146" s="234"/>
      <c r="AY146" s="234"/>
      <c r="AZ146" s="234"/>
      <c r="BA146" s="234"/>
      <c r="BB146" s="234"/>
      <c r="BC146" s="234"/>
      <c r="BD146" s="234"/>
      <c r="BE146" s="234"/>
      <c r="BF146" s="234"/>
      <c r="BG146" s="234"/>
      <c r="BH146" s="234"/>
      <c r="BI146" s="234"/>
      <c r="BJ146" s="234"/>
      <c r="BK146" s="234"/>
      <c r="BL146" s="234"/>
      <c r="BM146" s="234"/>
      <c r="BN146" s="234"/>
      <c r="BO146" s="234"/>
    </row>
    <row r="147" spans="1:67" ht="24" customHeight="1" x14ac:dyDescent="0.25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34"/>
      <c r="AP147" s="234"/>
      <c r="AQ147" s="234"/>
      <c r="AR147" s="234"/>
      <c r="AS147" s="234"/>
      <c r="AT147" s="234"/>
      <c r="AU147" s="234"/>
      <c r="AV147" s="234"/>
      <c r="AW147" s="234"/>
      <c r="AX147" s="234"/>
      <c r="AY147" s="234"/>
      <c r="AZ147" s="234"/>
      <c r="BA147" s="234"/>
      <c r="BB147" s="234"/>
      <c r="BC147" s="234"/>
      <c r="BD147" s="234"/>
      <c r="BE147" s="234"/>
      <c r="BF147" s="234"/>
      <c r="BG147" s="234"/>
      <c r="BH147" s="234"/>
      <c r="BI147" s="234"/>
      <c r="BJ147" s="234"/>
      <c r="BK147" s="234"/>
      <c r="BL147" s="234"/>
      <c r="BM147" s="234"/>
      <c r="BN147" s="234"/>
      <c r="BO147" s="234"/>
    </row>
    <row r="148" spans="1:67" ht="24" customHeight="1" x14ac:dyDescent="0.25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34"/>
      <c r="AP148" s="234"/>
      <c r="AQ148" s="234"/>
      <c r="AR148" s="234"/>
      <c r="AS148" s="234"/>
      <c r="AT148" s="234"/>
      <c r="AU148" s="234"/>
      <c r="AV148" s="234"/>
      <c r="AW148" s="234"/>
      <c r="AX148" s="234"/>
      <c r="AY148" s="234"/>
      <c r="AZ148" s="234"/>
      <c r="BA148" s="234"/>
      <c r="BB148" s="234"/>
      <c r="BC148" s="234"/>
      <c r="BD148" s="234"/>
      <c r="BE148" s="234"/>
      <c r="BF148" s="234"/>
      <c r="BG148" s="234"/>
      <c r="BH148" s="234"/>
      <c r="BI148" s="234"/>
      <c r="BJ148" s="234"/>
      <c r="BK148" s="234"/>
      <c r="BL148" s="234"/>
      <c r="BM148" s="234"/>
      <c r="BN148" s="234"/>
      <c r="BO148" s="234"/>
    </row>
    <row r="149" spans="1:67" ht="24" customHeight="1" x14ac:dyDescent="0.25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34"/>
      <c r="AP149" s="234"/>
      <c r="AQ149" s="234"/>
      <c r="AR149" s="234"/>
      <c r="AS149" s="234"/>
      <c r="AT149" s="234"/>
      <c r="AU149" s="234"/>
      <c r="AV149" s="234"/>
      <c r="AW149" s="234"/>
      <c r="AX149" s="234"/>
      <c r="AY149" s="234"/>
      <c r="AZ149" s="234"/>
      <c r="BA149" s="234"/>
      <c r="BB149" s="234"/>
      <c r="BC149" s="234"/>
      <c r="BD149" s="234"/>
      <c r="BE149" s="234"/>
      <c r="BF149" s="234"/>
      <c r="BG149" s="234"/>
      <c r="BH149" s="234"/>
      <c r="BI149" s="234"/>
      <c r="BJ149" s="234"/>
      <c r="BK149" s="234"/>
      <c r="BL149" s="234"/>
      <c r="BM149" s="234"/>
      <c r="BN149" s="234"/>
      <c r="BO149" s="234"/>
    </row>
    <row r="150" spans="1:67" ht="24" customHeight="1" x14ac:dyDescent="0.25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34"/>
      <c r="AP150" s="234"/>
      <c r="AQ150" s="234"/>
      <c r="AR150" s="234"/>
      <c r="AS150" s="234"/>
      <c r="AT150" s="234"/>
      <c r="AU150" s="234"/>
      <c r="AV150" s="234"/>
      <c r="AW150" s="234"/>
      <c r="AX150" s="234"/>
      <c r="AY150" s="234"/>
      <c r="AZ150" s="234"/>
      <c r="BA150" s="234"/>
      <c r="BB150" s="234"/>
      <c r="BC150" s="234"/>
      <c r="BD150" s="234"/>
      <c r="BE150" s="234"/>
      <c r="BF150" s="234"/>
      <c r="BG150" s="234"/>
      <c r="BH150" s="234"/>
      <c r="BI150" s="234"/>
      <c r="BJ150" s="234"/>
      <c r="BK150" s="234"/>
      <c r="BL150" s="234"/>
      <c r="BM150" s="234"/>
      <c r="BN150" s="234"/>
      <c r="BO150" s="234"/>
    </row>
    <row r="151" spans="1:67" ht="24" customHeight="1" x14ac:dyDescent="0.25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34"/>
      <c r="AP151" s="234"/>
      <c r="AQ151" s="234"/>
      <c r="AR151" s="234"/>
      <c r="AS151" s="234"/>
      <c r="AT151" s="234"/>
      <c r="AU151" s="234"/>
      <c r="AV151" s="234"/>
      <c r="AW151" s="234"/>
      <c r="AX151" s="234"/>
      <c r="AY151" s="234"/>
      <c r="AZ151" s="234"/>
      <c r="BA151" s="234"/>
      <c r="BB151" s="234"/>
      <c r="BC151" s="234"/>
      <c r="BD151" s="234"/>
      <c r="BE151" s="234"/>
      <c r="BF151" s="234"/>
      <c r="BG151" s="234"/>
      <c r="BH151" s="234"/>
      <c r="BI151" s="234"/>
      <c r="BJ151" s="234"/>
      <c r="BK151" s="234"/>
      <c r="BL151" s="234"/>
      <c r="BM151" s="234"/>
      <c r="BN151" s="234"/>
      <c r="BO151" s="234"/>
    </row>
    <row r="152" spans="1:67" ht="24" customHeight="1" x14ac:dyDescent="0.25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34"/>
      <c r="AO152" s="234"/>
      <c r="AP152" s="234"/>
      <c r="AQ152" s="234"/>
      <c r="AR152" s="234"/>
      <c r="AS152" s="234"/>
      <c r="AT152" s="234"/>
      <c r="AU152" s="234"/>
      <c r="AV152" s="234"/>
      <c r="AW152" s="234"/>
      <c r="AX152" s="234"/>
      <c r="AY152" s="234"/>
      <c r="AZ152" s="234"/>
      <c r="BA152" s="234"/>
      <c r="BB152" s="234"/>
      <c r="BC152" s="234"/>
      <c r="BD152" s="234"/>
      <c r="BE152" s="234"/>
      <c r="BF152" s="234"/>
      <c r="BG152" s="234"/>
      <c r="BH152" s="234"/>
      <c r="BI152" s="234"/>
      <c r="BJ152" s="234"/>
      <c r="BK152" s="234"/>
      <c r="BL152" s="234"/>
      <c r="BM152" s="234"/>
      <c r="BN152" s="234"/>
      <c r="BO152" s="234"/>
    </row>
    <row r="153" spans="1:67" ht="24" customHeight="1" x14ac:dyDescent="0.25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234"/>
      <c r="AK153" s="234"/>
      <c r="AL153" s="234"/>
      <c r="AM153" s="234"/>
      <c r="AN153" s="234"/>
      <c r="AO153" s="234"/>
      <c r="AP153" s="234"/>
      <c r="AQ153" s="234"/>
      <c r="AR153" s="234"/>
      <c r="AS153" s="234"/>
      <c r="AT153" s="234"/>
      <c r="AU153" s="234"/>
      <c r="AV153" s="234"/>
      <c r="AW153" s="234"/>
      <c r="AX153" s="234"/>
      <c r="AY153" s="234"/>
      <c r="AZ153" s="234"/>
      <c r="BA153" s="234"/>
      <c r="BB153" s="234"/>
      <c r="BC153" s="234"/>
      <c r="BD153" s="234"/>
      <c r="BE153" s="234"/>
      <c r="BF153" s="234"/>
      <c r="BG153" s="234"/>
      <c r="BH153" s="234"/>
      <c r="BI153" s="234"/>
      <c r="BJ153" s="234"/>
      <c r="BK153" s="234"/>
      <c r="BL153" s="234"/>
      <c r="BM153" s="234"/>
      <c r="BN153" s="234"/>
      <c r="BO153" s="234"/>
    </row>
    <row r="154" spans="1:67" ht="24" customHeight="1" x14ac:dyDescent="0.25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234"/>
      <c r="AO154" s="234"/>
      <c r="AP154" s="234"/>
      <c r="AQ154" s="234"/>
      <c r="AR154" s="234"/>
      <c r="AS154" s="234"/>
      <c r="AT154" s="234"/>
      <c r="AU154" s="234"/>
      <c r="AV154" s="234"/>
      <c r="AW154" s="234"/>
      <c r="AX154" s="234"/>
      <c r="AY154" s="234"/>
      <c r="AZ154" s="234"/>
      <c r="BA154" s="234"/>
      <c r="BB154" s="234"/>
      <c r="BC154" s="234"/>
      <c r="BD154" s="234"/>
      <c r="BE154" s="234"/>
      <c r="BF154" s="234"/>
      <c r="BG154" s="234"/>
      <c r="BH154" s="234"/>
      <c r="BI154" s="234"/>
      <c r="BJ154" s="234"/>
      <c r="BK154" s="234"/>
      <c r="BL154" s="234"/>
      <c r="BM154" s="234"/>
      <c r="BN154" s="234"/>
      <c r="BO154" s="234"/>
    </row>
    <row r="155" spans="1:67" ht="24" customHeight="1" x14ac:dyDescent="0.25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234"/>
      <c r="AK155" s="234"/>
      <c r="AL155" s="234"/>
      <c r="AM155" s="234"/>
      <c r="AN155" s="234"/>
      <c r="AO155" s="234"/>
      <c r="AP155" s="234"/>
      <c r="AQ155" s="234"/>
      <c r="AR155" s="234"/>
      <c r="AS155" s="234"/>
      <c r="AT155" s="234"/>
      <c r="AU155" s="234"/>
      <c r="AV155" s="234"/>
      <c r="AW155" s="234"/>
      <c r="AX155" s="234"/>
      <c r="AY155" s="234"/>
      <c r="AZ155" s="234"/>
      <c r="BA155" s="234"/>
      <c r="BB155" s="234"/>
      <c r="BC155" s="234"/>
      <c r="BD155" s="234"/>
      <c r="BE155" s="234"/>
      <c r="BF155" s="234"/>
      <c r="BG155" s="234"/>
      <c r="BH155" s="234"/>
      <c r="BI155" s="234"/>
      <c r="BJ155" s="234"/>
      <c r="BK155" s="234"/>
      <c r="BL155" s="234"/>
      <c r="BM155" s="234"/>
      <c r="BN155" s="234"/>
      <c r="BO155" s="234"/>
    </row>
    <row r="156" spans="1:67" ht="24" customHeight="1" x14ac:dyDescent="0.25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234"/>
      <c r="AK156" s="234"/>
      <c r="AL156" s="234"/>
      <c r="AM156" s="234"/>
      <c r="AN156" s="234"/>
      <c r="AO156" s="234"/>
      <c r="AP156" s="234"/>
      <c r="AQ156" s="234"/>
      <c r="AR156" s="234"/>
      <c r="AS156" s="234"/>
      <c r="AT156" s="234"/>
      <c r="AU156" s="234"/>
      <c r="AV156" s="234"/>
      <c r="AW156" s="234"/>
      <c r="AX156" s="234"/>
      <c r="AY156" s="234"/>
      <c r="AZ156" s="234"/>
      <c r="BA156" s="234"/>
      <c r="BB156" s="234"/>
      <c r="BC156" s="234"/>
      <c r="BD156" s="234"/>
      <c r="BE156" s="234"/>
      <c r="BF156" s="234"/>
      <c r="BG156" s="234"/>
      <c r="BH156" s="234"/>
      <c r="BI156" s="234"/>
      <c r="BJ156" s="234"/>
      <c r="BK156" s="234"/>
      <c r="BL156" s="234"/>
      <c r="BM156" s="234"/>
      <c r="BN156" s="234"/>
      <c r="BO156" s="234"/>
    </row>
    <row r="157" spans="1:67" ht="24" customHeight="1" x14ac:dyDescent="0.25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234"/>
      <c r="AK157" s="234"/>
      <c r="AL157" s="234"/>
      <c r="AM157" s="234"/>
      <c r="AN157" s="234"/>
      <c r="AO157" s="234"/>
      <c r="AP157" s="234"/>
      <c r="AQ157" s="234"/>
      <c r="AR157" s="234"/>
      <c r="AS157" s="234"/>
      <c r="AT157" s="234"/>
      <c r="AU157" s="234"/>
      <c r="AV157" s="234"/>
      <c r="AW157" s="234"/>
      <c r="AX157" s="234"/>
      <c r="AY157" s="234"/>
      <c r="AZ157" s="234"/>
      <c r="BA157" s="234"/>
      <c r="BB157" s="234"/>
      <c r="BC157" s="234"/>
      <c r="BD157" s="234"/>
      <c r="BE157" s="234"/>
      <c r="BF157" s="234"/>
      <c r="BG157" s="234"/>
      <c r="BH157" s="234"/>
      <c r="BI157" s="234"/>
      <c r="BJ157" s="234"/>
      <c r="BK157" s="234"/>
      <c r="BL157" s="234"/>
      <c r="BM157" s="234"/>
      <c r="BN157" s="234"/>
      <c r="BO157" s="234"/>
    </row>
    <row r="158" spans="1:67" ht="24" customHeight="1" x14ac:dyDescent="0.25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234"/>
      <c r="AK158" s="234"/>
      <c r="AL158" s="234"/>
      <c r="AM158" s="234"/>
      <c r="AN158" s="234"/>
      <c r="AO158" s="234"/>
      <c r="AP158" s="234"/>
      <c r="AQ158" s="234"/>
      <c r="AR158" s="234"/>
      <c r="AS158" s="234"/>
      <c r="AT158" s="234"/>
      <c r="AU158" s="234"/>
      <c r="AV158" s="234"/>
      <c r="AW158" s="234"/>
      <c r="AX158" s="234"/>
      <c r="AY158" s="234"/>
      <c r="AZ158" s="234"/>
      <c r="BA158" s="234"/>
      <c r="BB158" s="234"/>
      <c r="BC158" s="234"/>
      <c r="BD158" s="234"/>
      <c r="BE158" s="234"/>
      <c r="BF158" s="234"/>
      <c r="BG158" s="234"/>
      <c r="BH158" s="234"/>
      <c r="BI158" s="234"/>
      <c r="BJ158" s="234"/>
      <c r="BK158" s="234"/>
      <c r="BL158" s="234"/>
      <c r="BM158" s="234"/>
      <c r="BN158" s="234"/>
      <c r="BO158" s="234"/>
    </row>
    <row r="159" spans="1:67" ht="24" customHeight="1" x14ac:dyDescent="0.25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234"/>
      <c r="AK159" s="234"/>
      <c r="AL159" s="234"/>
      <c r="AM159" s="234"/>
      <c r="AN159" s="234"/>
      <c r="AO159" s="234"/>
      <c r="AP159" s="234"/>
      <c r="AQ159" s="234"/>
      <c r="AR159" s="234"/>
      <c r="AS159" s="234"/>
      <c r="AT159" s="234"/>
      <c r="AU159" s="234"/>
      <c r="AV159" s="234"/>
      <c r="AW159" s="234"/>
      <c r="AX159" s="234"/>
      <c r="AY159" s="234"/>
      <c r="AZ159" s="234"/>
      <c r="BA159" s="234"/>
      <c r="BB159" s="234"/>
      <c r="BC159" s="234"/>
      <c r="BD159" s="234"/>
      <c r="BE159" s="234"/>
      <c r="BF159" s="234"/>
      <c r="BG159" s="234"/>
      <c r="BH159" s="234"/>
      <c r="BI159" s="234"/>
      <c r="BJ159" s="234"/>
      <c r="BK159" s="234"/>
      <c r="BL159" s="234"/>
      <c r="BM159" s="234"/>
      <c r="BN159" s="234"/>
      <c r="BO159" s="234"/>
    </row>
    <row r="160" spans="1:67" ht="24" customHeight="1" x14ac:dyDescent="0.25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234"/>
      <c r="AK160" s="234"/>
      <c r="AL160" s="234"/>
      <c r="AM160" s="234"/>
      <c r="AN160" s="234"/>
      <c r="AO160" s="234"/>
      <c r="AP160" s="234"/>
      <c r="AQ160" s="234"/>
      <c r="AR160" s="234"/>
      <c r="AS160" s="234"/>
      <c r="AT160" s="234"/>
      <c r="AU160" s="234"/>
      <c r="AV160" s="234"/>
      <c r="AW160" s="234"/>
      <c r="AX160" s="234"/>
      <c r="AY160" s="234"/>
      <c r="AZ160" s="234"/>
      <c r="BA160" s="234"/>
      <c r="BB160" s="234"/>
      <c r="BC160" s="234"/>
      <c r="BD160" s="234"/>
      <c r="BE160" s="234"/>
      <c r="BF160" s="234"/>
      <c r="BG160" s="234"/>
      <c r="BH160" s="234"/>
      <c r="BI160" s="234"/>
      <c r="BJ160" s="234"/>
      <c r="BK160" s="234"/>
      <c r="BL160" s="234"/>
      <c r="BM160" s="234"/>
      <c r="BN160" s="234"/>
      <c r="BO160" s="234"/>
    </row>
    <row r="161" spans="1:67" ht="24" customHeight="1" x14ac:dyDescent="0.25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4"/>
      <c r="AK161" s="234"/>
      <c r="AL161" s="234"/>
      <c r="AM161" s="234"/>
      <c r="AN161" s="234"/>
      <c r="AO161" s="234"/>
      <c r="AP161" s="234"/>
      <c r="AQ161" s="234"/>
      <c r="AR161" s="234"/>
      <c r="AS161" s="234"/>
      <c r="AT161" s="234"/>
      <c r="AU161" s="234"/>
      <c r="AV161" s="234"/>
      <c r="AW161" s="234"/>
      <c r="AX161" s="234"/>
      <c r="AY161" s="234"/>
      <c r="AZ161" s="234"/>
      <c r="BA161" s="234"/>
      <c r="BB161" s="234"/>
      <c r="BC161" s="234"/>
      <c r="BD161" s="234"/>
      <c r="BE161" s="234"/>
      <c r="BF161" s="234"/>
      <c r="BG161" s="234"/>
      <c r="BH161" s="234"/>
      <c r="BI161" s="234"/>
      <c r="BJ161" s="234"/>
      <c r="BK161" s="234"/>
      <c r="BL161" s="234"/>
      <c r="BM161" s="234"/>
      <c r="BN161" s="234"/>
      <c r="BO161" s="234"/>
    </row>
    <row r="162" spans="1:67" ht="24" customHeight="1" x14ac:dyDescent="0.25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4"/>
      <c r="AL162" s="234"/>
      <c r="AM162" s="234"/>
      <c r="AN162" s="234"/>
      <c r="AO162" s="234"/>
      <c r="AP162" s="234"/>
      <c r="AQ162" s="234"/>
      <c r="AR162" s="234"/>
      <c r="AS162" s="234"/>
      <c r="AT162" s="234"/>
      <c r="AU162" s="234"/>
      <c r="AV162" s="234"/>
      <c r="AW162" s="234"/>
      <c r="AX162" s="234"/>
      <c r="AY162" s="234"/>
      <c r="AZ162" s="234"/>
      <c r="BA162" s="234"/>
      <c r="BB162" s="234"/>
      <c r="BC162" s="234"/>
      <c r="BD162" s="234"/>
      <c r="BE162" s="234"/>
      <c r="BF162" s="234"/>
      <c r="BG162" s="234"/>
      <c r="BH162" s="234"/>
      <c r="BI162" s="234"/>
      <c r="BJ162" s="234"/>
      <c r="BK162" s="234"/>
      <c r="BL162" s="234"/>
      <c r="BM162" s="234"/>
      <c r="BN162" s="234"/>
      <c r="BO162" s="234"/>
    </row>
    <row r="163" spans="1:67" ht="24" customHeight="1" x14ac:dyDescent="0.25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4"/>
      <c r="AL163" s="234"/>
      <c r="AM163" s="234"/>
      <c r="AN163" s="234"/>
      <c r="AO163" s="234"/>
      <c r="AP163" s="234"/>
      <c r="AQ163" s="234"/>
      <c r="AR163" s="234"/>
      <c r="AS163" s="234"/>
      <c r="AT163" s="234"/>
      <c r="AU163" s="234"/>
      <c r="AV163" s="234"/>
      <c r="AW163" s="234"/>
      <c r="AX163" s="234"/>
      <c r="AY163" s="234"/>
      <c r="AZ163" s="234"/>
      <c r="BA163" s="234"/>
      <c r="BB163" s="234"/>
      <c r="BC163" s="234"/>
      <c r="BD163" s="234"/>
      <c r="BE163" s="234"/>
      <c r="BF163" s="234"/>
      <c r="BG163" s="234"/>
      <c r="BH163" s="234"/>
      <c r="BI163" s="234"/>
      <c r="BJ163" s="234"/>
      <c r="BK163" s="234"/>
      <c r="BL163" s="234"/>
      <c r="BM163" s="234"/>
      <c r="BN163" s="234"/>
      <c r="BO163" s="234"/>
    </row>
    <row r="164" spans="1:67" ht="24" customHeight="1" x14ac:dyDescent="0.25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234"/>
      <c r="AK164" s="234"/>
      <c r="AL164" s="234"/>
      <c r="AM164" s="234"/>
      <c r="AN164" s="234"/>
      <c r="AO164" s="234"/>
      <c r="AP164" s="234"/>
      <c r="AQ164" s="234"/>
      <c r="AR164" s="234"/>
      <c r="AS164" s="234"/>
      <c r="AT164" s="234"/>
      <c r="AU164" s="234"/>
      <c r="AV164" s="234"/>
      <c r="AW164" s="234"/>
      <c r="AX164" s="234"/>
      <c r="AY164" s="234"/>
      <c r="AZ164" s="234"/>
      <c r="BA164" s="234"/>
      <c r="BB164" s="234"/>
      <c r="BC164" s="234"/>
      <c r="BD164" s="234"/>
      <c r="BE164" s="234"/>
      <c r="BF164" s="234"/>
      <c r="BG164" s="234"/>
      <c r="BH164" s="234"/>
      <c r="BI164" s="234"/>
      <c r="BJ164" s="234"/>
      <c r="BK164" s="234"/>
      <c r="BL164" s="234"/>
      <c r="BM164" s="234"/>
      <c r="BN164" s="234"/>
      <c r="BO164" s="234"/>
    </row>
    <row r="165" spans="1:67" ht="24" customHeight="1" x14ac:dyDescent="0.25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4"/>
      <c r="AL165" s="234"/>
      <c r="AM165" s="234"/>
      <c r="AN165" s="234"/>
      <c r="AO165" s="234"/>
      <c r="AP165" s="234"/>
      <c r="AQ165" s="234"/>
      <c r="AR165" s="234"/>
      <c r="AS165" s="234"/>
      <c r="AT165" s="234"/>
      <c r="AU165" s="234"/>
      <c r="AV165" s="234"/>
      <c r="AW165" s="234"/>
      <c r="AX165" s="234"/>
      <c r="AY165" s="234"/>
      <c r="AZ165" s="234"/>
      <c r="BA165" s="234"/>
      <c r="BB165" s="234"/>
      <c r="BC165" s="234"/>
      <c r="BD165" s="234"/>
      <c r="BE165" s="234"/>
      <c r="BF165" s="234"/>
      <c r="BG165" s="234"/>
      <c r="BH165" s="234"/>
      <c r="BI165" s="234"/>
      <c r="BJ165" s="234"/>
      <c r="BK165" s="234"/>
      <c r="BL165" s="234"/>
      <c r="BM165" s="234"/>
      <c r="BN165" s="234"/>
      <c r="BO165" s="234"/>
    </row>
    <row r="166" spans="1:67" ht="24" customHeight="1" x14ac:dyDescent="0.25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234"/>
      <c r="AK166" s="234"/>
      <c r="AL166" s="234"/>
      <c r="AM166" s="234"/>
      <c r="AN166" s="234"/>
      <c r="AO166" s="234"/>
      <c r="AP166" s="234"/>
      <c r="AQ166" s="234"/>
      <c r="AR166" s="234"/>
      <c r="AS166" s="234"/>
      <c r="AT166" s="234"/>
      <c r="AU166" s="234"/>
      <c r="AV166" s="234"/>
      <c r="AW166" s="234"/>
      <c r="AX166" s="234"/>
      <c r="AY166" s="234"/>
      <c r="AZ166" s="234"/>
      <c r="BA166" s="234"/>
      <c r="BB166" s="234"/>
      <c r="BC166" s="234"/>
      <c r="BD166" s="234"/>
      <c r="BE166" s="234"/>
      <c r="BF166" s="234"/>
      <c r="BG166" s="234"/>
      <c r="BH166" s="234"/>
      <c r="BI166" s="234"/>
      <c r="BJ166" s="234"/>
      <c r="BK166" s="234"/>
      <c r="BL166" s="234"/>
      <c r="BM166" s="234"/>
      <c r="BN166" s="234"/>
      <c r="BO166" s="234"/>
    </row>
    <row r="167" spans="1:67" ht="24" customHeight="1" x14ac:dyDescent="0.25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234"/>
      <c r="AL167" s="234"/>
      <c r="AM167" s="234"/>
      <c r="AN167" s="234"/>
      <c r="AO167" s="234"/>
      <c r="AP167" s="234"/>
      <c r="AQ167" s="234"/>
      <c r="AR167" s="234"/>
      <c r="AS167" s="234"/>
      <c r="AT167" s="234"/>
      <c r="AU167" s="234"/>
      <c r="AV167" s="234"/>
      <c r="AW167" s="234"/>
      <c r="AX167" s="234"/>
      <c r="AY167" s="234"/>
      <c r="AZ167" s="234"/>
      <c r="BA167" s="234"/>
      <c r="BB167" s="234"/>
      <c r="BC167" s="234"/>
      <c r="BD167" s="234"/>
      <c r="BE167" s="234"/>
      <c r="BF167" s="234"/>
      <c r="BG167" s="234"/>
      <c r="BH167" s="234"/>
      <c r="BI167" s="234"/>
      <c r="BJ167" s="234"/>
      <c r="BK167" s="234"/>
      <c r="BL167" s="234"/>
      <c r="BM167" s="234"/>
      <c r="BN167" s="234"/>
      <c r="BO167" s="234"/>
    </row>
    <row r="168" spans="1:67" ht="24" customHeight="1" x14ac:dyDescent="0.25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234"/>
      <c r="AL168" s="234"/>
      <c r="AM168" s="234"/>
      <c r="AN168" s="234"/>
      <c r="AO168" s="234"/>
      <c r="AP168" s="234"/>
      <c r="AQ168" s="234"/>
      <c r="AR168" s="234"/>
      <c r="AS168" s="234"/>
      <c r="AT168" s="234"/>
      <c r="AU168" s="234"/>
      <c r="AV168" s="234"/>
      <c r="AW168" s="234"/>
      <c r="AX168" s="234"/>
      <c r="AY168" s="234"/>
      <c r="AZ168" s="234"/>
      <c r="BA168" s="234"/>
      <c r="BB168" s="234"/>
      <c r="BC168" s="234"/>
      <c r="BD168" s="234"/>
      <c r="BE168" s="234"/>
      <c r="BF168" s="234"/>
      <c r="BG168" s="234"/>
      <c r="BH168" s="234"/>
      <c r="BI168" s="234"/>
      <c r="BJ168" s="234"/>
      <c r="BK168" s="234"/>
      <c r="BL168" s="234"/>
      <c r="BM168" s="234"/>
      <c r="BN168" s="234"/>
      <c r="BO168" s="234"/>
    </row>
    <row r="169" spans="1:67" ht="24" customHeight="1" x14ac:dyDescent="0.25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234"/>
      <c r="AK169" s="234"/>
      <c r="AL169" s="234"/>
      <c r="AM169" s="234"/>
      <c r="AN169" s="234"/>
      <c r="AO169" s="234"/>
      <c r="AP169" s="234"/>
      <c r="AQ169" s="234"/>
      <c r="AR169" s="234"/>
      <c r="AS169" s="234"/>
      <c r="AT169" s="234"/>
      <c r="AU169" s="234"/>
      <c r="AV169" s="234"/>
      <c r="AW169" s="234"/>
      <c r="AX169" s="234"/>
      <c r="AY169" s="234"/>
      <c r="AZ169" s="234"/>
      <c r="BA169" s="234"/>
      <c r="BB169" s="234"/>
      <c r="BC169" s="234"/>
      <c r="BD169" s="234"/>
      <c r="BE169" s="234"/>
      <c r="BF169" s="234"/>
      <c r="BG169" s="234"/>
      <c r="BH169" s="234"/>
      <c r="BI169" s="234"/>
      <c r="BJ169" s="234"/>
      <c r="BK169" s="234"/>
      <c r="BL169" s="234"/>
      <c r="BM169" s="234"/>
      <c r="BN169" s="234"/>
      <c r="BO169" s="234"/>
    </row>
    <row r="170" spans="1:67" ht="24" customHeight="1" x14ac:dyDescent="0.25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234"/>
      <c r="AK170" s="234"/>
      <c r="AL170" s="234"/>
      <c r="AM170" s="234"/>
      <c r="AN170" s="234"/>
      <c r="AO170" s="234"/>
      <c r="AP170" s="234"/>
      <c r="AQ170" s="234"/>
      <c r="AR170" s="234"/>
      <c r="AS170" s="234"/>
      <c r="AT170" s="234"/>
      <c r="AU170" s="234"/>
      <c r="AV170" s="234"/>
      <c r="AW170" s="234"/>
      <c r="AX170" s="234"/>
      <c r="AY170" s="234"/>
      <c r="AZ170" s="234"/>
      <c r="BA170" s="234"/>
      <c r="BB170" s="234"/>
      <c r="BC170" s="234"/>
      <c r="BD170" s="234"/>
      <c r="BE170" s="234"/>
      <c r="BF170" s="234"/>
      <c r="BG170" s="234"/>
      <c r="BH170" s="234"/>
      <c r="BI170" s="234"/>
      <c r="BJ170" s="234"/>
      <c r="BK170" s="234"/>
      <c r="BL170" s="234"/>
      <c r="BM170" s="234"/>
      <c r="BN170" s="234"/>
      <c r="BO170" s="234"/>
    </row>
    <row r="171" spans="1:67" ht="24" customHeight="1" x14ac:dyDescent="0.25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234"/>
      <c r="AK171" s="234"/>
      <c r="AL171" s="234"/>
      <c r="AM171" s="234"/>
      <c r="AN171" s="234"/>
      <c r="AO171" s="234"/>
      <c r="AP171" s="234"/>
      <c r="AQ171" s="234"/>
      <c r="AR171" s="234"/>
      <c r="AS171" s="234"/>
      <c r="AT171" s="234"/>
      <c r="AU171" s="234"/>
      <c r="AV171" s="234"/>
      <c r="AW171" s="234"/>
      <c r="AX171" s="234"/>
      <c r="AY171" s="234"/>
      <c r="AZ171" s="234"/>
      <c r="BA171" s="234"/>
      <c r="BB171" s="234"/>
      <c r="BC171" s="234"/>
      <c r="BD171" s="234"/>
      <c r="BE171" s="234"/>
      <c r="BF171" s="234"/>
      <c r="BG171" s="234"/>
      <c r="BH171" s="234"/>
      <c r="BI171" s="234"/>
      <c r="BJ171" s="234"/>
      <c r="BK171" s="234"/>
      <c r="BL171" s="234"/>
      <c r="BM171" s="234"/>
      <c r="BN171" s="234"/>
      <c r="BO171" s="234"/>
    </row>
    <row r="172" spans="1:67" ht="24" customHeight="1" x14ac:dyDescent="0.25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234"/>
      <c r="AK172" s="234"/>
      <c r="AL172" s="234"/>
      <c r="AM172" s="234"/>
      <c r="AN172" s="234"/>
      <c r="AO172" s="234"/>
      <c r="AP172" s="234"/>
      <c r="AQ172" s="234"/>
      <c r="AR172" s="234"/>
      <c r="AS172" s="234"/>
      <c r="AT172" s="234"/>
      <c r="AU172" s="234"/>
      <c r="AV172" s="234"/>
      <c r="AW172" s="234"/>
      <c r="AX172" s="234"/>
      <c r="AY172" s="234"/>
      <c r="AZ172" s="234"/>
      <c r="BA172" s="234"/>
      <c r="BB172" s="234"/>
      <c r="BC172" s="234"/>
      <c r="BD172" s="234"/>
      <c r="BE172" s="234"/>
      <c r="BF172" s="234"/>
      <c r="BG172" s="234"/>
      <c r="BH172" s="234"/>
      <c r="BI172" s="234"/>
      <c r="BJ172" s="234"/>
      <c r="BK172" s="234"/>
      <c r="BL172" s="234"/>
      <c r="BM172" s="234"/>
      <c r="BN172" s="234"/>
      <c r="BO172" s="234"/>
    </row>
    <row r="173" spans="1:67" ht="24" customHeight="1" x14ac:dyDescent="0.25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4"/>
      <c r="AL173" s="234"/>
      <c r="AM173" s="234"/>
      <c r="AN173" s="234"/>
      <c r="AO173" s="234"/>
      <c r="AP173" s="234"/>
      <c r="AQ173" s="234"/>
      <c r="AR173" s="234"/>
      <c r="AS173" s="234"/>
      <c r="AT173" s="234"/>
      <c r="AU173" s="234"/>
      <c r="AV173" s="234"/>
      <c r="AW173" s="234"/>
      <c r="AX173" s="234"/>
      <c r="AY173" s="234"/>
      <c r="AZ173" s="234"/>
      <c r="BA173" s="234"/>
      <c r="BB173" s="234"/>
      <c r="BC173" s="234"/>
      <c r="BD173" s="234"/>
      <c r="BE173" s="234"/>
      <c r="BF173" s="234"/>
      <c r="BG173" s="234"/>
      <c r="BH173" s="234"/>
      <c r="BI173" s="234"/>
      <c r="BJ173" s="234"/>
      <c r="BK173" s="234"/>
      <c r="BL173" s="234"/>
      <c r="BM173" s="234"/>
      <c r="BN173" s="234"/>
      <c r="BO173" s="234"/>
    </row>
    <row r="174" spans="1:67" ht="24" customHeight="1" x14ac:dyDescent="0.25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234"/>
      <c r="AK174" s="234"/>
      <c r="AL174" s="234"/>
      <c r="AM174" s="234"/>
      <c r="AN174" s="234"/>
      <c r="AO174" s="234"/>
      <c r="AP174" s="234"/>
      <c r="AQ174" s="234"/>
      <c r="AR174" s="234"/>
      <c r="AS174" s="234"/>
      <c r="AT174" s="234"/>
      <c r="AU174" s="234"/>
      <c r="AV174" s="234"/>
      <c r="AW174" s="234"/>
      <c r="AX174" s="234"/>
      <c r="AY174" s="234"/>
      <c r="AZ174" s="234"/>
      <c r="BA174" s="234"/>
      <c r="BB174" s="234"/>
      <c r="BC174" s="234"/>
      <c r="BD174" s="234"/>
      <c r="BE174" s="234"/>
      <c r="BF174" s="234"/>
      <c r="BG174" s="234"/>
      <c r="BH174" s="234"/>
      <c r="BI174" s="234"/>
      <c r="BJ174" s="234"/>
      <c r="BK174" s="234"/>
      <c r="BL174" s="234"/>
      <c r="BM174" s="234"/>
      <c r="BN174" s="234"/>
      <c r="BO174" s="234"/>
    </row>
    <row r="175" spans="1:67" ht="24" customHeight="1" x14ac:dyDescent="0.25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234"/>
      <c r="AL175" s="234"/>
      <c r="AM175" s="234"/>
      <c r="AN175" s="234"/>
      <c r="AO175" s="234"/>
      <c r="AP175" s="234"/>
      <c r="AQ175" s="234"/>
      <c r="AR175" s="234"/>
      <c r="AS175" s="234"/>
      <c r="AT175" s="234"/>
      <c r="AU175" s="234"/>
      <c r="AV175" s="234"/>
      <c r="AW175" s="234"/>
      <c r="AX175" s="234"/>
      <c r="AY175" s="234"/>
      <c r="AZ175" s="234"/>
      <c r="BA175" s="234"/>
      <c r="BB175" s="234"/>
      <c r="BC175" s="234"/>
      <c r="BD175" s="234"/>
      <c r="BE175" s="234"/>
      <c r="BF175" s="234"/>
      <c r="BG175" s="234"/>
      <c r="BH175" s="234"/>
      <c r="BI175" s="234"/>
      <c r="BJ175" s="234"/>
      <c r="BK175" s="234"/>
      <c r="BL175" s="234"/>
      <c r="BM175" s="234"/>
      <c r="BN175" s="234"/>
      <c r="BO175" s="234"/>
    </row>
    <row r="176" spans="1:67" ht="24" customHeight="1" x14ac:dyDescent="0.25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234"/>
      <c r="AK176" s="234"/>
      <c r="AL176" s="234"/>
      <c r="AM176" s="234"/>
      <c r="AN176" s="234"/>
      <c r="AO176" s="234"/>
      <c r="AP176" s="234"/>
      <c r="AQ176" s="234"/>
      <c r="AR176" s="234"/>
      <c r="AS176" s="234"/>
      <c r="AT176" s="234"/>
      <c r="AU176" s="234"/>
      <c r="AV176" s="234"/>
      <c r="AW176" s="234"/>
      <c r="AX176" s="234"/>
      <c r="AY176" s="234"/>
      <c r="AZ176" s="234"/>
      <c r="BA176" s="234"/>
      <c r="BB176" s="234"/>
      <c r="BC176" s="234"/>
      <c r="BD176" s="234"/>
      <c r="BE176" s="234"/>
      <c r="BF176" s="234"/>
      <c r="BG176" s="234"/>
      <c r="BH176" s="234"/>
      <c r="BI176" s="234"/>
      <c r="BJ176" s="234"/>
      <c r="BK176" s="234"/>
      <c r="BL176" s="234"/>
      <c r="BM176" s="234"/>
      <c r="BN176" s="234"/>
      <c r="BO176" s="234"/>
    </row>
    <row r="177" spans="1:67" ht="24" customHeight="1" x14ac:dyDescent="0.25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234"/>
      <c r="AL177" s="234"/>
      <c r="AM177" s="234"/>
      <c r="AN177" s="234"/>
      <c r="AO177" s="234"/>
      <c r="AP177" s="234"/>
      <c r="AQ177" s="234"/>
      <c r="AR177" s="234"/>
      <c r="AS177" s="234"/>
      <c r="AT177" s="234"/>
      <c r="AU177" s="234"/>
      <c r="AV177" s="234"/>
      <c r="AW177" s="234"/>
      <c r="AX177" s="234"/>
      <c r="AY177" s="234"/>
      <c r="AZ177" s="234"/>
      <c r="BA177" s="234"/>
      <c r="BB177" s="234"/>
      <c r="BC177" s="234"/>
      <c r="BD177" s="234"/>
      <c r="BE177" s="234"/>
      <c r="BF177" s="234"/>
      <c r="BG177" s="234"/>
      <c r="BH177" s="234"/>
      <c r="BI177" s="234"/>
      <c r="BJ177" s="234"/>
      <c r="BK177" s="234"/>
      <c r="BL177" s="234"/>
      <c r="BM177" s="234"/>
      <c r="BN177" s="234"/>
      <c r="BO177" s="234"/>
    </row>
    <row r="178" spans="1:67" ht="24" customHeight="1" x14ac:dyDescent="0.25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234"/>
      <c r="AL178" s="234"/>
      <c r="AM178" s="234"/>
      <c r="AN178" s="234"/>
      <c r="AO178" s="234"/>
      <c r="AP178" s="234"/>
      <c r="AQ178" s="234"/>
      <c r="AR178" s="234"/>
      <c r="AS178" s="234"/>
      <c r="AT178" s="234"/>
      <c r="AU178" s="234"/>
      <c r="AV178" s="234"/>
      <c r="AW178" s="234"/>
      <c r="AX178" s="234"/>
      <c r="AY178" s="234"/>
      <c r="AZ178" s="234"/>
      <c r="BA178" s="234"/>
      <c r="BB178" s="234"/>
      <c r="BC178" s="234"/>
      <c r="BD178" s="234"/>
      <c r="BE178" s="234"/>
      <c r="BF178" s="234"/>
      <c r="BG178" s="234"/>
      <c r="BH178" s="234"/>
      <c r="BI178" s="234"/>
      <c r="BJ178" s="234"/>
      <c r="BK178" s="234"/>
      <c r="BL178" s="234"/>
      <c r="BM178" s="234"/>
      <c r="BN178" s="234"/>
      <c r="BO178" s="234"/>
    </row>
    <row r="179" spans="1:67" ht="24" customHeight="1" x14ac:dyDescent="0.25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4"/>
      <c r="AL179" s="234"/>
      <c r="AM179" s="234"/>
      <c r="AN179" s="234"/>
      <c r="AO179" s="234"/>
      <c r="AP179" s="234"/>
      <c r="AQ179" s="234"/>
      <c r="AR179" s="234"/>
      <c r="AS179" s="234"/>
      <c r="AT179" s="234"/>
      <c r="AU179" s="234"/>
      <c r="AV179" s="234"/>
      <c r="AW179" s="234"/>
      <c r="AX179" s="234"/>
      <c r="AY179" s="234"/>
      <c r="AZ179" s="234"/>
      <c r="BA179" s="234"/>
      <c r="BB179" s="234"/>
      <c r="BC179" s="234"/>
      <c r="BD179" s="234"/>
      <c r="BE179" s="234"/>
      <c r="BF179" s="234"/>
      <c r="BG179" s="234"/>
      <c r="BH179" s="234"/>
      <c r="BI179" s="234"/>
      <c r="BJ179" s="234"/>
      <c r="BK179" s="234"/>
      <c r="BL179" s="234"/>
      <c r="BM179" s="234"/>
      <c r="BN179" s="234"/>
      <c r="BO179" s="234"/>
    </row>
    <row r="180" spans="1:67" ht="24" customHeight="1" x14ac:dyDescent="0.25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J180" s="234"/>
      <c r="AK180" s="234"/>
      <c r="AL180" s="234"/>
      <c r="AM180" s="234"/>
      <c r="AN180" s="234"/>
      <c r="AO180" s="234"/>
      <c r="AP180" s="234"/>
      <c r="AQ180" s="234"/>
      <c r="AR180" s="234"/>
      <c r="AS180" s="234"/>
      <c r="AT180" s="234"/>
      <c r="AU180" s="234"/>
      <c r="AV180" s="234"/>
      <c r="AW180" s="234"/>
      <c r="AX180" s="234"/>
      <c r="AY180" s="234"/>
      <c r="AZ180" s="234"/>
      <c r="BA180" s="234"/>
      <c r="BB180" s="234"/>
      <c r="BC180" s="234"/>
      <c r="BD180" s="234"/>
      <c r="BE180" s="234"/>
      <c r="BF180" s="234"/>
      <c r="BG180" s="234"/>
      <c r="BH180" s="234"/>
      <c r="BI180" s="234"/>
      <c r="BJ180" s="234"/>
      <c r="BK180" s="234"/>
      <c r="BL180" s="234"/>
      <c r="BM180" s="234"/>
      <c r="BN180" s="234"/>
      <c r="BO180" s="234"/>
    </row>
    <row r="181" spans="1:67" ht="24" customHeight="1" x14ac:dyDescent="0.25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4"/>
      <c r="AL181" s="234"/>
      <c r="AM181" s="234"/>
      <c r="AN181" s="234"/>
      <c r="AO181" s="234"/>
      <c r="AP181" s="234"/>
      <c r="AQ181" s="234"/>
      <c r="AR181" s="234"/>
      <c r="AS181" s="234"/>
      <c r="AT181" s="234"/>
      <c r="AU181" s="234"/>
      <c r="AV181" s="234"/>
      <c r="AW181" s="234"/>
      <c r="AX181" s="234"/>
      <c r="AY181" s="234"/>
      <c r="AZ181" s="234"/>
      <c r="BA181" s="234"/>
      <c r="BB181" s="234"/>
      <c r="BC181" s="234"/>
      <c r="BD181" s="234"/>
      <c r="BE181" s="234"/>
      <c r="BF181" s="234"/>
      <c r="BG181" s="234"/>
      <c r="BH181" s="234"/>
      <c r="BI181" s="234"/>
      <c r="BJ181" s="234"/>
      <c r="BK181" s="234"/>
      <c r="BL181" s="234"/>
      <c r="BM181" s="234"/>
      <c r="BN181" s="234"/>
      <c r="BO181" s="234"/>
    </row>
    <row r="182" spans="1:67" ht="24" customHeight="1" x14ac:dyDescent="0.25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234"/>
      <c r="AK182" s="234"/>
      <c r="AL182" s="234"/>
      <c r="AM182" s="234"/>
      <c r="AN182" s="234"/>
      <c r="AO182" s="234"/>
      <c r="AP182" s="234"/>
      <c r="AQ182" s="234"/>
      <c r="AR182" s="234"/>
      <c r="AS182" s="234"/>
      <c r="AT182" s="234"/>
      <c r="AU182" s="234"/>
      <c r="AV182" s="234"/>
      <c r="AW182" s="234"/>
      <c r="AX182" s="234"/>
      <c r="AY182" s="234"/>
      <c r="AZ182" s="234"/>
      <c r="BA182" s="234"/>
      <c r="BB182" s="234"/>
      <c r="BC182" s="234"/>
      <c r="BD182" s="234"/>
      <c r="BE182" s="234"/>
      <c r="BF182" s="234"/>
      <c r="BG182" s="234"/>
      <c r="BH182" s="234"/>
      <c r="BI182" s="234"/>
      <c r="BJ182" s="234"/>
      <c r="BK182" s="234"/>
      <c r="BL182" s="234"/>
      <c r="BM182" s="234"/>
      <c r="BN182" s="234"/>
      <c r="BO182" s="234"/>
    </row>
    <row r="183" spans="1:67" ht="24" customHeight="1" x14ac:dyDescent="0.25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234"/>
      <c r="AL183" s="234"/>
      <c r="AM183" s="234"/>
      <c r="AN183" s="234"/>
      <c r="AO183" s="234"/>
      <c r="AP183" s="234"/>
      <c r="AQ183" s="234"/>
      <c r="AR183" s="234"/>
      <c r="AS183" s="234"/>
      <c r="AT183" s="234"/>
      <c r="AU183" s="234"/>
      <c r="AV183" s="234"/>
      <c r="AW183" s="234"/>
      <c r="AX183" s="234"/>
      <c r="AY183" s="234"/>
      <c r="AZ183" s="234"/>
      <c r="BA183" s="234"/>
      <c r="BB183" s="234"/>
      <c r="BC183" s="234"/>
      <c r="BD183" s="234"/>
      <c r="BE183" s="234"/>
      <c r="BF183" s="234"/>
      <c r="BG183" s="234"/>
      <c r="BH183" s="234"/>
      <c r="BI183" s="234"/>
      <c r="BJ183" s="234"/>
      <c r="BK183" s="234"/>
      <c r="BL183" s="234"/>
      <c r="BM183" s="234"/>
      <c r="BN183" s="234"/>
      <c r="BO183" s="234"/>
    </row>
    <row r="184" spans="1:67" ht="24" customHeight="1" x14ac:dyDescent="0.25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234"/>
      <c r="AK184" s="234"/>
      <c r="AL184" s="234"/>
      <c r="AM184" s="234"/>
      <c r="AN184" s="234"/>
      <c r="AO184" s="234"/>
      <c r="AP184" s="234"/>
      <c r="AQ184" s="234"/>
      <c r="AR184" s="234"/>
      <c r="AS184" s="234"/>
      <c r="AT184" s="234"/>
      <c r="AU184" s="234"/>
      <c r="AV184" s="234"/>
      <c r="AW184" s="234"/>
      <c r="AX184" s="234"/>
      <c r="AY184" s="234"/>
      <c r="AZ184" s="234"/>
      <c r="BA184" s="234"/>
      <c r="BB184" s="234"/>
      <c r="BC184" s="234"/>
      <c r="BD184" s="234"/>
      <c r="BE184" s="234"/>
      <c r="BF184" s="234"/>
      <c r="BG184" s="234"/>
      <c r="BH184" s="234"/>
      <c r="BI184" s="234"/>
      <c r="BJ184" s="234"/>
      <c r="BK184" s="234"/>
      <c r="BL184" s="234"/>
      <c r="BM184" s="234"/>
      <c r="BN184" s="234"/>
      <c r="BO184" s="234"/>
    </row>
    <row r="185" spans="1:67" ht="24" customHeight="1" x14ac:dyDescent="0.25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4"/>
      <c r="AL185" s="234"/>
      <c r="AM185" s="234"/>
      <c r="AN185" s="234"/>
      <c r="AO185" s="234"/>
      <c r="AP185" s="234"/>
      <c r="AQ185" s="234"/>
      <c r="AR185" s="234"/>
      <c r="AS185" s="234"/>
      <c r="AT185" s="234"/>
      <c r="AU185" s="234"/>
      <c r="AV185" s="234"/>
      <c r="AW185" s="234"/>
      <c r="AX185" s="234"/>
      <c r="AY185" s="234"/>
      <c r="AZ185" s="234"/>
      <c r="BA185" s="234"/>
      <c r="BB185" s="234"/>
      <c r="BC185" s="234"/>
      <c r="BD185" s="234"/>
      <c r="BE185" s="234"/>
      <c r="BF185" s="234"/>
      <c r="BG185" s="234"/>
      <c r="BH185" s="234"/>
      <c r="BI185" s="234"/>
      <c r="BJ185" s="234"/>
      <c r="BK185" s="234"/>
      <c r="BL185" s="234"/>
      <c r="BM185" s="234"/>
      <c r="BN185" s="234"/>
      <c r="BO185" s="234"/>
    </row>
    <row r="186" spans="1:67" ht="24" customHeight="1" x14ac:dyDescent="0.25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234"/>
      <c r="AK186" s="234"/>
      <c r="AL186" s="234"/>
      <c r="AM186" s="234"/>
      <c r="AN186" s="234"/>
      <c r="AO186" s="234"/>
      <c r="AP186" s="234"/>
      <c r="AQ186" s="234"/>
      <c r="AR186" s="234"/>
      <c r="AS186" s="234"/>
      <c r="AT186" s="234"/>
      <c r="AU186" s="234"/>
      <c r="AV186" s="234"/>
      <c r="AW186" s="234"/>
      <c r="AX186" s="234"/>
      <c r="AY186" s="234"/>
      <c r="AZ186" s="234"/>
      <c r="BA186" s="234"/>
      <c r="BB186" s="234"/>
      <c r="BC186" s="234"/>
      <c r="BD186" s="234"/>
      <c r="BE186" s="234"/>
      <c r="BF186" s="234"/>
      <c r="BG186" s="234"/>
      <c r="BH186" s="234"/>
      <c r="BI186" s="234"/>
      <c r="BJ186" s="234"/>
      <c r="BK186" s="234"/>
      <c r="BL186" s="234"/>
      <c r="BM186" s="234"/>
      <c r="BN186" s="234"/>
      <c r="BO186" s="234"/>
    </row>
    <row r="187" spans="1:67" ht="24" customHeight="1" x14ac:dyDescent="0.25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234"/>
      <c r="AL187" s="234"/>
      <c r="AM187" s="234"/>
      <c r="AN187" s="234"/>
      <c r="AO187" s="234"/>
      <c r="AP187" s="234"/>
      <c r="AQ187" s="234"/>
      <c r="AR187" s="234"/>
      <c r="AS187" s="234"/>
      <c r="AT187" s="234"/>
      <c r="AU187" s="234"/>
      <c r="AV187" s="234"/>
      <c r="AW187" s="234"/>
      <c r="AX187" s="234"/>
      <c r="AY187" s="234"/>
      <c r="AZ187" s="234"/>
      <c r="BA187" s="234"/>
      <c r="BB187" s="234"/>
      <c r="BC187" s="234"/>
      <c r="BD187" s="234"/>
      <c r="BE187" s="234"/>
      <c r="BF187" s="234"/>
      <c r="BG187" s="234"/>
      <c r="BH187" s="234"/>
      <c r="BI187" s="234"/>
      <c r="BJ187" s="234"/>
      <c r="BK187" s="234"/>
      <c r="BL187" s="234"/>
      <c r="BM187" s="234"/>
      <c r="BN187" s="234"/>
      <c r="BO187" s="234"/>
    </row>
    <row r="188" spans="1:67" ht="24" customHeight="1" x14ac:dyDescent="0.25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4"/>
      <c r="AL188" s="234"/>
      <c r="AM188" s="234"/>
      <c r="AN188" s="234"/>
      <c r="AO188" s="234"/>
      <c r="AP188" s="234"/>
      <c r="AQ188" s="234"/>
      <c r="AR188" s="234"/>
      <c r="AS188" s="234"/>
      <c r="AT188" s="234"/>
      <c r="AU188" s="234"/>
      <c r="AV188" s="234"/>
      <c r="AW188" s="234"/>
      <c r="AX188" s="234"/>
      <c r="AY188" s="234"/>
      <c r="AZ188" s="234"/>
      <c r="BA188" s="234"/>
      <c r="BB188" s="234"/>
      <c r="BC188" s="234"/>
      <c r="BD188" s="234"/>
      <c r="BE188" s="234"/>
      <c r="BF188" s="234"/>
      <c r="BG188" s="234"/>
      <c r="BH188" s="234"/>
      <c r="BI188" s="234"/>
      <c r="BJ188" s="234"/>
      <c r="BK188" s="234"/>
      <c r="BL188" s="234"/>
      <c r="BM188" s="234"/>
      <c r="BN188" s="234"/>
      <c r="BO188" s="234"/>
    </row>
    <row r="189" spans="1:67" ht="24" customHeight="1" x14ac:dyDescent="0.25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/>
      <c r="AL189" s="234"/>
      <c r="AM189" s="234"/>
      <c r="AN189" s="234"/>
      <c r="AO189" s="234"/>
      <c r="AP189" s="234"/>
      <c r="AQ189" s="234"/>
      <c r="AR189" s="234"/>
      <c r="AS189" s="234"/>
      <c r="AT189" s="234"/>
      <c r="AU189" s="234"/>
      <c r="AV189" s="234"/>
      <c r="AW189" s="234"/>
      <c r="AX189" s="234"/>
      <c r="AY189" s="234"/>
      <c r="AZ189" s="234"/>
      <c r="BA189" s="234"/>
      <c r="BB189" s="234"/>
      <c r="BC189" s="234"/>
      <c r="BD189" s="234"/>
      <c r="BE189" s="234"/>
      <c r="BF189" s="234"/>
      <c r="BG189" s="234"/>
      <c r="BH189" s="234"/>
      <c r="BI189" s="234"/>
      <c r="BJ189" s="234"/>
      <c r="BK189" s="234"/>
      <c r="BL189" s="234"/>
      <c r="BM189" s="234"/>
      <c r="BN189" s="234"/>
      <c r="BO189" s="234"/>
    </row>
    <row r="190" spans="1:67" ht="24" customHeight="1" x14ac:dyDescent="0.25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4"/>
      <c r="AL190" s="234"/>
      <c r="AM190" s="234"/>
      <c r="AN190" s="234"/>
      <c r="AO190" s="234"/>
      <c r="AP190" s="234"/>
      <c r="AQ190" s="234"/>
      <c r="AR190" s="234"/>
      <c r="AS190" s="234"/>
      <c r="AT190" s="234"/>
      <c r="AU190" s="234"/>
      <c r="AV190" s="234"/>
      <c r="AW190" s="234"/>
      <c r="AX190" s="234"/>
      <c r="AY190" s="234"/>
      <c r="AZ190" s="234"/>
      <c r="BA190" s="234"/>
      <c r="BB190" s="234"/>
      <c r="BC190" s="234"/>
      <c r="BD190" s="234"/>
      <c r="BE190" s="234"/>
      <c r="BF190" s="234"/>
      <c r="BG190" s="234"/>
      <c r="BH190" s="234"/>
      <c r="BI190" s="234"/>
      <c r="BJ190" s="234"/>
      <c r="BK190" s="234"/>
      <c r="BL190" s="234"/>
      <c r="BM190" s="234"/>
      <c r="BN190" s="234"/>
      <c r="BO190" s="234"/>
    </row>
    <row r="191" spans="1:67" ht="24" customHeight="1" x14ac:dyDescent="0.25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4"/>
      <c r="AL191" s="234"/>
      <c r="AM191" s="234"/>
      <c r="AN191" s="234"/>
      <c r="AO191" s="234"/>
      <c r="AP191" s="234"/>
      <c r="AQ191" s="234"/>
      <c r="AR191" s="234"/>
      <c r="AS191" s="234"/>
      <c r="AT191" s="234"/>
      <c r="AU191" s="234"/>
      <c r="AV191" s="234"/>
      <c r="AW191" s="234"/>
      <c r="AX191" s="234"/>
      <c r="AY191" s="234"/>
      <c r="AZ191" s="234"/>
      <c r="BA191" s="234"/>
      <c r="BB191" s="234"/>
      <c r="BC191" s="234"/>
      <c r="BD191" s="234"/>
      <c r="BE191" s="234"/>
      <c r="BF191" s="234"/>
      <c r="BG191" s="234"/>
      <c r="BH191" s="234"/>
      <c r="BI191" s="234"/>
      <c r="BJ191" s="234"/>
      <c r="BK191" s="234"/>
      <c r="BL191" s="234"/>
      <c r="BM191" s="234"/>
      <c r="BN191" s="234"/>
      <c r="BO191" s="234"/>
    </row>
    <row r="192" spans="1:67" ht="24" customHeight="1" x14ac:dyDescent="0.25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4"/>
      <c r="AL192" s="234"/>
      <c r="AM192" s="234"/>
      <c r="AN192" s="234"/>
      <c r="AO192" s="234"/>
      <c r="AP192" s="234"/>
      <c r="AQ192" s="234"/>
      <c r="AR192" s="234"/>
      <c r="AS192" s="234"/>
      <c r="AT192" s="234"/>
      <c r="AU192" s="234"/>
      <c r="AV192" s="234"/>
      <c r="AW192" s="234"/>
      <c r="AX192" s="234"/>
      <c r="AY192" s="234"/>
      <c r="AZ192" s="234"/>
      <c r="BA192" s="234"/>
      <c r="BB192" s="234"/>
      <c r="BC192" s="234"/>
      <c r="BD192" s="234"/>
      <c r="BE192" s="234"/>
      <c r="BF192" s="234"/>
      <c r="BG192" s="234"/>
      <c r="BH192" s="234"/>
      <c r="BI192" s="234"/>
      <c r="BJ192" s="234"/>
      <c r="BK192" s="234"/>
      <c r="BL192" s="234"/>
      <c r="BM192" s="234"/>
      <c r="BN192" s="234"/>
      <c r="BO192" s="234"/>
    </row>
    <row r="193" spans="1:67" ht="24" customHeight="1" x14ac:dyDescent="0.25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/>
      <c r="AL193" s="234"/>
      <c r="AM193" s="234"/>
      <c r="AN193" s="234"/>
      <c r="AO193" s="234"/>
      <c r="AP193" s="234"/>
      <c r="AQ193" s="234"/>
      <c r="AR193" s="234"/>
      <c r="AS193" s="234"/>
      <c r="AT193" s="234"/>
      <c r="AU193" s="234"/>
      <c r="AV193" s="234"/>
      <c r="AW193" s="234"/>
      <c r="AX193" s="234"/>
      <c r="AY193" s="234"/>
      <c r="AZ193" s="234"/>
      <c r="BA193" s="234"/>
      <c r="BB193" s="234"/>
      <c r="BC193" s="234"/>
      <c r="BD193" s="234"/>
      <c r="BE193" s="234"/>
      <c r="BF193" s="234"/>
      <c r="BG193" s="234"/>
      <c r="BH193" s="234"/>
      <c r="BI193" s="234"/>
      <c r="BJ193" s="234"/>
      <c r="BK193" s="234"/>
      <c r="BL193" s="234"/>
      <c r="BM193" s="234"/>
      <c r="BN193" s="234"/>
      <c r="BO193" s="234"/>
    </row>
    <row r="194" spans="1:67" ht="24" customHeight="1" x14ac:dyDescent="0.25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234"/>
      <c r="AS194" s="234"/>
      <c r="AT194" s="234"/>
      <c r="AU194" s="234"/>
      <c r="AV194" s="234"/>
      <c r="AW194" s="234"/>
      <c r="AX194" s="234"/>
      <c r="AY194" s="234"/>
      <c r="AZ194" s="234"/>
      <c r="BA194" s="234"/>
      <c r="BB194" s="234"/>
      <c r="BC194" s="234"/>
      <c r="BD194" s="234"/>
      <c r="BE194" s="234"/>
      <c r="BF194" s="234"/>
      <c r="BG194" s="234"/>
      <c r="BH194" s="234"/>
      <c r="BI194" s="234"/>
      <c r="BJ194" s="234"/>
      <c r="BK194" s="234"/>
      <c r="BL194" s="234"/>
      <c r="BM194" s="234"/>
      <c r="BN194" s="234"/>
      <c r="BO194" s="234"/>
    </row>
    <row r="195" spans="1:67" ht="24" customHeight="1" x14ac:dyDescent="0.25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4"/>
      <c r="AL195" s="234"/>
      <c r="AM195" s="234"/>
      <c r="AN195" s="234"/>
      <c r="AO195" s="234"/>
      <c r="AP195" s="234"/>
      <c r="AQ195" s="234"/>
      <c r="AR195" s="234"/>
      <c r="AS195" s="234"/>
      <c r="AT195" s="234"/>
      <c r="AU195" s="234"/>
      <c r="AV195" s="234"/>
      <c r="AW195" s="234"/>
      <c r="AX195" s="234"/>
      <c r="AY195" s="234"/>
      <c r="AZ195" s="234"/>
      <c r="BA195" s="234"/>
      <c r="BB195" s="234"/>
      <c r="BC195" s="234"/>
      <c r="BD195" s="234"/>
      <c r="BE195" s="234"/>
      <c r="BF195" s="234"/>
      <c r="BG195" s="234"/>
      <c r="BH195" s="234"/>
      <c r="BI195" s="234"/>
      <c r="BJ195" s="234"/>
      <c r="BK195" s="234"/>
      <c r="BL195" s="234"/>
      <c r="BM195" s="234"/>
      <c r="BN195" s="234"/>
      <c r="BO195" s="234"/>
    </row>
    <row r="196" spans="1:67" ht="24" customHeight="1" x14ac:dyDescent="0.25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4"/>
      <c r="AL196" s="234"/>
      <c r="AM196" s="234"/>
      <c r="AN196" s="234"/>
      <c r="AO196" s="234"/>
      <c r="AP196" s="234"/>
      <c r="AQ196" s="234"/>
      <c r="AR196" s="234"/>
      <c r="AS196" s="234"/>
      <c r="AT196" s="234"/>
      <c r="AU196" s="234"/>
      <c r="AV196" s="234"/>
      <c r="AW196" s="234"/>
      <c r="AX196" s="234"/>
      <c r="AY196" s="234"/>
      <c r="AZ196" s="234"/>
      <c r="BA196" s="234"/>
      <c r="BB196" s="234"/>
      <c r="BC196" s="234"/>
      <c r="BD196" s="234"/>
      <c r="BE196" s="234"/>
      <c r="BF196" s="234"/>
      <c r="BG196" s="234"/>
      <c r="BH196" s="234"/>
      <c r="BI196" s="234"/>
      <c r="BJ196" s="234"/>
      <c r="BK196" s="234"/>
      <c r="BL196" s="234"/>
      <c r="BM196" s="234"/>
      <c r="BN196" s="234"/>
      <c r="BO196" s="234"/>
    </row>
    <row r="197" spans="1:67" ht="24" customHeight="1" x14ac:dyDescent="0.25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/>
      <c r="AL197" s="234"/>
      <c r="AM197" s="234"/>
      <c r="AN197" s="234"/>
      <c r="AO197" s="234"/>
      <c r="AP197" s="234"/>
      <c r="AQ197" s="234"/>
      <c r="AR197" s="234"/>
      <c r="AS197" s="234"/>
      <c r="AT197" s="234"/>
      <c r="AU197" s="234"/>
      <c r="AV197" s="234"/>
      <c r="AW197" s="234"/>
      <c r="AX197" s="234"/>
      <c r="AY197" s="234"/>
      <c r="AZ197" s="234"/>
      <c r="BA197" s="234"/>
      <c r="BB197" s="234"/>
      <c r="BC197" s="234"/>
      <c r="BD197" s="234"/>
      <c r="BE197" s="234"/>
      <c r="BF197" s="234"/>
      <c r="BG197" s="234"/>
      <c r="BH197" s="234"/>
      <c r="BI197" s="234"/>
      <c r="BJ197" s="234"/>
      <c r="BK197" s="234"/>
      <c r="BL197" s="234"/>
      <c r="BM197" s="234"/>
      <c r="BN197" s="234"/>
      <c r="BO197" s="234"/>
    </row>
    <row r="198" spans="1:67" ht="24" customHeight="1" x14ac:dyDescent="0.25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4"/>
      <c r="AL198" s="234"/>
      <c r="AM198" s="234"/>
      <c r="AN198" s="234"/>
      <c r="AO198" s="234"/>
      <c r="AP198" s="234"/>
      <c r="AQ198" s="234"/>
      <c r="AR198" s="234"/>
      <c r="AS198" s="234"/>
      <c r="AT198" s="234"/>
      <c r="AU198" s="234"/>
      <c r="AV198" s="234"/>
      <c r="AW198" s="234"/>
      <c r="AX198" s="234"/>
      <c r="AY198" s="234"/>
      <c r="AZ198" s="234"/>
      <c r="BA198" s="234"/>
      <c r="BB198" s="234"/>
      <c r="BC198" s="234"/>
      <c r="BD198" s="234"/>
      <c r="BE198" s="234"/>
      <c r="BF198" s="234"/>
      <c r="BG198" s="234"/>
      <c r="BH198" s="234"/>
      <c r="BI198" s="234"/>
      <c r="BJ198" s="234"/>
      <c r="BK198" s="234"/>
      <c r="BL198" s="234"/>
      <c r="BM198" s="234"/>
      <c r="BN198" s="234"/>
      <c r="BO198" s="234"/>
    </row>
    <row r="199" spans="1:67" ht="24" customHeight="1" x14ac:dyDescent="0.25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4"/>
      <c r="AL199" s="234"/>
      <c r="AM199" s="234"/>
      <c r="AN199" s="234"/>
      <c r="AO199" s="234"/>
      <c r="AP199" s="234"/>
      <c r="AQ199" s="234"/>
      <c r="AR199" s="234"/>
      <c r="AS199" s="234"/>
      <c r="AT199" s="234"/>
      <c r="AU199" s="234"/>
      <c r="AV199" s="234"/>
      <c r="AW199" s="234"/>
      <c r="AX199" s="234"/>
      <c r="AY199" s="234"/>
      <c r="AZ199" s="234"/>
      <c r="BA199" s="234"/>
      <c r="BB199" s="234"/>
      <c r="BC199" s="234"/>
      <c r="BD199" s="234"/>
      <c r="BE199" s="234"/>
      <c r="BF199" s="234"/>
      <c r="BG199" s="234"/>
      <c r="BH199" s="234"/>
      <c r="BI199" s="234"/>
      <c r="BJ199" s="234"/>
      <c r="BK199" s="234"/>
      <c r="BL199" s="234"/>
      <c r="BM199" s="234"/>
      <c r="BN199" s="234"/>
      <c r="BO199" s="234"/>
    </row>
    <row r="200" spans="1:67" ht="24" customHeight="1" x14ac:dyDescent="0.25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4"/>
      <c r="AL200" s="234"/>
      <c r="AM200" s="234"/>
      <c r="AN200" s="234"/>
      <c r="AO200" s="234"/>
      <c r="AP200" s="234"/>
      <c r="AQ200" s="234"/>
      <c r="AR200" s="234"/>
      <c r="AS200" s="234"/>
      <c r="AT200" s="234"/>
      <c r="AU200" s="234"/>
      <c r="AV200" s="234"/>
      <c r="AW200" s="234"/>
      <c r="AX200" s="234"/>
      <c r="AY200" s="234"/>
      <c r="AZ200" s="234"/>
      <c r="BA200" s="234"/>
      <c r="BB200" s="234"/>
      <c r="BC200" s="234"/>
      <c r="BD200" s="234"/>
      <c r="BE200" s="234"/>
      <c r="BF200" s="234"/>
      <c r="BG200" s="234"/>
      <c r="BH200" s="234"/>
      <c r="BI200" s="234"/>
      <c r="BJ200" s="234"/>
      <c r="BK200" s="234"/>
      <c r="BL200" s="234"/>
      <c r="BM200" s="234"/>
      <c r="BN200" s="234"/>
      <c r="BO200" s="234"/>
    </row>
    <row r="201" spans="1:67" ht="24" customHeight="1" x14ac:dyDescent="0.25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4"/>
      <c r="AL201" s="234"/>
      <c r="AM201" s="234"/>
      <c r="AN201" s="234"/>
      <c r="AO201" s="234"/>
      <c r="AP201" s="234"/>
      <c r="AQ201" s="234"/>
      <c r="AR201" s="234"/>
      <c r="AS201" s="234"/>
      <c r="AT201" s="234"/>
      <c r="AU201" s="234"/>
      <c r="AV201" s="234"/>
      <c r="AW201" s="234"/>
      <c r="AX201" s="234"/>
      <c r="AY201" s="234"/>
      <c r="AZ201" s="234"/>
      <c r="BA201" s="234"/>
      <c r="BB201" s="234"/>
      <c r="BC201" s="234"/>
      <c r="BD201" s="234"/>
      <c r="BE201" s="234"/>
      <c r="BF201" s="234"/>
      <c r="BG201" s="234"/>
      <c r="BH201" s="234"/>
      <c r="BI201" s="234"/>
      <c r="BJ201" s="234"/>
      <c r="BK201" s="234"/>
      <c r="BL201" s="234"/>
      <c r="BM201" s="234"/>
      <c r="BN201" s="234"/>
      <c r="BO201" s="234"/>
    </row>
    <row r="202" spans="1:67" ht="24" customHeight="1" x14ac:dyDescent="0.25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4"/>
      <c r="AL202" s="234"/>
      <c r="AM202" s="234"/>
      <c r="AN202" s="234"/>
      <c r="AO202" s="234"/>
      <c r="AP202" s="234"/>
      <c r="AQ202" s="234"/>
      <c r="AR202" s="234"/>
      <c r="AS202" s="234"/>
      <c r="AT202" s="234"/>
      <c r="AU202" s="234"/>
      <c r="AV202" s="234"/>
      <c r="AW202" s="234"/>
      <c r="AX202" s="234"/>
      <c r="AY202" s="234"/>
      <c r="AZ202" s="234"/>
      <c r="BA202" s="234"/>
      <c r="BB202" s="234"/>
      <c r="BC202" s="234"/>
      <c r="BD202" s="234"/>
      <c r="BE202" s="234"/>
      <c r="BF202" s="234"/>
      <c r="BG202" s="234"/>
      <c r="BH202" s="234"/>
      <c r="BI202" s="234"/>
      <c r="BJ202" s="234"/>
      <c r="BK202" s="234"/>
      <c r="BL202" s="234"/>
      <c r="BM202" s="234"/>
      <c r="BN202" s="234"/>
      <c r="BO202" s="234"/>
    </row>
    <row r="203" spans="1:67" ht="24" customHeight="1" x14ac:dyDescent="0.25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4"/>
      <c r="AL203" s="234"/>
      <c r="AM203" s="234"/>
      <c r="AN203" s="234"/>
      <c r="AO203" s="234"/>
      <c r="AP203" s="234"/>
      <c r="AQ203" s="234"/>
      <c r="AR203" s="234"/>
      <c r="AS203" s="234"/>
      <c r="AT203" s="234"/>
      <c r="AU203" s="234"/>
      <c r="AV203" s="234"/>
      <c r="AW203" s="234"/>
      <c r="AX203" s="234"/>
      <c r="AY203" s="234"/>
      <c r="AZ203" s="234"/>
      <c r="BA203" s="234"/>
      <c r="BB203" s="234"/>
      <c r="BC203" s="234"/>
      <c r="BD203" s="234"/>
      <c r="BE203" s="234"/>
      <c r="BF203" s="234"/>
      <c r="BG203" s="234"/>
      <c r="BH203" s="234"/>
      <c r="BI203" s="234"/>
      <c r="BJ203" s="234"/>
      <c r="BK203" s="234"/>
      <c r="BL203" s="234"/>
      <c r="BM203" s="234"/>
      <c r="BN203" s="234"/>
      <c r="BO203" s="234"/>
    </row>
    <row r="204" spans="1:67" ht="24" customHeight="1" x14ac:dyDescent="0.25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4"/>
      <c r="AL204" s="234"/>
      <c r="AM204" s="234"/>
      <c r="AN204" s="234"/>
      <c r="AO204" s="234"/>
      <c r="AP204" s="234"/>
      <c r="AQ204" s="234"/>
      <c r="AR204" s="234"/>
      <c r="AS204" s="234"/>
      <c r="AT204" s="234"/>
      <c r="AU204" s="234"/>
      <c r="AV204" s="234"/>
      <c r="AW204" s="234"/>
      <c r="AX204" s="234"/>
      <c r="AY204" s="234"/>
      <c r="AZ204" s="234"/>
      <c r="BA204" s="234"/>
      <c r="BB204" s="234"/>
      <c r="BC204" s="234"/>
      <c r="BD204" s="234"/>
      <c r="BE204" s="234"/>
      <c r="BF204" s="234"/>
      <c r="BG204" s="234"/>
      <c r="BH204" s="234"/>
      <c r="BI204" s="234"/>
      <c r="BJ204" s="234"/>
      <c r="BK204" s="234"/>
      <c r="BL204" s="234"/>
      <c r="BM204" s="234"/>
      <c r="BN204" s="234"/>
      <c r="BO204" s="234"/>
    </row>
    <row r="205" spans="1:67" ht="24" customHeight="1" x14ac:dyDescent="0.25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4"/>
      <c r="AL205" s="234"/>
      <c r="AM205" s="234"/>
      <c r="AN205" s="234"/>
      <c r="AO205" s="234"/>
      <c r="AP205" s="234"/>
      <c r="AQ205" s="234"/>
      <c r="AR205" s="234"/>
      <c r="AS205" s="234"/>
      <c r="AT205" s="234"/>
      <c r="AU205" s="234"/>
      <c r="AV205" s="234"/>
      <c r="AW205" s="234"/>
      <c r="AX205" s="234"/>
      <c r="AY205" s="234"/>
      <c r="AZ205" s="234"/>
      <c r="BA205" s="234"/>
      <c r="BB205" s="234"/>
      <c r="BC205" s="234"/>
      <c r="BD205" s="234"/>
      <c r="BE205" s="234"/>
      <c r="BF205" s="234"/>
      <c r="BG205" s="234"/>
      <c r="BH205" s="234"/>
      <c r="BI205" s="234"/>
      <c r="BJ205" s="234"/>
      <c r="BK205" s="234"/>
      <c r="BL205" s="234"/>
      <c r="BM205" s="234"/>
      <c r="BN205" s="234"/>
      <c r="BO205" s="234"/>
    </row>
    <row r="206" spans="1:67" ht="24" customHeight="1" x14ac:dyDescent="0.25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4"/>
      <c r="AL206" s="234"/>
      <c r="AM206" s="234"/>
      <c r="AN206" s="234"/>
      <c r="AO206" s="234"/>
      <c r="AP206" s="234"/>
      <c r="AQ206" s="234"/>
      <c r="AR206" s="234"/>
      <c r="AS206" s="234"/>
      <c r="AT206" s="234"/>
      <c r="AU206" s="234"/>
      <c r="AV206" s="234"/>
      <c r="AW206" s="234"/>
      <c r="AX206" s="234"/>
      <c r="AY206" s="234"/>
      <c r="AZ206" s="234"/>
      <c r="BA206" s="234"/>
      <c r="BB206" s="234"/>
      <c r="BC206" s="234"/>
      <c r="BD206" s="234"/>
      <c r="BE206" s="234"/>
      <c r="BF206" s="234"/>
      <c r="BG206" s="234"/>
      <c r="BH206" s="234"/>
      <c r="BI206" s="234"/>
      <c r="BJ206" s="234"/>
      <c r="BK206" s="234"/>
      <c r="BL206" s="234"/>
      <c r="BM206" s="234"/>
      <c r="BN206" s="234"/>
      <c r="BO206" s="234"/>
    </row>
    <row r="207" spans="1:67" ht="24" customHeight="1" x14ac:dyDescent="0.25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4"/>
      <c r="AL207" s="234"/>
      <c r="AM207" s="234"/>
      <c r="AN207" s="234"/>
      <c r="AO207" s="234"/>
      <c r="AP207" s="234"/>
      <c r="AQ207" s="234"/>
      <c r="AR207" s="234"/>
      <c r="AS207" s="234"/>
      <c r="AT207" s="234"/>
      <c r="AU207" s="234"/>
      <c r="AV207" s="234"/>
      <c r="AW207" s="234"/>
      <c r="AX207" s="234"/>
      <c r="AY207" s="234"/>
      <c r="AZ207" s="234"/>
      <c r="BA207" s="234"/>
      <c r="BB207" s="234"/>
      <c r="BC207" s="234"/>
      <c r="BD207" s="234"/>
      <c r="BE207" s="234"/>
      <c r="BF207" s="234"/>
      <c r="BG207" s="234"/>
      <c r="BH207" s="234"/>
      <c r="BI207" s="234"/>
      <c r="BJ207" s="234"/>
      <c r="BK207" s="234"/>
      <c r="BL207" s="234"/>
      <c r="BM207" s="234"/>
      <c r="BN207" s="234"/>
      <c r="BO207" s="234"/>
    </row>
    <row r="208" spans="1:67" ht="24" customHeight="1" x14ac:dyDescent="0.25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4"/>
      <c r="AL208" s="234"/>
      <c r="AM208" s="234"/>
      <c r="AN208" s="234"/>
      <c r="AO208" s="234"/>
      <c r="AP208" s="234"/>
      <c r="AQ208" s="234"/>
      <c r="AR208" s="234"/>
      <c r="AS208" s="234"/>
      <c r="AT208" s="234"/>
      <c r="AU208" s="234"/>
      <c r="AV208" s="234"/>
      <c r="AW208" s="234"/>
      <c r="AX208" s="234"/>
      <c r="AY208" s="234"/>
      <c r="AZ208" s="234"/>
      <c r="BA208" s="234"/>
      <c r="BB208" s="234"/>
      <c r="BC208" s="234"/>
      <c r="BD208" s="234"/>
      <c r="BE208" s="234"/>
      <c r="BF208" s="234"/>
      <c r="BG208" s="234"/>
      <c r="BH208" s="234"/>
      <c r="BI208" s="234"/>
      <c r="BJ208" s="234"/>
      <c r="BK208" s="234"/>
      <c r="BL208" s="234"/>
      <c r="BM208" s="234"/>
      <c r="BN208" s="234"/>
      <c r="BO208" s="234"/>
    </row>
    <row r="209" spans="1:67" ht="24" customHeight="1" x14ac:dyDescent="0.25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4"/>
      <c r="AL209" s="234"/>
      <c r="AM209" s="234"/>
      <c r="AN209" s="234"/>
      <c r="AO209" s="234"/>
      <c r="AP209" s="234"/>
      <c r="AQ209" s="234"/>
      <c r="AR209" s="234"/>
      <c r="AS209" s="234"/>
      <c r="AT209" s="234"/>
      <c r="AU209" s="234"/>
      <c r="AV209" s="234"/>
      <c r="AW209" s="234"/>
      <c r="AX209" s="234"/>
      <c r="AY209" s="234"/>
      <c r="AZ209" s="234"/>
      <c r="BA209" s="234"/>
      <c r="BB209" s="234"/>
      <c r="BC209" s="234"/>
      <c r="BD209" s="234"/>
      <c r="BE209" s="234"/>
      <c r="BF209" s="234"/>
      <c r="BG209" s="234"/>
      <c r="BH209" s="234"/>
      <c r="BI209" s="234"/>
      <c r="BJ209" s="234"/>
      <c r="BK209" s="234"/>
      <c r="BL209" s="234"/>
      <c r="BM209" s="234"/>
      <c r="BN209" s="234"/>
      <c r="BO209" s="234"/>
    </row>
    <row r="210" spans="1:67" ht="24" customHeight="1" x14ac:dyDescent="0.25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4"/>
      <c r="AL210" s="234"/>
      <c r="AM210" s="234"/>
      <c r="AN210" s="234"/>
      <c r="AO210" s="234"/>
      <c r="AP210" s="234"/>
      <c r="AQ210" s="234"/>
      <c r="AR210" s="234"/>
      <c r="AS210" s="234"/>
      <c r="AT210" s="234"/>
      <c r="AU210" s="234"/>
      <c r="AV210" s="234"/>
      <c r="AW210" s="234"/>
      <c r="AX210" s="234"/>
      <c r="AY210" s="234"/>
      <c r="AZ210" s="234"/>
      <c r="BA210" s="234"/>
      <c r="BB210" s="234"/>
      <c r="BC210" s="234"/>
      <c r="BD210" s="234"/>
      <c r="BE210" s="234"/>
      <c r="BF210" s="234"/>
      <c r="BG210" s="234"/>
      <c r="BH210" s="234"/>
      <c r="BI210" s="234"/>
      <c r="BJ210" s="234"/>
      <c r="BK210" s="234"/>
      <c r="BL210" s="234"/>
      <c r="BM210" s="234"/>
      <c r="BN210" s="234"/>
      <c r="BO210" s="234"/>
    </row>
    <row r="211" spans="1:67" ht="24" customHeight="1" x14ac:dyDescent="0.25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234"/>
      <c r="AK211" s="234"/>
      <c r="AL211" s="234"/>
      <c r="AM211" s="234"/>
      <c r="AN211" s="234"/>
      <c r="AO211" s="234"/>
      <c r="AP211" s="234"/>
      <c r="AQ211" s="234"/>
      <c r="AR211" s="234"/>
      <c r="AS211" s="234"/>
      <c r="AT211" s="234"/>
      <c r="AU211" s="234"/>
      <c r="AV211" s="234"/>
      <c r="AW211" s="234"/>
      <c r="AX211" s="234"/>
      <c r="AY211" s="234"/>
      <c r="AZ211" s="234"/>
      <c r="BA211" s="234"/>
      <c r="BB211" s="234"/>
      <c r="BC211" s="234"/>
      <c r="BD211" s="234"/>
      <c r="BE211" s="234"/>
      <c r="BF211" s="234"/>
      <c r="BG211" s="234"/>
      <c r="BH211" s="234"/>
      <c r="BI211" s="234"/>
      <c r="BJ211" s="234"/>
      <c r="BK211" s="234"/>
      <c r="BL211" s="234"/>
      <c r="BM211" s="234"/>
      <c r="BN211" s="234"/>
      <c r="BO211" s="234"/>
    </row>
    <row r="212" spans="1:67" ht="24" customHeight="1" x14ac:dyDescent="0.25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4"/>
      <c r="AL212" s="234"/>
      <c r="AM212" s="234"/>
      <c r="AN212" s="234"/>
      <c r="AO212" s="234"/>
      <c r="AP212" s="234"/>
      <c r="AQ212" s="234"/>
      <c r="AR212" s="234"/>
      <c r="AS212" s="234"/>
      <c r="AT212" s="234"/>
      <c r="AU212" s="234"/>
      <c r="AV212" s="234"/>
      <c r="AW212" s="234"/>
      <c r="AX212" s="234"/>
      <c r="AY212" s="234"/>
      <c r="AZ212" s="234"/>
      <c r="BA212" s="234"/>
      <c r="BB212" s="234"/>
      <c r="BC212" s="234"/>
      <c r="BD212" s="234"/>
      <c r="BE212" s="234"/>
      <c r="BF212" s="234"/>
      <c r="BG212" s="234"/>
      <c r="BH212" s="234"/>
      <c r="BI212" s="234"/>
      <c r="BJ212" s="234"/>
      <c r="BK212" s="234"/>
      <c r="BL212" s="234"/>
      <c r="BM212" s="234"/>
      <c r="BN212" s="234"/>
      <c r="BO212" s="234"/>
    </row>
    <row r="213" spans="1:67" ht="24" customHeight="1" x14ac:dyDescent="0.25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4"/>
      <c r="AL213" s="234"/>
      <c r="AM213" s="234"/>
      <c r="AN213" s="234"/>
      <c r="AO213" s="234"/>
      <c r="AP213" s="234"/>
      <c r="AQ213" s="234"/>
      <c r="AR213" s="234"/>
      <c r="AS213" s="234"/>
      <c r="AT213" s="234"/>
      <c r="AU213" s="234"/>
      <c r="AV213" s="234"/>
      <c r="AW213" s="234"/>
      <c r="AX213" s="234"/>
      <c r="AY213" s="234"/>
      <c r="AZ213" s="234"/>
      <c r="BA213" s="234"/>
      <c r="BB213" s="234"/>
      <c r="BC213" s="234"/>
      <c r="BD213" s="234"/>
      <c r="BE213" s="234"/>
      <c r="BF213" s="234"/>
      <c r="BG213" s="234"/>
      <c r="BH213" s="234"/>
      <c r="BI213" s="234"/>
      <c r="BJ213" s="234"/>
      <c r="BK213" s="234"/>
      <c r="BL213" s="234"/>
      <c r="BM213" s="234"/>
      <c r="BN213" s="234"/>
      <c r="BO213" s="234"/>
    </row>
    <row r="214" spans="1:67" ht="24" customHeight="1" x14ac:dyDescent="0.25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4"/>
      <c r="AL214" s="234"/>
      <c r="AM214" s="234"/>
      <c r="AN214" s="234"/>
      <c r="AO214" s="234"/>
      <c r="AP214" s="234"/>
      <c r="AQ214" s="234"/>
      <c r="AR214" s="234"/>
      <c r="AS214" s="234"/>
      <c r="AT214" s="234"/>
      <c r="AU214" s="234"/>
      <c r="AV214" s="234"/>
      <c r="AW214" s="234"/>
      <c r="AX214" s="234"/>
      <c r="AY214" s="234"/>
      <c r="AZ214" s="234"/>
      <c r="BA214" s="234"/>
      <c r="BB214" s="234"/>
      <c r="BC214" s="234"/>
      <c r="BD214" s="234"/>
      <c r="BE214" s="234"/>
      <c r="BF214" s="234"/>
      <c r="BG214" s="234"/>
      <c r="BH214" s="234"/>
      <c r="BI214" s="234"/>
      <c r="BJ214" s="234"/>
      <c r="BK214" s="234"/>
      <c r="BL214" s="234"/>
      <c r="BM214" s="234"/>
      <c r="BN214" s="234"/>
      <c r="BO214" s="234"/>
    </row>
    <row r="215" spans="1:67" ht="24" customHeight="1" x14ac:dyDescent="0.25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4"/>
      <c r="AL215" s="234"/>
      <c r="AM215" s="234"/>
      <c r="AN215" s="234"/>
      <c r="AO215" s="234"/>
      <c r="AP215" s="234"/>
      <c r="AQ215" s="234"/>
      <c r="AR215" s="234"/>
      <c r="AS215" s="234"/>
      <c r="AT215" s="234"/>
      <c r="AU215" s="234"/>
      <c r="AV215" s="234"/>
      <c r="AW215" s="234"/>
      <c r="AX215" s="234"/>
      <c r="AY215" s="234"/>
      <c r="AZ215" s="234"/>
      <c r="BA215" s="234"/>
      <c r="BB215" s="234"/>
      <c r="BC215" s="234"/>
      <c r="BD215" s="234"/>
      <c r="BE215" s="234"/>
      <c r="BF215" s="234"/>
      <c r="BG215" s="234"/>
      <c r="BH215" s="234"/>
      <c r="BI215" s="234"/>
      <c r="BJ215" s="234"/>
      <c r="BK215" s="234"/>
      <c r="BL215" s="234"/>
      <c r="BM215" s="234"/>
      <c r="BN215" s="234"/>
      <c r="BO215" s="234"/>
    </row>
    <row r="216" spans="1:67" ht="24" customHeight="1" x14ac:dyDescent="0.25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4"/>
      <c r="AL216" s="234"/>
      <c r="AM216" s="234"/>
      <c r="AN216" s="234"/>
      <c r="AO216" s="234"/>
      <c r="AP216" s="234"/>
      <c r="AQ216" s="234"/>
      <c r="AR216" s="234"/>
      <c r="AS216" s="234"/>
      <c r="AT216" s="234"/>
      <c r="AU216" s="234"/>
      <c r="AV216" s="234"/>
      <c r="AW216" s="234"/>
      <c r="AX216" s="234"/>
      <c r="AY216" s="234"/>
      <c r="AZ216" s="234"/>
      <c r="BA216" s="234"/>
      <c r="BB216" s="234"/>
      <c r="BC216" s="234"/>
      <c r="BD216" s="234"/>
      <c r="BE216" s="234"/>
      <c r="BF216" s="234"/>
      <c r="BG216" s="234"/>
      <c r="BH216" s="234"/>
      <c r="BI216" s="234"/>
      <c r="BJ216" s="234"/>
      <c r="BK216" s="234"/>
      <c r="BL216" s="234"/>
      <c r="BM216" s="234"/>
      <c r="BN216" s="234"/>
      <c r="BO216" s="234"/>
    </row>
    <row r="217" spans="1:67" ht="24" customHeight="1" x14ac:dyDescent="0.25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4"/>
      <c r="AL217" s="234"/>
      <c r="AM217" s="234"/>
      <c r="AN217" s="234"/>
      <c r="AO217" s="234"/>
      <c r="AP217" s="234"/>
      <c r="AQ217" s="234"/>
      <c r="AR217" s="234"/>
      <c r="AS217" s="234"/>
      <c r="AT217" s="234"/>
      <c r="AU217" s="234"/>
      <c r="AV217" s="234"/>
      <c r="AW217" s="234"/>
      <c r="AX217" s="234"/>
      <c r="AY217" s="234"/>
      <c r="AZ217" s="234"/>
      <c r="BA217" s="234"/>
      <c r="BB217" s="234"/>
      <c r="BC217" s="234"/>
      <c r="BD217" s="234"/>
      <c r="BE217" s="234"/>
      <c r="BF217" s="234"/>
      <c r="BG217" s="234"/>
      <c r="BH217" s="234"/>
      <c r="BI217" s="234"/>
      <c r="BJ217" s="234"/>
      <c r="BK217" s="234"/>
      <c r="BL217" s="234"/>
      <c r="BM217" s="234"/>
      <c r="BN217" s="234"/>
      <c r="BO217" s="234"/>
    </row>
    <row r="218" spans="1:67" ht="24" customHeight="1" x14ac:dyDescent="0.25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4"/>
      <c r="AL218" s="234"/>
      <c r="AM218" s="234"/>
      <c r="AN218" s="234"/>
      <c r="AO218" s="234"/>
      <c r="AP218" s="234"/>
      <c r="AQ218" s="234"/>
      <c r="AR218" s="234"/>
      <c r="AS218" s="234"/>
      <c r="AT218" s="234"/>
      <c r="AU218" s="234"/>
      <c r="AV218" s="234"/>
      <c r="AW218" s="234"/>
      <c r="AX218" s="234"/>
      <c r="AY218" s="234"/>
      <c r="AZ218" s="234"/>
      <c r="BA218" s="234"/>
      <c r="BB218" s="234"/>
      <c r="BC218" s="234"/>
      <c r="BD218" s="234"/>
      <c r="BE218" s="234"/>
      <c r="BF218" s="234"/>
      <c r="BG218" s="234"/>
      <c r="BH218" s="234"/>
      <c r="BI218" s="234"/>
      <c r="BJ218" s="234"/>
      <c r="BK218" s="234"/>
      <c r="BL218" s="234"/>
      <c r="BM218" s="234"/>
      <c r="BN218" s="234"/>
      <c r="BO218" s="234"/>
    </row>
    <row r="219" spans="1:67" ht="24" customHeight="1" x14ac:dyDescent="0.25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4"/>
      <c r="AL219" s="234"/>
      <c r="AM219" s="234"/>
      <c r="AN219" s="234"/>
      <c r="AO219" s="234"/>
      <c r="AP219" s="234"/>
      <c r="AQ219" s="234"/>
      <c r="AR219" s="234"/>
      <c r="AS219" s="234"/>
      <c r="AT219" s="234"/>
      <c r="AU219" s="234"/>
      <c r="AV219" s="234"/>
      <c r="AW219" s="234"/>
      <c r="AX219" s="234"/>
      <c r="AY219" s="234"/>
      <c r="AZ219" s="234"/>
      <c r="BA219" s="234"/>
      <c r="BB219" s="234"/>
      <c r="BC219" s="234"/>
      <c r="BD219" s="234"/>
      <c r="BE219" s="234"/>
      <c r="BF219" s="234"/>
      <c r="BG219" s="234"/>
      <c r="BH219" s="234"/>
      <c r="BI219" s="234"/>
      <c r="BJ219" s="234"/>
      <c r="BK219" s="234"/>
      <c r="BL219" s="234"/>
      <c r="BM219" s="234"/>
      <c r="BN219" s="234"/>
      <c r="BO219" s="234"/>
    </row>
    <row r="220" spans="1:67" ht="24" customHeight="1" x14ac:dyDescent="0.25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4"/>
      <c r="AL220" s="234"/>
      <c r="AM220" s="234"/>
      <c r="AN220" s="234"/>
      <c r="AO220" s="234"/>
      <c r="AP220" s="234"/>
      <c r="AQ220" s="234"/>
      <c r="AR220" s="234"/>
      <c r="AS220" s="234"/>
      <c r="AT220" s="234"/>
      <c r="AU220" s="234"/>
      <c r="AV220" s="234"/>
      <c r="AW220" s="234"/>
      <c r="AX220" s="234"/>
      <c r="AY220" s="234"/>
      <c r="AZ220" s="234"/>
      <c r="BA220" s="234"/>
      <c r="BB220" s="234"/>
      <c r="BC220" s="234"/>
      <c r="BD220" s="234"/>
      <c r="BE220" s="234"/>
      <c r="BF220" s="234"/>
      <c r="BG220" s="234"/>
      <c r="BH220" s="234"/>
      <c r="BI220" s="234"/>
      <c r="BJ220" s="234"/>
      <c r="BK220" s="234"/>
      <c r="BL220" s="234"/>
      <c r="BM220" s="234"/>
      <c r="BN220" s="234"/>
      <c r="BO220" s="234"/>
    </row>
    <row r="221" spans="1:67" ht="24" customHeight="1" x14ac:dyDescent="0.25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4"/>
      <c r="AL221" s="234"/>
      <c r="AM221" s="234"/>
      <c r="AN221" s="234"/>
      <c r="AO221" s="234"/>
      <c r="AP221" s="234"/>
      <c r="AQ221" s="234"/>
      <c r="AR221" s="234"/>
      <c r="AS221" s="234"/>
      <c r="AT221" s="234"/>
      <c r="AU221" s="234"/>
      <c r="AV221" s="234"/>
      <c r="AW221" s="234"/>
      <c r="AX221" s="234"/>
      <c r="AY221" s="234"/>
      <c r="AZ221" s="234"/>
      <c r="BA221" s="234"/>
      <c r="BB221" s="234"/>
      <c r="BC221" s="234"/>
      <c r="BD221" s="234"/>
      <c r="BE221" s="234"/>
      <c r="BF221" s="234"/>
      <c r="BG221" s="234"/>
      <c r="BH221" s="234"/>
      <c r="BI221" s="234"/>
      <c r="BJ221" s="234"/>
      <c r="BK221" s="234"/>
      <c r="BL221" s="234"/>
      <c r="BM221" s="234"/>
      <c r="BN221" s="234"/>
      <c r="BO221" s="234"/>
    </row>
    <row r="222" spans="1:67" ht="24" customHeight="1" x14ac:dyDescent="0.25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4"/>
      <c r="AL222" s="234"/>
      <c r="AM222" s="234"/>
      <c r="AN222" s="234"/>
      <c r="AO222" s="234"/>
      <c r="AP222" s="234"/>
      <c r="AQ222" s="234"/>
      <c r="AR222" s="234"/>
      <c r="AS222" s="234"/>
      <c r="AT222" s="234"/>
      <c r="AU222" s="234"/>
      <c r="AV222" s="234"/>
      <c r="AW222" s="234"/>
      <c r="AX222" s="234"/>
      <c r="AY222" s="234"/>
      <c r="AZ222" s="234"/>
      <c r="BA222" s="234"/>
      <c r="BB222" s="234"/>
      <c r="BC222" s="234"/>
      <c r="BD222" s="234"/>
      <c r="BE222" s="234"/>
      <c r="BF222" s="234"/>
      <c r="BG222" s="234"/>
      <c r="BH222" s="234"/>
      <c r="BI222" s="234"/>
      <c r="BJ222" s="234"/>
      <c r="BK222" s="234"/>
      <c r="BL222" s="234"/>
      <c r="BM222" s="234"/>
      <c r="BN222" s="234"/>
      <c r="BO222" s="234"/>
    </row>
    <row r="223" spans="1:67" ht="24" customHeight="1" x14ac:dyDescent="0.25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4"/>
      <c r="AL223" s="234"/>
      <c r="AM223" s="234"/>
      <c r="AN223" s="234"/>
      <c r="AO223" s="234"/>
      <c r="AP223" s="234"/>
      <c r="AQ223" s="234"/>
      <c r="AR223" s="234"/>
      <c r="AS223" s="234"/>
      <c r="AT223" s="234"/>
      <c r="AU223" s="234"/>
      <c r="AV223" s="234"/>
      <c r="AW223" s="234"/>
      <c r="AX223" s="234"/>
      <c r="AY223" s="234"/>
      <c r="AZ223" s="234"/>
      <c r="BA223" s="234"/>
      <c r="BB223" s="234"/>
      <c r="BC223" s="234"/>
      <c r="BD223" s="234"/>
      <c r="BE223" s="234"/>
      <c r="BF223" s="234"/>
      <c r="BG223" s="234"/>
      <c r="BH223" s="234"/>
      <c r="BI223" s="234"/>
      <c r="BJ223" s="234"/>
      <c r="BK223" s="234"/>
      <c r="BL223" s="234"/>
      <c r="BM223" s="234"/>
      <c r="BN223" s="234"/>
      <c r="BO223" s="234"/>
    </row>
    <row r="224" spans="1:67" ht="24" customHeight="1" x14ac:dyDescent="0.25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4"/>
      <c r="AL224" s="234"/>
      <c r="AM224" s="234"/>
      <c r="AN224" s="234"/>
      <c r="AO224" s="234"/>
      <c r="AP224" s="234"/>
      <c r="AQ224" s="234"/>
      <c r="AR224" s="234"/>
      <c r="AS224" s="234"/>
      <c r="AT224" s="234"/>
      <c r="AU224" s="234"/>
      <c r="AV224" s="234"/>
      <c r="AW224" s="234"/>
      <c r="AX224" s="234"/>
      <c r="AY224" s="234"/>
      <c r="AZ224" s="234"/>
      <c r="BA224" s="234"/>
      <c r="BB224" s="234"/>
      <c r="BC224" s="234"/>
      <c r="BD224" s="234"/>
      <c r="BE224" s="234"/>
      <c r="BF224" s="234"/>
      <c r="BG224" s="234"/>
      <c r="BH224" s="234"/>
      <c r="BI224" s="234"/>
      <c r="BJ224" s="234"/>
      <c r="BK224" s="234"/>
      <c r="BL224" s="234"/>
      <c r="BM224" s="234"/>
      <c r="BN224" s="234"/>
      <c r="BO224" s="234"/>
    </row>
    <row r="225" spans="1:67" ht="24" customHeight="1" x14ac:dyDescent="0.25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4"/>
      <c r="AL225" s="234"/>
      <c r="AM225" s="234"/>
      <c r="AN225" s="234"/>
      <c r="AO225" s="234"/>
      <c r="AP225" s="234"/>
      <c r="AQ225" s="234"/>
      <c r="AR225" s="234"/>
      <c r="AS225" s="234"/>
      <c r="AT225" s="234"/>
      <c r="AU225" s="234"/>
      <c r="AV225" s="234"/>
      <c r="AW225" s="234"/>
      <c r="AX225" s="234"/>
      <c r="AY225" s="234"/>
      <c r="AZ225" s="234"/>
      <c r="BA225" s="234"/>
      <c r="BB225" s="234"/>
      <c r="BC225" s="234"/>
      <c r="BD225" s="234"/>
      <c r="BE225" s="234"/>
      <c r="BF225" s="234"/>
      <c r="BG225" s="234"/>
      <c r="BH225" s="234"/>
      <c r="BI225" s="234"/>
      <c r="BJ225" s="234"/>
      <c r="BK225" s="234"/>
      <c r="BL225" s="234"/>
      <c r="BM225" s="234"/>
      <c r="BN225" s="234"/>
      <c r="BO225" s="234"/>
    </row>
    <row r="226" spans="1:67" ht="24" customHeight="1" x14ac:dyDescent="0.25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4"/>
      <c r="AL226" s="234"/>
      <c r="AM226" s="234"/>
      <c r="AN226" s="234"/>
      <c r="AO226" s="234"/>
      <c r="AP226" s="234"/>
      <c r="AQ226" s="234"/>
      <c r="AR226" s="234"/>
      <c r="AS226" s="234"/>
      <c r="AT226" s="234"/>
      <c r="AU226" s="234"/>
      <c r="AV226" s="234"/>
      <c r="AW226" s="234"/>
      <c r="AX226" s="234"/>
      <c r="AY226" s="234"/>
      <c r="AZ226" s="234"/>
      <c r="BA226" s="234"/>
      <c r="BB226" s="234"/>
      <c r="BC226" s="234"/>
      <c r="BD226" s="234"/>
      <c r="BE226" s="234"/>
      <c r="BF226" s="234"/>
      <c r="BG226" s="234"/>
      <c r="BH226" s="234"/>
      <c r="BI226" s="234"/>
      <c r="BJ226" s="234"/>
      <c r="BK226" s="234"/>
      <c r="BL226" s="234"/>
      <c r="BM226" s="234"/>
      <c r="BN226" s="234"/>
      <c r="BO226" s="234"/>
    </row>
    <row r="227" spans="1:67" ht="24" customHeight="1" x14ac:dyDescent="0.25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4"/>
      <c r="AL227" s="234"/>
      <c r="AM227" s="234"/>
      <c r="AN227" s="234"/>
      <c r="AO227" s="234"/>
      <c r="AP227" s="234"/>
      <c r="AQ227" s="234"/>
      <c r="AR227" s="234"/>
      <c r="AS227" s="234"/>
      <c r="AT227" s="234"/>
      <c r="AU227" s="234"/>
      <c r="AV227" s="234"/>
      <c r="AW227" s="234"/>
      <c r="AX227" s="234"/>
      <c r="AY227" s="234"/>
      <c r="AZ227" s="234"/>
      <c r="BA227" s="234"/>
      <c r="BB227" s="234"/>
      <c r="BC227" s="234"/>
      <c r="BD227" s="234"/>
      <c r="BE227" s="234"/>
      <c r="BF227" s="234"/>
      <c r="BG227" s="234"/>
      <c r="BH227" s="234"/>
      <c r="BI227" s="234"/>
      <c r="BJ227" s="234"/>
      <c r="BK227" s="234"/>
      <c r="BL227" s="234"/>
      <c r="BM227" s="234"/>
      <c r="BN227" s="234"/>
      <c r="BO227" s="234"/>
    </row>
    <row r="228" spans="1:67" ht="24" customHeight="1" x14ac:dyDescent="0.25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234"/>
      <c r="AK228" s="234"/>
      <c r="AL228" s="234"/>
      <c r="AM228" s="234"/>
      <c r="AN228" s="234"/>
      <c r="AO228" s="234"/>
      <c r="AP228" s="234"/>
      <c r="AQ228" s="234"/>
      <c r="AR228" s="234"/>
      <c r="AS228" s="234"/>
      <c r="AT228" s="234"/>
      <c r="AU228" s="234"/>
      <c r="AV228" s="234"/>
      <c r="AW228" s="234"/>
      <c r="AX228" s="234"/>
      <c r="AY228" s="234"/>
      <c r="AZ228" s="234"/>
      <c r="BA228" s="234"/>
      <c r="BB228" s="234"/>
      <c r="BC228" s="234"/>
      <c r="BD228" s="234"/>
      <c r="BE228" s="234"/>
      <c r="BF228" s="234"/>
      <c r="BG228" s="234"/>
      <c r="BH228" s="234"/>
      <c r="BI228" s="234"/>
      <c r="BJ228" s="234"/>
      <c r="BK228" s="234"/>
      <c r="BL228" s="234"/>
      <c r="BM228" s="234"/>
      <c r="BN228" s="234"/>
      <c r="BO228" s="234"/>
    </row>
    <row r="229" spans="1:67" ht="24" customHeight="1" x14ac:dyDescent="0.25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4"/>
      <c r="AL229" s="234"/>
      <c r="AM229" s="234"/>
      <c r="AN229" s="234"/>
      <c r="AO229" s="234"/>
      <c r="AP229" s="234"/>
      <c r="AQ229" s="234"/>
      <c r="AR229" s="234"/>
      <c r="AS229" s="234"/>
      <c r="AT229" s="234"/>
      <c r="AU229" s="234"/>
      <c r="AV229" s="234"/>
      <c r="AW229" s="234"/>
      <c r="AX229" s="234"/>
      <c r="AY229" s="234"/>
      <c r="AZ229" s="234"/>
      <c r="BA229" s="234"/>
      <c r="BB229" s="234"/>
      <c r="BC229" s="234"/>
      <c r="BD229" s="234"/>
      <c r="BE229" s="234"/>
      <c r="BF229" s="234"/>
      <c r="BG229" s="234"/>
      <c r="BH229" s="234"/>
      <c r="BI229" s="234"/>
      <c r="BJ229" s="234"/>
      <c r="BK229" s="234"/>
      <c r="BL229" s="234"/>
      <c r="BM229" s="234"/>
      <c r="BN229" s="234"/>
      <c r="BO229" s="234"/>
    </row>
    <row r="230" spans="1:67" ht="24" customHeight="1" x14ac:dyDescent="0.25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4"/>
      <c r="AL230" s="234"/>
      <c r="AM230" s="234"/>
      <c r="AN230" s="234"/>
      <c r="AO230" s="234"/>
      <c r="AP230" s="234"/>
      <c r="AQ230" s="234"/>
      <c r="AR230" s="234"/>
      <c r="AS230" s="234"/>
      <c r="AT230" s="234"/>
      <c r="AU230" s="234"/>
      <c r="AV230" s="234"/>
      <c r="AW230" s="234"/>
      <c r="AX230" s="234"/>
      <c r="AY230" s="234"/>
      <c r="AZ230" s="234"/>
      <c r="BA230" s="234"/>
      <c r="BB230" s="234"/>
      <c r="BC230" s="234"/>
      <c r="BD230" s="234"/>
      <c r="BE230" s="234"/>
      <c r="BF230" s="234"/>
      <c r="BG230" s="234"/>
      <c r="BH230" s="234"/>
      <c r="BI230" s="234"/>
      <c r="BJ230" s="234"/>
      <c r="BK230" s="234"/>
      <c r="BL230" s="234"/>
      <c r="BM230" s="234"/>
      <c r="BN230" s="234"/>
      <c r="BO230" s="234"/>
    </row>
    <row r="231" spans="1:67" ht="24" customHeight="1" x14ac:dyDescent="0.25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4"/>
      <c r="AL231" s="234"/>
      <c r="AM231" s="234"/>
      <c r="AN231" s="234"/>
      <c r="AO231" s="234"/>
      <c r="AP231" s="234"/>
      <c r="AQ231" s="234"/>
      <c r="AR231" s="234"/>
      <c r="AS231" s="234"/>
      <c r="AT231" s="234"/>
      <c r="AU231" s="234"/>
      <c r="AV231" s="234"/>
      <c r="AW231" s="234"/>
      <c r="AX231" s="234"/>
      <c r="AY231" s="234"/>
      <c r="AZ231" s="234"/>
      <c r="BA231" s="234"/>
      <c r="BB231" s="234"/>
      <c r="BC231" s="234"/>
      <c r="BD231" s="234"/>
      <c r="BE231" s="234"/>
      <c r="BF231" s="234"/>
      <c r="BG231" s="234"/>
      <c r="BH231" s="234"/>
      <c r="BI231" s="234"/>
      <c r="BJ231" s="234"/>
      <c r="BK231" s="234"/>
      <c r="BL231" s="234"/>
      <c r="BM231" s="234"/>
      <c r="BN231" s="234"/>
      <c r="BO231" s="234"/>
    </row>
    <row r="232" spans="1:67" ht="24" customHeight="1" x14ac:dyDescent="0.25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4"/>
      <c r="AL232" s="234"/>
      <c r="AM232" s="234"/>
      <c r="AN232" s="234"/>
      <c r="AO232" s="234"/>
      <c r="AP232" s="234"/>
      <c r="AQ232" s="234"/>
      <c r="AR232" s="234"/>
      <c r="AS232" s="234"/>
      <c r="AT232" s="234"/>
      <c r="AU232" s="234"/>
      <c r="AV232" s="234"/>
      <c r="AW232" s="234"/>
      <c r="AX232" s="234"/>
      <c r="AY232" s="234"/>
      <c r="AZ232" s="234"/>
      <c r="BA232" s="234"/>
      <c r="BB232" s="234"/>
      <c r="BC232" s="234"/>
      <c r="BD232" s="234"/>
      <c r="BE232" s="234"/>
      <c r="BF232" s="234"/>
      <c r="BG232" s="234"/>
      <c r="BH232" s="234"/>
      <c r="BI232" s="234"/>
      <c r="BJ232" s="234"/>
      <c r="BK232" s="234"/>
      <c r="BL232" s="234"/>
      <c r="BM232" s="234"/>
      <c r="BN232" s="234"/>
      <c r="BO232" s="234"/>
    </row>
    <row r="233" spans="1:67" ht="24" customHeight="1" x14ac:dyDescent="0.25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234"/>
      <c r="AL233" s="234"/>
      <c r="AM233" s="234"/>
      <c r="AN233" s="234"/>
      <c r="AO233" s="234"/>
      <c r="AP233" s="234"/>
      <c r="AQ233" s="234"/>
      <c r="AR233" s="234"/>
      <c r="AS233" s="234"/>
      <c r="AT233" s="234"/>
      <c r="AU233" s="234"/>
      <c r="AV233" s="234"/>
      <c r="AW233" s="234"/>
      <c r="AX233" s="234"/>
      <c r="AY233" s="234"/>
      <c r="AZ233" s="234"/>
      <c r="BA233" s="234"/>
      <c r="BB233" s="234"/>
      <c r="BC233" s="234"/>
      <c r="BD233" s="234"/>
      <c r="BE233" s="234"/>
      <c r="BF233" s="234"/>
      <c r="BG233" s="234"/>
      <c r="BH233" s="234"/>
      <c r="BI233" s="234"/>
      <c r="BJ233" s="234"/>
      <c r="BK233" s="234"/>
      <c r="BL233" s="234"/>
      <c r="BM233" s="234"/>
      <c r="BN233" s="234"/>
      <c r="BO233" s="234"/>
    </row>
    <row r="234" spans="1:67" ht="24" customHeight="1" x14ac:dyDescent="0.25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234"/>
      <c r="AK234" s="234"/>
      <c r="AL234" s="234"/>
      <c r="AM234" s="234"/>
      <c r="AN234" s="234"/>
      <c r="AO234" s="234"/>
      <c r="AP234" s="234"/>
      <c r="AQ234" s="234"/>
      <c r="AR234" s="234"/>
      <c r="AS234" s="234"/>
      <c r="AT234" s="234"/>
      <c r="AU234" s="234"/>
      <c r="AV234" s="234"/>
      <c r="AW234" s="234"/>
      <c r="AX234" s="234"/>
      <c r="AY234" s="234"/>
      <c r="AZ234" s="234"/>
      <c r="BA234" s="234"/>
      <c r="BB234" s="234"/>
      <c r="BC234" s="234"/>
      <c r="BD234" s="234"/>
      <c r="BE234" s="234"/>
      <c r="BF234" s="234"/>
      <c r="BG234" s="234"/>
      <c r="BH234" s="234"/>
      <c r="BI234" s="234"/>
      <c r="BJ234" s="234"/>
      <c r="BK234" s="234"/>
      <c r="BL234" s="234"/>
      <c r="BM234" s="234"/>
      <c r="BN234" s="234"/>
      <c r="BO234" s="234"/>
    </row>
    <row r="235" spans="1:67" ht="24" customHeight="1" x14ac:dyDescent="0.25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234"/>
      <c r="AK235" s="234"/>
      <c r="AL235" s="234"/>
      <c r="AM235" s="234"/>
      <c r="AN235" s="234"/>
      <c r="AO235" s="234"/>
      <c r="AP235" s="234"/>
      <c r="AQ235" s="234"/>
      <c r="AR235" s="234"/>
      <c r="AS235" s="234"/>
      <c r="AT235" s="234"/>
      <c r="AU235" s="234"/>
      <c r="AV235" s="234"/>
      <c r="AW235" s="234"/>
      <c r="AX235" s="234"/>
      <c r="AY235" s="234"/>
      <c r="AZ235" s="234"/>
      <c r="BA235" s="234"/>
      <c r="BB235" s="234"/>
      <c r="BC235" s="234"/>
      <c r="BD235" s="234"/>
      <c r="BE235" s="234"/>
      <c r="BF235" s="234"/>
      <c r="BG235" s="234"/>
      <c r="BH235" s="234"/>
      <c r="BI235" s="234"/>
      <c r="BJ235" s="234"/>
      <c r="BK235" s="234"/>
      <c r="BL235" s="234"/>
      <c r="BM235" s="234"/>
      <c r="BN235" s="234"/>
      <c r="BO235" s="234"/>
    </row>
    <row r="236" spans="1:67" ht="24" customHeight="1" x14ac:dyDescent="0.25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234"/>
      <c r="AK236" s="234"/>
      <c r="AL236" s="234"/>
      <c r="AM236" s="234"/>
      <c r="AN236" s="234"/>
      <c r="AO236" s="234"/>
      <c r="AP236" s="234"/>
      <c r="AQ236" s="234"/>
      <c r="AR236" s="234"/>
      <c r="AS236" s="234"/>
      <c r="AT236" s="234"/>
      <c r="AU236" s="234"/>
      <c r="AV236" s="234"/>
      <c r="AW236" s="234"/>
      <c r="AX236" s="234"/>
      <c r="AY236" s="234"/>
      <c r="AZ236" s="234"/>
      <c r="BA236" s="234"/>
      <c r="BB236" s="234"/>
      <c r="BC236" s="234"/>
      <c r="BD236" s="234"/>
      <c r="BE236" s="234"/>
      <c r="BF236" s="234"/>
      <c r="BG236" s="234"/>
      <c r="BH236" s="234"/>
      <c r="BI236" s="234"/>
      <c r="BJ236" s="234"/>
      <c r="BK236" s="234"/>
      <c r="BL236" s="234"/>
      <c r="BM236" s="234"/>
      <c r="BN236" s="234"/>
      <c r="BO236" s="234"/>
    </row>
    <row r="237" spans="1:67" ht="24" customHeight="1" x14ac:dyDescent="0.25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234"/>
      <c r="AK237" s="234"/>
      <c r="AL237" s="234"/>
      <c r="AM237" s="234"/>
      <c r="AN237" s="234"/>
      <c r="AO237" s="234"/>
      <c r="AP237" s="234"/>
      <c r="AQ237" s="234"/>
      <c r="AR237" s="234"/>
      <c r="AS237" s="234"/>
      <c r="AT237" s="234"/>
      <c r="AU237" s="234"/>
      <c r="AV237" s="234"/>
      <c r="AW237" s="234"/>
      <c r="AX237" s="234"/>
      <c r="AY237" s="234"/>
      <c r="AZ237" s="234"/>
      <c r="BA237" s="234"/>
      <c r="BB237" s="234"/>
      <c r="BC237" s="234"/>
      <c r="BD237" s="234"/>
      <c r="BE237" s="234"/>
      <c r="BF237" s="234"/>
      <c r="BG237" s="234"/>
      <c r="BH237" s="234"/>
      <c r="BI237" s="234"/>
      <c r="BJ237" s="234"/>
      <c r="BK237" s="234"/>
      <c r="BL237" s="234"/>
      <c r="BM237" s="234"/>
      <c r="BN237" s="234"/>
      <c r="BO237" s="234"/>
    </row>
    <row r="238" spans="1:67" ht="24" customHeight="1" x14ac:dyDescent="0.25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234"/>
      <c r="AK238" s="234"/>
      <c r="AL238" s="234"/>
      <c r="AM238" s="234"/>
      <c r="AN238" s="234"/>
      <c r="AO238" s="234"/>
      <c r="AP238" s="234"/>
      <c r="AQ238" s="234"/>
      <c r="AR238" s="234"/>
      <c r="AS238" s="234"/>
      <c r="AT238" s="234"/>
      <c r="AU238" s="234"/>
      <c r="AV238" s="234"/>
      <c r="AW238" s="234"/>
      <c r="AX238" s="234"/>
      <c r="AY238" s="234"/>
      <c r="AZ238" s="234"/>
      <c r="BA238" s="234"/>
      <c r="BB238" s="234"/>
      <c r="BC238" s="234"/>
      <c r="BD238" s="234"/>
      <c r="BE238" s="234"/>
      <c r="BF238" s="234"/>
      <c r="BG238" s="234"/>
      <c r="BH238" s="234"/>
      <c r="BI238" s="234"/>
      <c r="BJ238" s="234"/>
      <c r="BK238" s="234"/>
      <c r="BL238" s="234"/>
      <c r="BM238" s="234"/>
      <c r="BN238" s="234"/>
      <c r="BO238" s="234"/>
    </row>
    <row r="239" spans="1:67" ht="24" customHeight="1" x14ac:dyDescent="0.25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234"/>
      <c r="AK239" s="234"/>
      <c r="AL239" s="234"/>
      <c r="AM239" s="234"/>
      <c r="AN239" s="234"/>
      <c r="AO239" s="234"/>
      <c r="AP239" s="234"/>
      <c r="AQ239" s="234"/>
      <c r="AR239" s="234"/>
      <c r="AS239" s="234"/>
      <c r="AT239" s="234"/>
      <c r="AU239" s="234"/>
      <c r="AV239" s="234"/>
      <c r="AW239" s="234"/>
      <c r="AX239" s="234"/>
      <c r="AY239" s="234"/>
      <c r="AZ239" s="234"/>
      <c r="BA239" s="234"/>
      <c r="BB239" s="234"/>
      <c r="BC239" s="234"/>
      <c r="BD239" s="234"/>
      <c r="BE239" s="234"/>
      <c r="BF239" s="234"/>
      <c r="BG239" s="234"/>
      <c r="BH239" s="234"/>
      <c r="BI239" s="234"/>
      <c r="BJ239" s="234"/>
      <c r="BK239" s="234"/>
      <c r="BL239" s="234"/>
      <c r="BM239" s="234"/>
      <c r="BN239" s="234"/>
      <c r="BO239" s="234"/>
    </row>
    <row r="240" spans="1:67" ht="24" customHeight="1" x14ac:dyDescent="0.25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234"/>
      <c r="AK240" s="234"/>
      <c r="AL240" s="234"/>
      <c r="AM240" s="234"/>
      <c r="AN240" s="234"/>
      <c r="AO240" s="234"/>
      <c r="AP240" s="234"/>
      <c r="AQ240" s="234"/>
      <c r="AR240" s="234"/>
      <c r="AS240" s="234"/>
      <c r="AT240" s="234"/>
      <c r="AU240" s="234"/>
      <c r="AV240" s="234"/>
      <c r="AW240" s="234"/>
      <c r="AX240" s="234"/>
      <c r="AY240" s="234"/>
      <c r="AZ240" s="234"/>
      <c r="BA240" s="234"/>
      <c r="BB240" s="234"/>
      <c r="BC240" s="234"/>
      <c r="BD240" s="234"/>
      <c r="BE240" s="234"/>
      <c r="BF240" s="234"/>
      <c r="BG240" s="234"/>
      <c r="BH240" s="234"/>
      <c r="BI240" s="234"/>
      <c r="BJ240" s="234"/>
      <c r="BK240" s="234"/>
      <c r="BL240" s="234"/>
      <c r="BM240" s="234"/>
      <c r="BN240" s="234"/>
      <c r="BO240" s="234"/>
    </row>
    <row r="241" spans="1:67" ht="24" customHeight="1" x14ac:dyDescent="0.25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234"/>
      <c r="AK241" s="234"/>
      <c r="AL241" s="234"/>
      <c r="AM241" s="234"/>
      <c r="AN241" s="234"/>
      <c r="AO241" s="234"/>
      <c r="AP241" s="234"/>
      <c r="AQ241" s="234"/>
      <c r="AR241" s="234"/>
      <c r="AS241" s="234"/>
      <c r="AT241" s="234"/>
      <c r="AU241" s="234"/>
      <c r="AV241" s="234"/>
      <c r="AW241" s="234"/>
      <c r="AX241" s="234"/>
      <c r="AY241" s="234"/>
      <c r="AZ241" s="234"/>
      <c r="BA241" s="234"/>
      <c r="BB241" s="234"/>
      <c r="BC241" s="234"/>
      <c r="BD241" s="234"/>
      <c r="BE241" s="234"/>
      <c r="BF241" s="234"/>
      <c r="BG241" s="234"/>
      <c r="BH241" s="234"/>
      <c r="BI241" s="234"/>
      <c r="BJ241" s="234"/>
      <c r="BK241" s="234"/>
      <c r="BL241" s="234"/>
      <c r="BM241" s="234"/>
      <c r="BN241" s="234"/>
      <c r="BO241" s="234"/>
    </row>
    <row r="242" spans="1:67" ht="24" customHeight="1" x14ac:dyDescent="0.25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234"/>
      <c r="AK242" s="234"/>
      <c r="AL242" s="234"/>
      <c r="AM242" s="234"/>
      <c r="AN242" s="234"/>
      <c r="AO242" s="234"/>
      <c r="AP242" s="234"/>
      <c r="AQ242" s="234"/>
      <c r="AR242" s="234"/>
      <c r="AS242" s="234"/>
      <c r="AT242" s="234"/>
      <c r="AU242" s="234"/>
      <c r="AV242" s="234"/>
      <c r="AW242" s="234"/>
      <c r="AX242" s="234"/>
      <c r="AY242" s="234"/>
      <c r="AZ242" s="234"/>
      <c r="BA242" s="234"/>
      <c r="BB242" s="234"/>
      <c r="BC242" s="234"/>
      <c r="BD242" s="234"/>
      <c r="BE242" s="234"/>
      <c r="BF242" s="234"/>
      <c r="BG242" s="234"/>
      <c r="BH242" s="234"/>
      <c r="BI242" s="234"/>
      <c r="BJ242" s="234"/>
      <c r="BK242" s="234"/>
      <c r="BL242" s="234"/>
      <c r="BM242" s="234"/>
      <c r="BN242" s="234"/>
      <c r="BO242" s="234"/>
    </row>
    <row r="243" spans="1:67" ht="24" customHeight="1" x14ac:dyDescent="0.25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234"/>
      <c r="AK243" s="234"/>
      <c r="AL243" s="234"/>
      <c r="AM243" s="234"/>
      <c r="AN243" s="234"/>
      <c r="AO243" s="234"/>
      <c r="AP243" s="234"/>
      <c r="AQ243" s="234"/>
      <c r="AR243" s="234"/>
      <c r="AS243" s="234"/>
      <c r="AT243" s="234"/>
      <c r="AU243" s="234"/>
      <c r="AV243" s="234"/>
      <c r="AW243" s="234"/>
      <c r="AX243" s="234"/>
      <c r="AY243" s="234"/>
      <c r="AZ243" s="234"/>
      <c r="BA243" s="234"/>
      <c r="BB243" s="234"/>
      <c r="BC243" s="234"/>
      <c r="BD243" s="234"/>
      <c r="BE243" s="234"/>
      <c r="BF243" s="234"/>
      <c r="BG243" s="234"/>
      <c r="BH243" s="234"/>
      <c r="BI243" s="234"/>
      <c r="BJ243" s="234"/>
      <c r="BK243" s="234"/>
      <c r="BL243" s="234"/>
      <c r="BM243" s="234"/>
      <c r="BN243" s="234"/>
      <c r="BO243" s="234"/>
    </row>
    <row r="244" spans="1:67" ht="24" customHeight="1" x14ac:dyDescent="0.25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234"/>
      <c r="AK244" s="234"/>
      <c r="AL244" s="234"/>
      <c r="AM244" s="234"/>
      <c r="AN244" s="234"/>
      <c r="AO244" s="234"/>
      <c r="AP244" s="234"/>
      <c r="AQ244" s="234"/>
      <c r="AR244" s="234"/>
      <c r="AS244" s="234"/>
      <c r="AT244" s="234"/>
      <c r="AU244" s="234"/>
      <c r="AV244" s="234"/>
      <c r="AW244" s="234"/>
      <c r="AX244" s="234"/>
      <c r="AY244" s="234"/>
      <c r="AZ244" s="234"/>
      <c r="BA244" s="234"/>
      <c r="BB244" s="234"/>
      <c r="BC244" s="234"/>
      <c r="BD244" s="234"/>
      <c r="BE244" s="234"/>
      <c r="BF244" s="234"/>
      <c r="BG244" s="234"/>
      <c r="BH244" s="234"/>
      <c r="BI244" s="234"/>
      <c r="BJ244" s="234"/>
      <c r="BK244" s="234"/>
      <c r="BL244" s="234"/>
      <c r="BM244" s="234"/>
      <c r="BN244" s="234"/>
      <c r="BO244" s="234"/>
    </row>
    <row r="245" spans="1:67" ht="24" customHeight="1" x14ac:dyDescent="0.2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234"/>
      <c r="AK245" s="234"/>
      <c r="AL245" s="234"/>
      <c r="AM245" s="234"/>
      <c r="AN245" s="234"/>
      <c r="AO245" s="234"/>
      <c r="AP245" s="234"/>
      <c r="AQ245" s="234"/>
      <c r="AR245" s="234"/>
      <c r="AS245" s="234"/>
      <c r="AT245" s="234"/>
      <c r="AU245" s="234"/>
      <c r="AV245" s="234"/>
      <c r="AW245" s="234"/>
      <c r="AX245" s="234"/>
      <c r="AY245" s="234"/>
      <c r="AZ245" s="234"/>
      <c r="BA245" s="234"/>
      <c r="BB245" s="234"/>
      <c r="BC245" s="234"/>
      <c r="BD245" s="234"/>
      <c r="BE245" s="234"/>
      <c r="BF245" s="234"/>
      <c r="BG245" s="234"/>
      <c r="BH245" s="234"/>
      <c r="BI245" s="234"/>
      <c r="BJ245" s="234"/>
      <c r="BK245" s="234"/>
      <c r="BL245" s="234"/>
      <c r="BM245" s="234"/>
      <c r="BN245" s="234"/>
      <c r="BO245" s="234"/>
    </row>
    <row r="246" spans="1:67" ht="24" customHeight="1" x14ac:dyDescent="0.25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234"/>
      <c r="AL246" s="234"/>
      <c r="AM246" s="234"/>
      <c r="AN246" s="234"/>
      <c r="AO246" s="234"/>
      <c r="AP246" s="234"/>
      <c r="AQ246" s="234"/>
      <c r="AR246" s="234"/>
      <c r="AS246" s="234"/>
      <c r="AT246" s="234"/>
      <c r="AU246" s="234"/>
      <c r="AV246" s="234"/>
      <c r="AW246" s="234"/>
      <c r="AX246" s="234"/>
      <c r="AY246" s="234"/>
      <c r="AZ246" s="234"/>
      <c r="BA246" s="234"/>
      <c r="BB246" s="234"/>
      <c r="BC246" s="234"/>
      <c r="BD246" s="234"/>
      <c r="BE246" s="234"/>
      <c r="BF246" s="234"/>
      <c r="BG246" s="234"/>
      <c r="BH246" s="234"/>
      <c r="BI246" s="234"/>
      <c r="BJ246" s="234"/>
      <c r="BK246" s="234"/>
      <c r="BL246" s="234"/>
      <c r="BM246" s="234"/>
      <c r="BN246" s="234"/>
      <c r="BO246" s="234"/>
    </row>
    <row r="247" spans="1:67" ht="24" customHeight="1" x14ac:dyDescent="0.25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234"/>
      <c r="AK247" s="234"/>
      <c r="AL247" s="234"/>
      <c r="AM247" s="234"/>
      <c r="AN247" s="234"/>
      <c r="AO247" s="234"/>
      <c r="AP247" s="234"/>
      <c r="AQ247" s="234"/>
      <c r="AR247" s="234"/>
      <c r="AS247" s="234"/>
      <c r="AT247" s="234"/>
      <c r="AU247" s="234"/>
      <c r="AV247" s="234"/>
      <c r="AW247" s="234"/>
      <c r="AX247" s="234"/>
      <c r="AY247" s="234"/>
      <c r="AZ247" s="234"/>
      <c r="BA247" s="234"/>
      <c r="BB247" s="234"/>
      <c r="BC247" s="234"/>
      <c r="BD247" s="234"/>
      <c r="BE247" s="234"/>
      <c r="BF247" s="234"/>
      <c r="BG247" s="234"/>
      <c r="BH247" s="234"/>
      <c r="BI247" s="234"/>
      <c r="BJ247" s="234"/>
      <c r="BK247" s="234"/>
      <c r="BL247" s="234"/>
      <c r="BM247" s="234"/>
      <c r="BN247" s="234"/>
      <c r="BO247" s="234"/>
    </row>
    <row r="248" spans="1:67" ht="24" customHeight="1" x14ac:dyDescent="0.25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234"/>
      <c r="AK248" s="234"/>
      <c r="AL248" s="234"/>
      <c r="AM248" s="234"/>
      <c r="AN248" s="234"/>
      <c r="AO248" s="234"/>
      <c r="AP248" s="234"/>
      <c r="AQ248" s="234"/>
      <c r="AR248" s="234"/>
      <c r="AS248" s="234"/>
      <c r="AT248" s="234"/>
      <c r="AU248" s="234"/>
      <c r="AV248" s="234"/>
      <c r="AW248" s="234"/>
      <c r="AX248" s="234"/>
      <c r="AY248" s="234"/>
      <c r="AZ248" s="234"/>
      <c r="BA248" s="234"/>
      <c r="BB248" s="234"/>
      <c r="BC248" s="234"/>
      <c r="BD248" s="234"/>
      <c r="BE248" s="234"/>
      <c r="BF248" s="234"/>
      <c r="BG248" s="234"/>
      <c r="BH248" s="234"/>
      <c r="BI248" s="234"/>
      <c r="BJ248" s="234"/>
      <c r="BK248" s="234"/>
      <c r="BL248" s="234"/>
      <c r="BM248" s="234"/>
      <c r="BN248" s="234"/>
      <c r="BO248" s="234"/>
    </row>
    <row r="249" spans="1:67" ht="24" customHeight="1" x14ac:dyDescent="0.25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234"/>
      <c r="AK249" s="234"/>
      <c r="AL249" s="234"/>
      <c r="AM249" s="234"/>
      <c r="AN249" s="234"/>
      <c r="AO249" s="234"/>
      <c r="AP249" s="234"/>
      <c r="AQ249" s="234"/>
      <c r="AR249" s="234"/>
      <c r="AS249" s="234"/>
      <c r="AT249" s="234"/>
      <c r="AU249" s="234"/>
      <c r="AV249" s="234"/>
      <c r="AW249" s="234"/>
      <c r="AX249" s="234"/>
      <c r="AY249" s="234"/>
      <c r="AZ249" s="234"/>
      <c r="BA249" s="234"/>
      <c r="BB249" s="234"/>
      <c r="BC249" s="234"/>
      <c r="BD249" s="234"/>
      <c r="BE249" s="234"/>
      <c r="BF249" s="234"/>
      <c r="BG249" s="234"/>
      <c r="BH249" s="234"/>
      <c r="BI249" s="234"/>
      <c r="BJ249" s="234"/>
      <c r="BK249" s="234"/>
      <c r="BL249" s="234"/>
      <c r="BM249" s="234"/>
      <c r="BN249" s="234"/>
      <c r="BO249" s="234"/>
    </row>
    <row r="250" spans="1:67" ht="24" customHeight="1" x14ac:dyDescent="0.25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234"/>
      <c r="AK250" s="234"/>
      <c r="AL250" s="234"/>
      <c r="AM250" s="234"/>
      <c r="AN250" s="234"/>
      <c r="AO250" s="234"/>
      <c r="AP250" s="234"/>
      <c r="AQ250" s="234"/>
      <c r="AR250" s="234"/>
      <c r="AS250" s="234"/>
      <c r="AT250" s="234"/>
      <c r="AU250" s="234"/>
      <c r="AV250" s="234"/>
      <c r="AW250" s="234"/>
      <c r="AX250" s="234"/>
      <c r="AY250" s="234"/>
      <c r="AZ250" s="234"/>
      <c r="BA250" s="234"/>
      <c r="BB250" s="234"/>
      <c r="BC250" s="234"/>
      <c r="BD250" s="234"/>
      <c r="BE250" s="234"/>
      <c r="BF250" s="234"/>
      <c r="BG250" s="234"/>
      <c r="BH250" s="234"/>
      <c r="BI250" s="234"/>
      <c r="BJ250" s="234"/>
      <c r="BK250" s="234"/>
      <c r="BL250" s="234"/>
      <c r="BM250" s="234"/>
      <c r="BN250" s="234"/>
      <c r="BO250" s="234"/>
    </row>
    <row r="251" spans="1:67" ht="24" customHeight="1" x14ac:dyDescent="0.25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234"/>
      <c r="AK251" s="234"/>
      <c r="AL251" s="234"/>
      <c r="AM251" s="234"/>
      <c r="AN251" s="234"/>
      <c r="AO251" s="234"/>
      <c r="AP251" s="234"/>
      <c r="AQ251" s="234"/>
      <c r="AR251" s="234"/>
      <c r="AS251" s="234"/>
      <c r="AT251" s="234"/>
      <c r="AU251" s="234"/>
      <c r="AV251" s="234"/>
      <c r="AW251" s="234"/>
      <c r="AX251" s="234"/>
      <c r="AY251" s="234"/>
      <c r="AZ251" s="234"/>
      <c r="BA251" s="234"/>
      <c r="BB251" s="234"/>
      <c r="BC251" s="234"/>
      <c r="BD251" s="234"/>
      <c r="BE251" s="234"/>
      <c r="BF251" s="234"/>
      <c r="BG251" s="234"/>
      <c r="BH251" s="234"/>
      <c r="BI251" s="234"/>
      <c r="BJ251" s="234"/>
      <c r="BK251" s="234"/>
      <c r="BL251" s="234"/>
      <c r="BM251" s="234"/>
      <c r="BN251" s="234"/>
      <c r="BO251" s="234"/>
    </row>
    <row r="252" spans="1:67" ht="24" customHeight="1" x14ac:dyDescent="0.25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234"/>
      <c r="AJ252" s="234"/>
      <c r="AK252" s="234"/>
      <c r="AL252" s="234"/>
      <c r="AM252" s="234"/>
      <c r="AN252" s="234"/>
      <c r="AO252" s="234"/>
      <c r="AP252" s="234"/>
      <c r="AQ252" s="234"/>
      <c r="AR252" s="234"/>
      <c r="AS252" s="234"/>
      <c r="AT252" s="234"/>
      <c r="AU252" s="234"/>
      <c r="AV252" s="234"/>
      <c r="AW252" s="234"/>
      <c r="AX252" s="234"/>
      <c r="AY252" s="234"/>
      <c r="AZ252" s="234"/>
      <c r="BA252" s="234"/>
      <c r="BB252" s="234"/>
      <c r="BC252" s="234"/>
      <c r="BD252" s="234"/>
      <c r="BE252" s="234"/>
      <c r="BF252" s="234"/>
      <c r="BG252" s="234"/>
      <c r="BH252" s="234"/>
      <c r="BI252" s="234"/>
      <c r="BJ252" s="234"/>
      <c r="BK252" s="234"/>
      <c r="BL252" s="234"/>
      <c r="BM252" s="234"/>
      <c r="BN252" s="234"/>
      <c r="BO252" s="234"/>
    </row>
    <row r="253" spans="1:67" ht="24" customHeight="1" x14ac:dyDescent="0.25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  <c r="AH253" s="234"/>
      <c r="AI253" s="234"/>
      <c r="AJ253" s="234"/>
      <c r="AK253" s="234"/>
      <c r="AL253" s="234"/>
      <c r="AM253" s="234"/>
      <c r="AN253" s="234"/>
      <c r="AO253" s="234"/>
      <c r="AP253" s="234"/>
      <c r="AQ253" s="234"/>
      <c r="AR253" s="234"/>
      <c r="AS253" s="234"/>
      <c r="AT253" s="234"/>
      <c r="AU253" s="234"/>
      <c r="AV253" s="234"/>
      <c r="AW253" s="234"/>
      <c r="AX253" s="234"/>
      <c r="AY253" s="234"/>
      <c r="AZ253" s="234"/>
      <c r="BA253" s="234"/>
      <c r="BB253" s="234"/>
      <c r="BC253" s="234"/>
      <c r="BD253" s="234"/>
      <c r="BE253" s="234"/>
      <c r="BF253" s="234"/>
      <c r="BG253" s="234"/>
      <c r="BH253" s="234"/>
      <c r="BI253" s="234"/>
      <c r="BJ253" s="234"/>
      <c r="BK253" s="234"/>
      <c r="BL253" s="234"/>
      <c r="BM253" s="234"/>
      <c r="BN253" s="234"/>
      <c r="BO253" s="234"/>
    </row>
    <row r="254" spans="1:67" ht="24" customHeight="1" x14ac:dyDescent="0.25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  <c r="AD254" s="234"/>
      <c r="AE254" s="234"/>
      <c r="AF254" s="234"/>
      <c r="AG254" s="234"/>
      <c r="AH254" s="234"/>
      <c r="AI254" s="234"/>
      <c r="AJ254" s="234"/>
      <c r="AK254" s="234"/>
      <c r="AL254" s="234"/>
      <c r="AM254" s="234"/>
      <c r="AN254" s="234"/>
      <c r="AO254" s="234"/>
      <c r="AP254" s="234"/>
      <c r="AQ254" s="234"/>
      <c r="AR254" s="234"/>
      <c r="AS254" s="234"/>
      <c r="AT254" s="234"/>
      <c r="AU254" s="234"/>
      <c r="AV254" s="234"/>
      <c r="AW254" s="234"/>
      <c r="AX254" s="234"/>
      <c r="AY254" s="234"/>
      <c r="AZ254" s="234"/>
      <c r="BA254" s="234"/>
      <c r="BB254" s="234"/>
      <c r="BC254" s="234"/>
      <c r="BD254" s="234"/>
      <c r="BE254" s="234"/>
      <c r="BF254" s="234"/>
      <c r="BG254" s="234"/>
      <c r="BH254" s="234"/>
      <c r="BI254" s="234"/>
      <c r="BJ254" s="234"/>
      <c r="BK254" s="234"/>
      <c r="BL254" s="234"/>
      <c r="BM254" s="234"/>
      <c r="BN254" s="234"/>
      <c r="BO254" s="234"/>
    </row>
    <row r="255" spans="1:67" ht="24" customHeight="1" x14ac:dyDescent="0.2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  <c r="AH255" s="234"/>
      <c r="AI255" s="234"/>
      <c r="AJ255" s="234"/>
      <c r="AK255" s="234"/>
      <c r="AL255" s="234"/>
      <c r="AM255" s="234"/>
      <c r="AN255" s="234"/>
      <c r="AO255" s="234"/>
      <c r="AP255" s="234"/>
      <c r="AQ255" s="234"/>
      <c r="AR255" s="234"/>
      <c r="AS255" s="234"/>
      <c r="AT255" s="234"/>
      <c r="AU255" s="234"/>
      <c r="AV255" s="234"/>
      <c r="AW255" s="234"/>
      <c r="AX255" s="234"/>
      <c r="AY255" s="234"/>
      <c r="AZ255" s="234"/>
      <c r="BA255" s="234"/>
      <c r="BB255" s="234"/>
      <c r="BC255" s="234"/>
      <c r="BD255" s="234"/>
      <c r="BE255" s="234"/>
      <c r="BF255" s="234"/>
      <c r="BG255" s="234"/>
      <c r="BH255" s="234"/>
      <c r="BI255" s="234"/>
      <c r="BJ255" s="234"/>
      <c r="BK255" s="234"/>
      <c r="BL255" s="234"/>
      <c r="BM255" s="234"/>
      <c r="BN255" s="234"/>
      <c r="BO255" s="234"/>
    </row>
    <row r="256" spans="1:67" ht="24" customHeight="1" x14ac:dyDescent="0.25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  <c r="AH256" s="234"/>
      <c r="AI256" s="234"/>
      <c r="AJ256" s="234"/>
      <c r="AK256" s="234"/>
      <c r="AL256" s="234"/>
      <c r="AM256" s="234"/>
      <c r="AN256" s="234"/>
      <c r="AO256" s="234"/>
      <c r="AP256" s="234"/>
      <c r="AQ256" s="234"/>
      <c r="AR256" s="234"/>
      <c r="AS256" s="234"/>
      <c r="AT256" s="234"/>
      <c r="AU256" s="234"/>
      <c r="AV256" s="234"/>
      <c r="AW256" s="234"/>
      <c r="AX256" s="234"/>
      <c r="AY256" s="234"/>
      <c r="AZ256" s="234"/>
      <c r="BA256" s="234"/>
      <c r="BB256" s="234"/>
      <c r="BC256" s="234"/>
      <c r="BD256" s="234"/>
      <c r="BE256" s="234"/>
      <c r="BF256" s="234"/>
      <c r="BG256" s="234"/>
      <c r="BH256" s="234"/>
      <c r="BI256" s="234"/>
      <c r="BJ256" s="234"/>
      <c r="BK256" s="234"/>
      <c r="BL256" s="234"/>
      <c r="BM256" s="234"/>
      <c r="BN256" s="234"/>
      <c r="BO256" s="234"/>
    </row>
    <row r="257" spans="1:67" ht="24" customHeight="1" x14ac:dyDescent="0.25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  <c r="AH257" s="234"/>
      <c r="AI257" s="234"/>
      <c r="AJ257" s="234"/>
      <c r="AK257" s="234"/>
      <c r="AL257" s="234"/>
      <c r="AM257" s="234"/>
      <c r="AN257" s="234"/>
      <c r="AO257" s="234"/>
      <c r="AP257" s="234"/>
      <c r="AQ257" s="234"/>
      <c r="AR257" s="234"/>
      <c r="AS257" s="234"/>
      <c r="AT257" s="234"/>
      <c r="AU257" s="234"/>
      <c r="AV257" s="234"/>
      <c r="AW257" s="234"/>
      <c r="AX257" s="234"/>
      <c r="AY257" s="234"/>
      <c r="AZ257" s="234"/>
      <c r="BA257" s="234"/>
      <c r="BB257" s="234"/>
      <c r="BC257" s="234"/>
      <c r="BD257" s="234"/>
      <c r="BE257" s="234"/>
      <c r="BF257" s="234"/>
      <c r="BG257" s="234"/>
      <c r="BH257" s="234"/>
      <c r="BI257" s="234"/>
      <c r="BJ257" s="234"/>
      <c r="BK257" s="234"/>
      <c r="BL257" s="234"/>
      <c r="BM257" s="234"/>
      <c r="BN257" s="234"/>
      <c r="BO257" s="234"/>
    </row>
    <row r="258" spans="1:67" ht="24" customHeight="1" x14ac:dyDescent="0.25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  <c r="AH258" s="234"/>
      <c r="AI258" s="234"/>
      <c r="AJ258" s="234"/>
      <c r="AK258" s="234"/>
      <c r="AL258" s="234"/>
      <c r="AM258" s="234"/>
      <c r="AN258" s="234"/>
      <c r="AO258" s="234"/>
      <c r="AP258" s="234"/>
      <c r="AQ258" s="234"/>
      <c r="AR258" s="234"/>
      <c r="AS258" s="234"/>
      <c r="AT258" s="234"/>
      <c r="AU258" s="234"/>
      <c r="AV258" s="234"/>
      <c r="AW258" s="234"/>
      <c r="AX258" s="234"/>
      <c r="AY258" s="234"/>
      <c r="AZ258" s="234"/>
      <c r="BA258" s="234"/>
      <c r="BB258" s="234"/>
      <c r="BC258" s="234"/>
      <c r="BD258" s="234"/>
      <c r="BE258" s="234"/>
      <c r="BF258" s="234"/>
      <c r="BG258" s="234"/>
      <c r="BH258" s="234"/>
      <c r="BI258" s="234"/>
      <c r="BJ258" s="234"/>
      <c r="BK258" s="234"/>
      <c r="BL258" s="234"/>
      <c r="BM258" s="234"/>
      <c r="BN258" s="234"/>
      <c r="BO258" s="234"/>
    </row>
    <row r="259" spans="1:67" ht="24" customHeight="1" x14ac:dyDescent="0.25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  <c r="AH259" s="234"/>
      <c r="AI259" s="234"/>
      <c r="AJ259" s="234"/>
      <c r="AK259" s="234"/>
      <c r="AL259" s="234"/>
      <c r="AM259" s="234"/>
      <c r="AN259" s="234"/>
      <c r="AO259" s="234"/>
      <c r="AP259" s="234"/>
      <c r="AQ259" s="234"/>
      <c r="AR259" s="234"/>
      <c r="AS259" s="234"/>
      <c r="AT259" s="234"/>
      <c r="AU259" s="234"/>
      <c r="AV259" s="234"/>
      <c r="AW259" s="234"/>
      <c r="AX259" s="234"/>
      <c r="AY259" s="234"/>
      <c r="AZ259" s="234"/>
      <c r="BA259" s="234"/>
      <c r="BB259" s="234"/>
      <c r="BC259" s="234"/>
      <c r="BD259" s="234"/>
      <c r="BE259" s="234"/>
      <c r="BF259" s="234"/>
      <c r="BG259" s="234"/>
      <c r="BH259" s="234"/>
      <c r="BI259" s="234"/>
      <c r="BJ259" s="234"/>
      <c r="BK259" s="234"/>
      <c r="BL259" s="234"/>
      <c r="BM259" s="234"/>
      <c r="BN259" s="234"/>
      <c r="BO259" s="234"/>
    </row>
    <row r="260" spans="1:67" ht="24" customHeight="1" x14ac:dyDescent="0.25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  <c r="AH260" s="234"/>
      <c r="AI260" s="234"/>
      <c r="AJ260" s="234"/>
      <c r="AK260" s="234"/>
      <c r="AL260" s="234"/>
      <c r="AM260" s="234"/>
      <c r="AN260" s="234"/>
      <c r="AO260" s="234"/>
      <c r="AP260" s="234"/>
      <c r="AQ260" s="234"/>
      <c r="AR260" s="234"/>
      <c r="AS260" s="234"/>
      <c r="AT260" s="234"/>
      <c r="AU260" s="234"/>
      <c r="AV260" s="234"/>
      <c r="AW260" s="234"/>
      <c r="AX260" s="234"/>
      <c r="AY260" s="234"/>
      <c r="AZ260" s="234"/>
      <c r="BA260" s="234"/>
      <c r="BB260" s="234"/>
      <c r="BC260" s="234"/>
      <c r="BD260" s="234"/>
      <c r="BE260" s="234"/>
      <c r="BF260" s="234"/>
      <c r="BG260" s="234"/>
      <c r="BH260" s="234"/>
      <c r="BI260" s="234"/>
      <c r="BJ260" s="234"/>
      <c r="BK260" s="234"/>
      <c r="BL260" s="234"/>
      <c r="BM260" s="234"/>
      <c r="BN260" s="234"/>
      <c r="BO260" s="234"/>
    </row>
    <row r="261" spans="1:67" ht="24" customHeight="1" x14ac:dyDescent="0.25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  <c r="AH261" s="234"/>
      <c r="AI261" s="234"/>
      <c r="AJ261" s="234"/>
      <c r="AK261" s="234"/>
      <c r="AL261" s="234"/>
      <c r="AM261" s="234"/>
      <c r="AN261" s="234"/>
      <c r="AO261" s="234"/>
      <c r="AP261" s="234"/>
      <c r="AQ261" s="234"/>
      <c r="AR261" s="234"/>
      <c r="AS261" s="234"/>
      <c r="AT261" s="234"/>
      <c r="AU261" s="234"/>
      <c r="AV261" s="234"/>
      <c r="AW261" s="234"/>
      <c r="AX261" s="234"/>
      <c r="AY261" s="234"/>
      <c r="AZ261" s="234"/>
      <c r="BA261" s="234"/>
      <c r="BB261" s="234"/>
      <c r="BC261" s="234"/>
      <c r="BD261" s="234"/>
      <c r="BE261" s="234"/>
      <c r="BF261" s="234"/>
      <c r="BG261" s="234"/>
      <c r="BH261" s="234"/>
      <c r="BI261" s="234"/>
      <c r="BJ261" s="234"/>
      <c r="BK261" s="234"/>
      <c r="BL261" s="234"/>
      <c r="BM261" s="234"/>
      <c r="BN261" s="234"/>
      <c r="BO261" s="234"/>
    </row>
    <row r="262" spans="1:67" ht="24" customHeight="1" x14ac:dyDescent="0.25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4"/>
      <c r="AI262" s="234"/>
      <c r="AJ262" s="234"/>
      <c r="AK262" s="234"/>
      <c r="AL262" s="234"/>
      <c r="AM262" s="234"/>
      <c r="AN262" s="234"/>
      <c r="AO262" s="234"/>
      <c r="AP262" s="234"/>
      <c r="AQ262" s="234"/>
      <c r="AR262" s="234"/>
      <c r="AS262" s="234"/>
      <c r="AT262" s="234"/>
      <c r="AU262" s="234"/>
      <c r="AV262" s="234"/>
      <c r="AW262" s="234"/>
      <c r="AX262" s="234"/>
      <c r="AY262" s="234"/>
      <c r="AZ262" s="234"/>
      <c r="BA262" s="234"/>
      <c r="BB262" s="234"/>
      <c r="BC262" s="234"/>
      <c r="BD262" s="234"/>
      <c r="BE262" s="234"/>
      <c r="BF262" s="234"/>
      <c r="BG262" s="234"/>
      <c r="BH262" s="234"/>
      <c r="BI262" s="234"/>
      <c r="BJ262" s="234"/>
      <c r="BK262" s="234"/>
      <c r="BL262" s="234"/>
      <c r="BM262" s="234"/>
      <c r="BN262" s="234"/>
      <c r="BO262" s="234"/>
    </row>
    <row r="263" spans="1:67" ht="24" customHeight="1" x14ac:dyDescent="0.25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4"/>
      <c r="AI263" s="234"/>
      <c r="AJ263" s="234"/>
      <c r="AK263" s="234"/>
      <c r="AL263" s="234"/>
      <c r="AM263" s="234"/>
      <c r="AN263" s="234"/>
      <c r="AO263" s="234"/>
      <c r="AP263" s="234"/>
      <c r="AQ263" s="234"/>
      <c r="AR263" s="234"/>
      <c r="AS263" s="234"/>
      <c r="AT263" s="234"/>
      <c r="AU263" s="234"/>
      <c r="AV263" s="234"/>
      <c r="AW263" s="234"/>
      <c r="AX263" s="234"/>
      <c r="AY263" s="234"/>
      <c r="AZ263" s="234"/>
      <c r="BA263" s="234"/>
      <c r="BB263" s="234"/>
      <c r="BC263" s="234"/>
      <c r="BD263" s="234"/>
      <c r="BE263" s="234"/>
      <c r="BF263" s="234"/>
      <c r="BG263" s="234"/>
      <c r="BH263" s="234"/>
      <c r="BI263" s="234"/>
      <c r="BJ263" s="234"/>
      <c r="BK263" s="234"/>
      <c r="BL263" s="234"/>
      <c r="BM263" s="234"/>
      <c r="BN263" s="234"/>
      <c r="BO263" s="234"/>
    </row>
    <row r="264" spans="1:67" ht="24" customHeight="1" x14ac:dyDescent="0.25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4"/>
      <c r="AI264" s="234"/>
      <c r="AJ264" s="234"/>
      <c r="AK264" s="234"/>
      <c r="AL264" s="234"/>
      <c r="AM264" s="234"/>
      <c r="AN264" s="234"/>
      <c r="AO264" s="234"/>
      <c r="AP264" s="234"/>
      <c r="AQ264" s="234"/>
      <c r="AR264" s="234"/>
      <c r="AS264" s="234"/>
      <c r="AT264" s="234"/>
      <c r="AU264" s="234"/>
      <c r="AV264" s="234"/>
      <c r="AW264" s="234"/>
      <c r="AX264" s="234"/>
      <c r="AY264" s="234"/>
      <c r="AZ264" s="234"/>
      <c r="BA264" s="234"/>
      <c r="BB264" s="234"/>
      <c r="BC264" s="234"/>
      <c r="BD264" s="234"/>
      <c r="BE264" s="234"/>
      <c r="BF264" s="234"/>
      <c r="BG264" s="234"/>
      <c r="BH264" s="234"/>
      <c r="BI264" s="234"/>
      <c r="BJ264" s="234"/>
      <c r="BK264" s="234"/>
      <c r="BL264" s="234"/>
      <c r="BM264" s="234"/>
      <c r="BN264" s="234"/>
      <c r="BO264" s="234"/>
    </row>
    <row r="265" spans="1:67" ht="24" customHeight="1" x14ac:dyDescent="0.2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4"/>
      <c r="AI265" s="234"/>
      <c r="AJ265" s="234"/>
      <c r="AK265" s="234"/>
      <c r="AL265" s="234"/>
      <c r="AM265" s="234"/>
      <c r="AN265" s="234"/>
      <c r="AO265" s="234"/>
      <c r="AP265" s="234"/>
      <c r="AQ265" s="234"/>
      <c r="AR265" s="234"/>
      <c r="AS265" s="234"/>
      <c r="AT265" s="234"/>
      <c r="AU265" s="234"/>
      <c r="AV265" s="234"/>
      <c r="AW265" s="234"/>
      <c r="AX265" s="234"/>
      <c r="AY265" s="234"/>
      <c r="AZ265" s="234"/>
      <c r="BA265" s="234"/>
      <c r="BB265" s="234"/>
      <c r="BC265" s="234"/>
      <c r="BD265" s="234"/>
      <c r="BE265" s="234"/>
      <c r="BF265" s="234"/>
      <c r="BG265" s="234"/>
      <c r="BH265" s="234"/>
      <c r="BI265" s="234"/>
      <c r="BJ265" s="234"/>
      <c r="BK265" s="234"/>
      <c r="BL265" s="234"/>
      <c r="BM265" s="234"/>
      <c r="BN265" s="234"/>
      <c r="BO265" s="234"/>
    </row>
    <row r="266" spans="1:67" ht="24" customHeight="1" x14ac:dyDescent="0.25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4"/>
      <c r="AI266" s="234"/>
      <c r="AJ266" s="234"/>
      <c r="AK266" s="234"/>
      <c r="AL266" s="234"/>
      <c r="AM266" s="234"/>
      <c r="AN266" s="234"/>
      <c r="AO266" s="234"/>
      <c r="AP266" s="234"/>
      <c r="AQ266" s="234"/>
      <c r="AR266" s="234"/>
      <c r="AS266" s="234"/>
      <c r="AT266" s="234"/>
      <c r="AU266" s="234"/>
      <c r="AV266" s="234"/>
      <c r="AW266" s="234"/>
      <c r="AX266" s="234"/>
      <c r="AY266" s="234"/>
      <c r="AZ266" s="234"/>
      <c r="BA266" s="234"/>
      <c r="BB266" s="234"/>
      <c r="BC266" s="234"/>
      <c r="BD266" s="234"/>
      <c r="BE266" s="234"/>
      <c r="BF266" s="234"/>
      <c r="BG266" s="234"/>
      <c r="BH266" s="234"/>
      <c r="BI266" s="234"/>
      <c r="BJ266" s="234"/>
      <c r="BK266" s="234"/>
      <c r="BL266" s="234"/>
      <c r="BM266" s="234"/>
      <c r="BN266" s="234"/>
      <c r="BO266" s="234"/>
    </row>
    <row r="267" spans="1:67" ht="24" customHeight="1" x14ac:dyDescent="0.25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4"/>
      <c r="AI267" s="234"/>
      <c r="AJ267" s="234"/>
      <c r="AK267" s="234"/>
      <c r="AL267" s="234"/>
      <c r="AM267" s="234"/>
      <c r="AN267" s="234"/>
      <c r="AO267" s="234"/>
      <c r="AP267" s="234"/>
      <c r="AQ267" s="234"/>
      <c r="AR267" s="234"/>
      <c r="AS267" s="234"/>
      <c r="AT267" s="234"/>
      <c r="AU267" s="234"/>
      <c r="AV267" s="234"/>
      <c r="AW267" s="234"/>
      <c r="AX267" s="234"/>
      <c r="AY267" s="234"/>
      <c r="AZ267" s="234"/>
      <c r="BA267" s="234"/>
      <c r="BB267" s="234"/>
      <c r="BC267" s="234"/>
      <c r="BD267" s="234"/>
      <c r="BE267" s="234"/>
      <c r="BF267" s="234"/>
      <c r="BG267" s="234"/>
      <c r="BH267" s="234"/>
      <c r="BI267" s="234"/>
      <c r="BJ267" s="234"/>
      <c r="BK267" s="234"/>
      <c r="BL267" s="234"/>
      <c r="BM267" s="234"/>
      <c r="BN267" s="234"/>
      <c r="BO267" s="234"/>
    </row>
    <row r="268" spans="1:67" ht="24" customHeight="1" x14ac:dyDescent="0.25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4"/>
      <c r="AI268" s="234"/>
      <c r="AJ268" s="234"/>
      <c r="AK268" s="234"/>
      <c r="AL268" s="234"/>
      <c r="AM268" s="234"/>
      <c r="AN268" s="234"/>
      <c r="AO268" s="234"/>
      <c r="AP268" s="234"/>
      <c r="AQ268" s="234"/>
      <c r="AR268" s="234"/>
      <c r="AS268" s="234"/>
      <c r="AT268" s="234"/>
      <c r="AU268" s="234"/>
      <c r="AV268" s="234"/>
      <c r="AW268" s="234"/>
      <c r="AX268" s="234"/>
      <c r="AY268" s="234"/>
      <c r="AZ268" s="234"/>
      <c r="BA268" s="234"/>
      <c r="BB268" s="234"/>
      <c r="BC268" s="234"/>
      <c r="BD268" s="234"/>
      <c r="BE268" s="234"/>
      <c r="BF268" s="234"/>
      <c r="BG268" s="234"/>
      <c r="BH268" s="234"/>
      <c r="BI268" s="234"/>
      <c r="BJ268" s="234"/>
      <c r="BK268" s="234"/>
      <c r="BL268" s="234"/>
      <c r="BM268" s="234"/>
      <c r="BN268" s="234"/>
      <c r="BO268" s="234"/>
    </row>
    <row r="269" spans="1:67" ht="24" customHeight="1" x14ac:dyDescent="0.25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4"/>
      <c r="AI269" s="234"/>
      <c r="AJ269" s="234"/>
      <c r="AK269" s="234"/>
      <c r="AL269" s="234"/>
      <c r="AM269" s="234"/>
      <c r="AN269" s="234"/>
      <c r="AO269" s="234"/>
      <c r="AP269" s="234"/>
      <c r="AQ269" s="234"/>
      <c r="AR269" s="234"/>
      <c r="AS269" s="234"/>
      <c r="AT269" s="234"/>
      <c r="AU269" s="234"/>
      <c r="AV269" s="234"/>
      <c r="AW269" s="234"/>
      <c r="AX269" s="234"/>
      <c r="AY269" s="234"/>
      <c r="AZ269" s="234"/>
      <c r="BA269" s="234"/>
      <c r="BB269" s="234"/>
      <c r="BC269" s="234"/>
      <c r="BD269" s="234"/>
      <c r="BE269" s="234"/>
      <c r="BF269" s="234"/>
      <c r="BG269" s="234"/>
      <c r="BH269" s="234"/>
      <c r="BI269" s="234"/>
      <c r="BJ269" s="234"/>
      <c r="BK269" s="234"/>
      <c r="BL269" s="234"/>
      <c r="BM269" s="234"/>
      <c r="BN269" s="234"/>
      <c r="BO269" s="234"/>
    </row>
    <row r="270" spans="1:67" ht="24" customHeight="1" x14ac:dyDescent="0.25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4"/>
      <c r="AI270" s="234"/>
      <c r="AJ270" s="234"/>
      <c r="AK270" s="234"/>
      <c r="AL270" s="234"/>
      <c r="AM270" s="234"/>
      <c r="AN270" s="234"/>
      <c r="AO270" s="234"/>
      <c r="AP270" s="234"/>
      <c r="AQ270" s="234"/>
      <c r="AR270" s="234"/>
      <c r="AS270" s="234"/>
      <c r="AT270" s="234"/>
      <c r="AU270" s="234"/>
      <c r="AV270" s="234"/>
      <c r="AW270" s="234"/>
      <c r="AX270" s="234"/>
      <c r="AY270" s="234"/>
      <c r="AZ270" s="234"/>
      <c r="BA270" s="234"/>
      <c r="BB270" s="234"/>
      <c r="BC270" s="234"/>
      <c r="BD270" s="234"/>
      <c r="BE270" s="234"/>
      <c r="BF270" s="234"/>
      <c r="BG270" s="234"/>
      <c r="BH270" s="234"/>
      <c r="BI270" s="234"/>
      <c r="BJ270" s="234"/>
      <c r="BK270" s="234"/>
      <c r="BL270" s="234"/>
      <c r="BM270" s="234"/>
      <c r="BN270" s="234"/>
      <c r="BO270" s="234"/>
    </row>
    <row r="271" spans="1:67" ht="24" customHeight="1" x14ac:dyDescent="0.25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  <c r="AC271" s="234"/>
      <c r="AD271" s="234"/>
      <c r="AE271" s="234"/>
      <c r="AF271" s="234"/>
      <c r="AG271" s="234"/>
      <c r="AH271" s="234"/>
      <c r="AI271" s="234"/>
      <c r="AJ271" s="234"/>
      <c r="AK271" s="234"/>
      <c r="AL271" s="234"/>
      <c r="AM271" s="234"/>
      <c r="AN271" s="234"/>
      <c r="AO271" s="234"/>
      <c r="AP271" s="234"/>
      <c r="AQ271" s="234"/>
      <c r="AR271" s="234"/>
      <c r="AS271" s="234"/>
      <c r="AT271" s="234"/>
      <c r="AU271" s="234"/>
      <c r="AV271" s="234"/>
      <c r="AW271" s="234"/>
      <c r="AX271" s="234"/>
      <c r="AY271" s="234"/>
      <c r="AZ271" s="234"/>
      <c r="BA271" s="234"/>
      <c r="BB271" s="234"/>
      <c r="BC271" s="234"/>
      <c r="BD271" s="234"/>
      <c r="BE271" s="234"/>
      <c r="BF271" s="234"/>
      <c r="BG271" s="234"/>
      <c r="BH271" s="234"/>
      <c r="BI271" s="234"/>
      <c r="BJ271" s="234"/>
      <c r="BK271" s="234"/>
      <c r="BL271" s="234"/>
      <c r="BM271" s="234"/>
      <c r="BN271" s="234"/>
      <c r="BO271" s="234"/>
    </row>
    <row r="272" spans="1:67" ht="24" customHeight="1" x14ac:dyDescent="0.25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234"/>
      <c r="AJ272" s="234"/>
      <c r="AK272" s="234"/>
      <c r="AL272" s="234"/>
      <c r="AM272" s="234"/>
      <c r="AN272" s="234"/>
      <c r="AO272" s="234"/>
      <c r="AP272" s="234"/>
      <c r="AQ272" s="234"/>
      <c r="AR272" s="234"/>
      <c r="AS272" s="234"/>
      <c r="AT272" s="234"/>
      <c r="AU272" s="234"/>
      <c r="AV272" s="234"/>
      <c r="AW272" s="234"/>
      <c r="AX272" s="234"/>
      <c r="AY272" s="234"/>
      <c r="AZ272" s="234"/>
      <c r="BA272" s="234"/>
      <c r="BB272" s="234"/>
      <c r="BC272" s="234"/>
      <c r="BD272" s="234"/>
      <c r="BE272" s="234"/>
      <c r="BF272" s="234"/>
      <c r="BG272" s="234"/>
      <c r="BH272" s="234"/>
      <c r="BI272" s="234"/>
      <c r="BJ272" s="234"/>
      <c r="BK272" s="234"/>
      <c r="BL272" s="234"/>
      <c r="BM272" s="234"/>
      <c r="BN272" s="234"/>
      <c r="BO272" s="234"/>
    </row>
    <row r="273" spans="1:67" ht="24" customHeight="1" x14ac:dyDescent="0.25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234"/>
      <c r="AJ273" s="234"/>
      <c r="AK273" s="234"/>
      <c r="AL273" s="234"/>
      <c r="AM273" s="234"/>
      <c r="AN273" s="234"/>
      <c r="AO273" s="234"/>
      <c r="AP273" s="234"/>
      <c r="AQ273" s="234"/>
      <c r="AR273" s="234"/>
      <c r="AS273" s="234"/>
      <c r="AT273" s="234"/>
      <c r="AU273" s="234"/>
      <c r="AV273" s="234"/>
      <c r="AW273" s="234"/>
      <c r="AX273" s="234"/>
      <c r="AY273" s="234"/>
      <c r="AZ273" s="234"/>
      <c r="BA273" s="234"/>
      <c r="BB273" s="234"/>
      <c r="BC273" s="234"/>
      <c r="BD273" s="234"/>
      <c r="BE273" s="234"/>
      <c r="BF273" s="234"/>
      <c r="BG273" s="234"/>
      <c r="BH273" s="234"/>
      <c r="BI273" s="234"/>
      <c r="BJ273" s="234"/>
      <c r="BK273" s="234"/>
      <c r="BL273" s="234"/>
      <c r="BM273" s="234"/>
      <c r="BN273" s="234"/>
      <c r="BO273" s="234"/>
    </row>
    <row r="274" spans="1:67" ht="24" customHeight="1" x14ac:dyDescent="0.25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234"/>
      <c r="AJ274" s="234"/>
      <c r="AK274" s="234"/>
      <c r="AL274" s="234"/>
      <c r="AM274" s="234"/>
      <c r="AN274" s="234"/>
      <c r="AO274" s="234"/>
      <c r="AP274" s="234"/>
      <c r="AQ274" s="234"/>
      <c r="AR274" s="234"/>
      <c r="AS274" s="234"/>
      <c r="AT274" s="234"/>
      <c r="AU274" s="234"/>
      <c r="AV274" s="234"/>
      <c r="AW274" s="234"/>
      <c r="AX274" s="234"/>
      <c r="AY274" s="234"/>
      <c r="AZ274" s="234"/>
      <c r="BA274" s="234"/>
      <c r="BB274" s="234"/>
      <c r="BC274" s="234"/>
      <c r="BD274" s="234"/>
      <c r="BE274" s="234"/>
      <c r="BF274" s="234"/>
      <c r="BG274" s="234"/>
      <c r="BH274" s="234"/>
      <c r="BI274" s="234"/>
      <c r="BJ274" s="234"/>
      <c r="BK274" s="234"/>
      <c r="BL274" s="234"/>
      <c r="BM274" s="234"/>
      <c r="BN274" s="234"/>
      <c r="BO274" s="234"/>
    </row>
    <row r="275" spans="1:67" ht="24" customHeight="1" x14ac:dyDescent="0.2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4"/>
      <c r="AI275" s="234"/>
      <c r="AJ275" s="234"/>
      <c r="AK275" s="234"/>
      <c r="AL275" s="234"/>
      <c r="AM275" s="234"/>
      <c r="AN275" s="234"/>
      <c r="AO275" s="234"/>
      <c r="AP275" s="234"/>
      <c r="AQ275" s="234"/>
      <c r="AR275" s="234"/>
      <c r="AS275" s="234"/>
      <c r="AT275" s="234"/>
      <c r="AU275" s="234"/>
      <c r="AV275" s="234"/>
      <c r="AW275" s="234"/>
      <c r="AX275" s="234"/>
      <c r="AY275" s="234"/>
      <c r="AZ275" s="234"/>
      <c r="BA275" s="234"/>
      <c r="BB275" s="234"/>
      <c r="BC275" s="234"/>
      <c r="BD275" s="234"/>
      <c r="BE275" s="234"/>
      <c r="BF275" s="234"/>
      <c r="BG275" s="234"/>
      <c r="BH275" s="234"/>
      <c r="BI275" s="234"/>
      <c r="BJ275" s="234"/>
      <c r="BK275" s="234"/>
      <c r="BL275" s="234"/>
      <c r="BM275" s="234"/>
      <c r="BN275" s="234"/>
      <c r="BO275" s="234"/>
    </row>
    <row r="276" spans="1:67" ht="24" customHeight="1" x14ac:dyDescent="0.25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234"/>
      <c r="AJ276" s="234"/>
      <c r="AK276" s="234"/>
      <c r="AL276" s="234"/>
      <c r="AM276" s="234"/>
      <c r="AN276" s="234"/>
      <c r="AO276" s="234"/>
      <c r="AP276" s="234"/>
      <c r="AQ276" s="234"/>
      <c r="AR276" s="234"/>
      <c r="AS276" s="234"/>
      <c r="AT276" s="234"/>
      <c r="AU276" s="234"/>
      <c r="AV276" s="234"/>
      <c r="AW276" s="234"/>
      <c r="AX276" s="234"/>
      <c r="AY276" s="234"/>
      <c r="AZ276" s="234"/>
      <c r="BA276" s="234"/>
      <c r="BB276" s="234"/>
      <c r="BC276" s="234"/>
      <c r="BD276" s="234"/>
      <c r="BE276" s="234"/>
      <c r="BF276" s="234"/>
      <c r="BG276" s="234"/>
      <c r="BH276" s="234"/>
      <c r="BI276" s="234"/>
      <c r="BJ276" s="234"/>
      <c r="BK276" s="234"/>
      <c r="BL276" s="234"/>
      <c r="BM276" s="234"/>
      <c r="BN276" s="234"/>
      <c r="BO276" s="234"/>
    </row>
    <row r="277" spans="1:67" ht="24" customHeight="1" x14ac:dyDescent="0.25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234"/>
      <c r="AK277" s="234"/>
      <c r="AL277" s="234"/>
      <c r="AM277" s="234"/>
      <c r="AN277" s="234"/>
      <c r="AO277" s="234"/>
      <c r="AP277" s="234"/>
      <c r="AQ277" s="234"/>
      <c r="AR277" s="234"/>
      <c r="AS277" s="234"/>
      <c r="AT277" s="234"/>
      <c r="AU277" s="234"/>
      <c r="AV277" s="234"/>
      <c r="AW277" s="234"/>
      <c r="AX277" s="234"/>
      <c r="AY277" s="234"/>
      <c r="AZ277" s="234"/>
      <c r="BA277" s="234"/>
      <c r="BB277" s="234"/>
      <c r="BC277" s="234"/>
      <c r="BD277" s="234"/>
      <c r="BE277" s="234"/>
      <c r="BF277" s="234"/>
      <c r="BG277" s="234"/>
      <c r="BH277" s="234"/>
      <c r="BI277" s="234"/>
      <c r="BJ277" s="234"/>
      <c r="BK277" s="234"/>
      <c r="BL277" s="234"/>
      <c r="BM277" s="234"/>
      <c r="BN277" s="234"/>
      <c r="BO277" s="234"/>
    </row>
    <row r="278" spans="1:67" ht="24" customHeight="1" x14ac:dyDescent="0.25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234"/>
      <c r="AK278" s="234"/>
      <c r="AL278" s="234"/>
      <c r="AM278" s="234"/>
      <c r="AN278" s="234"/>
      <c r="AO278" s="234"/>
      <c r="AP278" s="234"/>
      <c r="AQ278" s="234"/>
      <c r="AR278" s="234"/>
      <c r="AS278" s="234"/>
      <c r="AT278" s="234"/>
      <c r="AU278" s="234"/>
      <c r="AV278" s="234"/>
      <c r="AW278" s="234"/>
      <c r="AX278" s="234"/>
      <c r="AY278" s="234"/>
      <c r="AZ278" s="234"/>
      <c r="BA278" s="234"/>
      <c r="BB278" s="234"/>
      <c r="BC278" s="234"/>
      <c r="BD278" s="234"/>
      <c r="BE278" s="234"/>
      <c r="BF278" s="234"/>
      <c r="BG278" s="234"/>
      <c r="BH278" s="234"/>
      <c r="BI278" s="234"/>
      <c r="BJ278" s="234"/>
      <c r="BK278" s="234"/>
      <c r="BL278" s="234"/>
      <c r="BM278" s="234"/>
      <c r="BN278" s="234"/>
      <c r="BO278" s="234"/>
    </row>
    <row r="279" spans="1:67" ht="24" customHeight="1" x14ac:dyDescent="0.25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234"/>
      <c r="AK279" s="234"/>
      <c r="AL279" s="234"/>
      <c r="AM279" s="234"/>
      <c r="AN279" s="234"/>
      <c r="AO279" s="234"/>
      <c r="AP279" s="234"/>
      <c r="AQ279" s="234"/>
      <c r="AR279" s="234"/>
      <c r="AS279" s="234"/>
      <c r="AT279" s="234"/>
      <c r="AU279" s="234"/>
      <c r="AV279" s="234"/>
      <c r="AW279" s="234"/>
      <c r="AX279" s="234"/>
      <c r="AY279" s="234"/>
      <c r="AZ279" s="234"/>
      <c r="BA279" s="234"/>
      <c r="BB279" s="234"/>
      <c r="BC279" s="234"/>
      <c r="BD279" s="234"/>
      <c r="BE279" s="234"/>
      <c r="BF279" s="234"/>
      <c r="BG279" s="234"/>
      <c r="BH279" s="234"/>
      <c r="BI279" s="234"/>
      <c r="BJ279" s="234"/>
      <c r="BK279" s="234"/>
      <c r="BL279" s="234"/>
      <c r="BM279" s="234"/>
      <c r="BN279" s="234"/>
      <c r="BO279" s="234"/>
    </row>
    <row r="280" spans="1:67" ht="24" customHeight="1" x14ac:dyDescent="0.25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234"/>
      <c r="AK280" s="234"/>
      <c r="AL280" s="234"/>
      <c r="AM280" s="234"/>
      <c r="AN280" s="234"/>
      <c r="AO280" s="234"/>
      <c r="AP280" s="234"/>
      <c r="AQ280" s="234"/>
      <c r="AR280" s="234"/>
      <c r="AS280" s="234"/>
      <c r="AT280" s="234"/>
      <c r="AU280" s="234"/>
      <c r="AV280" s="234"/>
      <c r="AW280" s="234"/>
      <c r="AX280" s="234"/>
      <c r="AY280" s="234"/>
      <c r="AZ280" s="234"/>
      <c r="BA280" s="234"/>
      <c r="BB280" s="234"/>
      <c r="BC280" s="234"/>
      <c r="BD280" s="234"/>
      <c r="BE280" s="234"/>
      <c r="BF280" s="234"/>
      <c r="BG280" s="234"/>
      <c r="BH280" s="234"/>
      <c r="BI280" s="234"/>
      <c r="BJ280" s="234"/>
      <c r="BK280" s="234"/>
      <c r="BL280" s="234"/>
      <c r="BM280" s="234"/>
      <c r="BN280" s="234"/>
      <c r="BO280" s="234"/>
    </row>
    <row r="281" spans="1:67" ht="24" customHeight="1" x14ac:dyDescent="0.25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234"/>
      <c r="AK281" s="234"/>
      <c r="AL281" s="234"/>
      <c r="AM281" s="234"/>
      <c r="AN281" s="234"/>
      <c r="AO281" s="234"/>
      <c r="AP281" s="234"/>
      <c r="AQ281" s="234"/>
      <c r="AR281" s="234"/>
      <c r="AS281" s="234"/>
      <c r="AT281" s="234"/>
      <c r="AU281" s="234"/>
      <c r="AV281" s="234"/>
      <c r="AW281" s="234"/>
      <c r="AX281" s="234"/>
      <c r="AY281" s="234"/>
      <c r="AZ281" s="234"/>
      <c r="BA281" s="234"/>
      <c r="BB281" s="234"/>
      <c r="BC281" s="234"/>
      <c r="BD281" s="234"/>
      <c r="BE281" s="234"/>
      <c r="BF281" s="234"/>
      <c r="BG281" s="234"/>
      <c r="BH281" s="234"/>
      <c r="BI281" s="234"/>
      <c r="BJ281" s="234"/>
      <c r="BK281" s="234"/>
      <c r="BL281" s="234"/>
      <c r="BM281" s="234"/>
      <c r="BN281" s="234"/>
      <c r="BO281" s="234"/>
    </row>
    <row r="282" spans="1:67" ht="24" customHeight="1" x14ac:dyDescent="0.25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234"/>
      <c r="AK282" s="234"/>
      <c r="AL282" s="234"/>
      <c r="AM282" s="234"/>
      <c r="AN282" s="234"/>
      <c r="AO282" s="234"/>
      <c r="AP282" s="234"/>
      <c r="AQ282" s="234"/>
      <c r="AR282" s="234"/>
      <c r="AS282" s="234"/>
      <c r="AT282" s="234"/>
      <c r="AU282" s="234"/>
      <c r="AV282" s="234"/>
      <c r="AW282" s="234"/>
      <c r="AX282" s="234"/>
      <c r="AY282" s="234"/>
      <c r="AZ282" s="234"/>
      <c r="BA282" s="234"/>
      <c r="BB282" s="234"/>
      <c r="BC282" s="234"/>
      <c r="BD282" s="234"/>
      <c r="BE282" s="234"/>
      <c r="BF282" s="234"/>
      <c r="BG282" s="234"/>
      <c r="BH282" s="234"/>
      <c r="BI282" s="234"/>
      <c r="BJ282" s="234"/>
      <c r="BK282" s="234"/>
      <c r="BL282" s="234"/>
      <c r="BM282" s="234"/>
      <c r="BN282" s="234"/>
      <c r="BO282" s="234"/>
    </row>
    <row r="283" spans="1:67" ht="24" customHeight="1" x14ac:dyDescent="0.25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234"/>
      <c r="AK283" s="234"/>
      <c r="AL283" s="234"/>
      <c r="AM283" s="234"/>
      <c r="AN283" s="234"/>
      <c r="AO283" s="234"/>
      <c r="AP283" s="234"/>
      <c r="AQ283" s="234"/>
      <c r="AR283" s="234"/>
      <c r="AS283" s="234"/>
      <c r="AT283" s="234"/>
      <c r="AU283" s="234"/>
      <c r="AV283" s="234"/>
      <c r="AW283" s="234"/>
      <c r="AX283" s="234"/>
      <c r="AY283" s="234"/>
      <c r="AZ283" s="234"/>
      <c r="BA283" s="234"/>
      <c r="BB283" s="234"/>
      <c r="BC283" s="234"/>
      <c r="BD283" s="234"/>
      <c r="BE283" s="234"/>
      <c r="BF283" s="234"/>
      <c r="BG283" s="234"/>
      <c r="BH283" s="234"/>
      <c r="BI283" s="234"/>
      <c r="BJ283" s="234"/>
      <c r="BK283" s="234"/>
      <c r="BL283" s="234"/>
      <c r="BM283" s="234"/>
      <c r="BN283" s="234"/>
      <c r="BO283" s="234"/>
    </row>
    <row r="284" spans="1:67" ht="24" customHeight="1" x14ac:dyDescent="0.25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234"/>
      <c r="AK284" s="234"/>
      <c r="AL284" s="234"/>
      <c r="AM284" s="234"/>
      <c r="AN284" s="234"/>
      <c r="AO284" s="234"/>
      <c r="AP284" s="234"/>
      <c r="AQ284" s="234"/>
      <c r="AR284" s="234"/>
      <c r="AS284" s="234"/>
      <c r="AT284" s="234"/>
      <c r="AU284" s="234"/>
      <c r="AV284" s="234"/>
      <c r="AW284" s="234"/>
      <c r="AX284" s="234"/>
      <c r="AY284" s="234"/>
      <c r="AZ284" s="234"/>
      <c r="BA284" s="234"/>
      <c r="BB284" s="234"/>
      <c r="BC284" s="234"/>
      <c r="BD284" s="234"/>
      <c r="BE284" s="234"/>
      <c r="BF284" s="234"/>
      <c r="BG284" s="234"/>
      <c r="BH284" s="234"/>
      <c r="BI284" s="234"/>
      <c r="BJ284" s="234"/>
      <c r="BK284" s="234"/>
      <c r="BL284" s="234"/>
      <c r="BM284" s="234"/>
      <c r="BN284" s="234"/>
      <c r="BO284" s="234"/>
    </row>
    <row r="285" spans="1:67" ht="24" customHeight="1" x14ac:dyDescent="0.2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234"/>
      <c r="AK285" s="234"/>
      <c r="AL285" s="234"/>
      <c r="AM285" s="234"/>
      <c r="AN285" s="234"/>
      <c r="AO285" s="234"/>
      <c r="AP285" s="234"/>
      <c r="AQ285" s="234"/>
      <c r="AR285" s="234"/>
      <c r="AS285" s="234"/>
      <c r="AT285" s="234"/>
      <c r="AU285" s="234"/>
      <c r="AV285" s="234"/>
      <c r="AW285" s="234"/>
      <c r="AX285" s="234"/>
      <c r="AY285" s="234"/>
      <c r="AZ285" s="234"/>
      <c r="BA285" s="234"/>
      <c r="BB285" s="234"/>
      <c r="BC285" s="234"/>
      <c r="BD285" s="234"/>
      <c r="BE285" s="234"/>
      <c r="BF285" s="234"/>
      <c r="BG285" s="234"/>
      <c r="BH285" s="234"/>
      <c r="BI285" s="234"/>
      <c r="BJ285" s="234"/>
      <c r="BK285" s="234"/>
      <c r="BL285" s="234"/>
      <c r="BM285" s="234"/>
      <c r="BN285" s="234"/>
      <c r="BO285" s="234"/>
    </row>
    <row r="286" spans="1:67" ht="24" customHeight="1" x14ac:dyDescent="0.25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234"/>
      <c r="AK286" s="234"/>
      <c r="AL286" s="234"/>
      <c r="AM286" s="234"/>
      <c r="AN286" s="234"/>
      <c r="AO286" s="234"/>
      <c r="AP286" s="234"/>
      <c r="AQ286" s="234"/>
      <c r="AR286" s="234"/>
      <c r="AS286" s="234"/>
      <c r="AT286" s="234"/>
      <c r="AU286" s="234"/>
      <c r="AV286" s="234"/>
      <c r="AW286" s="234"/>
      <c r="AX286" s="234"/>
      <c r="AY286" s="234"/>
      <c r="AZ286" s="234"/>
      <c r="BA286" s="234"/>
      <c r="BB286" s="234"/>
      <c r="BC286" s="234"/>
      <c r="BD286" s="234"/>
      <c r="BE286" s="234"/>
      <c r="BF286" s="234"/>
      <c r="BG286" s="234"/>
      <c r="BH286" s="234"/>
      <c r="BI286" s="234"/>
      <c r="BJ286" s="234"/>
      <c r="BK286" s="234"/>
      <c r="BL286" s="234"/>
      <c r="BM286" s="234"/>
      <c r="BN286" s="234"/>
      <c r="BO286" s="234"/>
    </row>
    <row r="287" spans="1:67" ht="24" customHeight="1" x14ac:dyDescent="0.25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234"/>
      <c r="AK287" s="234"/>
      <c r="AL287" s="234"/>
      <c r="AM287" s="234"/>
      <c r="AN287" s="234"/>
      <c r="AO287" s="234"/>
      <c r="AP287" s="234"/>
      <c r="AQ287" s="234"/>
      <c r="AR287" s="234"/>
      <c r="AS287" s="234"/>
      <c r="AT287" s="234"/>
      <c r="AU287" s="234"/>
      <c r="AV287" s="234"/>
      <c r="AW287" s="234"/>
      <c r="AX287" s="234"/>
      <c r="AY287" s="234"/>
      <c r="AZ287" s="234"/>
      <c r="BA287" s="234"/>
      <c r="BB287" s="234"/>
      <c r="BC287" s="234"/>
      <c r="BD287" s="234"/>
      <c r="BE287" s="234"/>
      <c r="BF287" s="234"/>
      <c r="BG287" s="234"/>
      <c r="BH287" s="234"/>
      <c r="BI287" s="234"/>
      <c r="BJ287" s="234"/>
      <c r="BK287" s="234"/>
      <c r="BL287" s="234"/>
      <c r="BM287" s="234"/>
      <c r="BN287" s="234"/>
      <c r="BO287" s="234"/>
    </row>
    <row r="288" spans="1:67" ht="24" customHeight="1" x14ac:dyDescent="0.25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234"/>
      <c r="AK288" s="234"/>
      <c r="AL288" s="234"/>
      <c r="AM288" s="234"/>
      <c r="AN288" s="234"/>
      <c r="AO288" s="234"/>
      <c r="AP288" s="234"/>
      <c r="AQ288" s="234"/>
      <c r="AR288" s="234"/>
      <c r="AS288" s="234"/>
      <c r="AT288" s="234"/>
      <c r="AU288" s="234"/>
      <c r="AV288" s="234"/>
      <c r="AW288" s="234"/>
      <c r="AX288" s="234"/>
      <c r="AY288" s="234"/>
      <c r="AZ288" s="234"/>
      <c r="BA288" s="234"/>
      <c r="BB288" s="234"/>
      <c r="BC288" s="234"/>
      <c r="BD288" s="234"/>
      <c r="BE288" s="234"/>
      <c r="BF288" s="234"/>
      <c r="BG288" s="234"/>
      <c r="BH288" s="234"/>
      <c r="BI288" s="234"/>
      <c r="BJ288" s="234"/>
      <c r="BK288" s="234"/>
      <c r="BL288" s="234"/>
      <c r="BM288" s="234"/>
      <c r="BN288" s="234"/>
      <c r="BO288" s="234"/>
    </row>
    <row r="289" spans="1:67" ht="24" customHeight="1" x14ac:dyDescent="0.25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234"/>
      <c r="AK289" s="234"/>
      <c r="AL289" s="234"/>
      <c r="AM289" s="234"/>
      <c r="AN289" s="234"/>
      <c r="AO289" s="234"/>
      <c r="AP289" s="234"/>
      <c r="AQ289" s="234"/>
      <c r="AR289" s="234"/>
      <c r="AS289" s="234"/>
      <c r="AT289" s="234"/>
      <c r="AU289" s="234"/>
      <c r="AV289" s="234"/>
      <c r="AW289" s="234"/>
      <c r="AX289" s="234"/>
      <c r="AY289" s="234"/>
      <c r="AZ289" s="234"/>
      <c r="BA289" s="234"/>
      <c r="BB289" s="234"/>
      <c r="BC289" s="234"/>
      <c r="BD289" s="234"/>
      <c r="BE289" s="234"/>
      <c r="BF289" s="234"/>
      <c r="BG289" s="234"/>
      <c r="BH289" s="234"/>
      <c r="BI289" s="234"/>
      <c r="BJ289" s="234"/>
      <c r="BK289" s="234"/>
      <c r="BL289" s="234"/>
      <c r="BM289" s="234"/>
      <c r="BN289" s="234"/>
      <c r="BO289" s="234"/>
    </row>
    <row r="290" spans="1:67" ht="24" customHeight="1" x14ac:dyDescent="0.25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234"/>
      <c r="AK290" s="234"/>
      <c r="AL290" s="234"/>
      <c r="AM290" s="234"/>
      <c r="AN290" s="234"/>
      <c r="AO290" s="234"/>
      <c r="AP290" s="234"/>
      <c r="AQ290" s="234"/>
      <c r="AR290" s="234"/>
      <c r="AS290" s="234"/>
      <c r="AT290" s="234"/>
      <c r="AU290" s="234"/>
      <c r="AV290" s="234"/>
      <c r="AW290" s="234"/>
      <c r="AX290" s="234"/>
      <c r="AY290" s="234"/>
      <c r="AZ290" s="234"/>
      <c r="BA290" s="234"/>
      <c r="BB290" s="234"/>
      <c r="BC290" s="234"/>
      <c r="BD290" s="234"/>
      <c r="BE290" s="234"/>
      <c r="BF290" s="234"/>
      <c r="BG290" s="234"/>
      <c r="BH290" s="234"/>
      <c r="BI290" s="234"/>
      <c r="BJ290" s="234"/>
      <c r="BK290" s="234"/>
      <c r="BL290" s="234"/>
      <c r="BM290" s="234"/>
      <c r="BN290" s="234"/>
      <c r="BO290" s="234"/>
    </row>
    <row r="291" spans="1:67" ht="24" customHeight="1" x14ac:dyDescent="0.25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234"/>
      <c r="AK291" s="234"/>
      <c r="AL291" s="234"/>
      <c r="AM291" s="234"/>
      <c r="AN291" s="234"/>
      <c r="AO291" s="234"/>
      <c r="AP291" s="234"/>
      <c r="AQ291" s="234"/>
      <c r="AR291" s="234"/>
      <c r="AS291" s="234"/>
      <c r="AT291" s="234"/>
      <c r="AU291" s="234"/>
      <c r="AV291" s="234"/>
      <c r="AW291" s="234"/>
      <c r="AX291" s="234"/>
      <c r="AY291" s="234"/>
      <c r="AZ291" s="234"/>
      <c r="BA291" s="234"/>
      <c r="BB291" s="234"/>
      <c r="BC291" s="234"/>
      <c r="BD291" s="234"/>
      <c r="BE291" s="234"/>
      <c r="BF291" s="234"/>
      <c r="BG291" s="234"/>
      <c r="BH291" s="234"/>
      <c r="BI291" s="234"/>
      <c r="BJ291" s="234"/>
      <c r="BK291" s="234"/>
      <c r="BL291" s="234"/>
      <c r="BM291" s="234"/>
      <c r="BN291" s="234"/>
      <c r="BO291" s="234"/>
    </row>
    <row r="292" spans="1:67" ht="24" customHeight="1" x14ac:dyDescent="0.25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234"/>
      <c r="AK292" s="234"/>
      <c r="AL292" s="234"/>
      <c r="AM292" s="234"/>
      <c r="AN292" s="234"/>
      <c r="AO292" s="234"/>
      <c r="AP292" s="234"/>
      <c r="AQ292" s="234"/>
      <c r="AR292" s="234"/>
      <c r="AS292" s="234"/>
      <c r="AT292" s="234"/>
      <c r="AU292" s="234"/>
      <c r="AV292" s="234"/>
      <c r="AW292" s="234"/>
      <c r="AX292" s="234"/>
      <c r="AY292" s="234"/>
      <c r="AZ292" s="234"/>
      <c r="BA292" s="234"/>
      <c r="BB292" s="234"/>
      <c r="BC292" s="234"/>
      <c r="BD292" s="234"/>
      <c r="BE292" s="234"/>
      <c r="BF292" s="234"/>
      <c r="BG292" s="234"/>
      <c r="BH292" s="234"/>
      <c r="BI292" s="234"/>
      <c r="BJ292" s="234"/>
      <c r="BK292" s="234"/>
      <c r="BL292" s="234"/>
      <c r="BM292" s="234"/>
      <c r="BN292" s="234"/>
      <c r="BO292" s="234"/>
    </row>
    <row r="293" spans="1:67" ht="24" customHeight="1" x14ac:dyDescent="0.25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234"/>
      <c r="AK293" s="234"/>
      <c r="AL293" s="234"/>
      <c r="AM293" s="234"/>
      <c r="AN293" s="234"/>
      <c r="AO293" s="234"/>
      <c r="AP293" s="234"/>
      <c r="AQ293" s="234"/>
      <c r="AR293" s="234"/>
      <c r="AS293" s="234"/>
      <c r="AT293" s="234"/>
      <c r="AU293" s="234"/>
      <c r="AV293" s="234"/>
      <c r="AW293" s="234"/>
      <c r="AX293" s="234"/>
      <c r="AY293" s="234"/>
      <c r="AZ293" s="234"/>
      <c r="BA293" s="234"/>
      <c r="BB293" s="234"/>
      <c r="BC293" s="234"/>
      <c r="BD293" s="234"/>
      <c r="BE293" s="234"/>
      <c r="BF293" s="234"/>
      <c r="BG293" s="234"/>
      <c r="BH293" s="234"/>
      <c r="BI293" s="234"/>
      <c r="BJ293" s="234"/>
      <c r="BK293" s="234"/>
      <c r="BL293" s="234"/>
      <c r="BM293" s="234"/>
      <c r="BN293" s="234"/>
      <c r="BO293" s="234"/>
    </row>
    <row r="294" spans="1:67" ht="24" customHeight="1" x14ac:dyDescent="0.25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234"/>
      <c r="AK294" s="234"/>
      <c r="AL294" s="234"/>
      <c r="AM294" s="234"/>
      <c r="AN294" s="234"/>
      <c r="AO294" s="234"/>
      <c r="AP294" s="234"/>
      <c r="AQ294" s="234"/>
      <c r="AR294" s="234"/>
      <c r="AS294" s="234"/>
      <c r="AT294" s="234"/>
      <c r="AU294" s="234"/>
      <c r="AV294" s="234"/>
      <c r="AW294" s="234"/>
      <c r="AX294" s="234"/>
      <c r="AY294" s="234"/>
      <c r="AZ294" s="234"/>
      <c r="BA294" s="234"/>
      <c r="BB294" s="234"/>
      <c r="BC294" s="234"/>
      <c r="BD294" s="234"/>
      <c r="BE294" s="234"/>
      <c r="BF294" s="234"/>
      <c r="BG294" s="234"/>
      <c r="BH294" s="234"/>
      <c r="BI294" s="234"/>
      <c r="BJ294" s="234"/>
      <c r="BK294" s="234"/>
      <c r="BL294" s="234"/>
      <c r="BM294" s="234"/>
      <c r="BN294" s="234"/>
      <c r="BO294" s="234"/>
    </row>
    <row r="295" spans="1:67" ht="24" customHeight="1" x14ac:dyDescent="0.2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234"/>
      <c r="AL295" s="234"/>
      <c r="AM295" s="234"/>
      <c r="AN295" s="234"/>
      <c r="AO295" s="234"/>
      <c r="AP295" s="234"/>
      <c r="AQ295" s="234"/>
      <c r="AR295" s="234"/>
      <c r="AS295" s="234"/>
      <c r="AT295" s="234"/>
      <c r="AU295" s="234"/>
      <c r="AV295" s="234"/>
      <c r="AW295" s="234"/>
      <c r="AX295" s="234"/>
      <c r="AY295" s="234"/>
      <c r="AZ295" s="234"/>
      <c r="BA295" s="234"/>
      <c r="BB295" s="234"/>
      <c r="BC295" s="234"/>
      <c r="BD295" s="234"/>
      <c r="BE295" s="234"/>
      <c r="BF295" s="234"/>
      <c r="BG295" s="234"/>
      <c r="BH295" s="234"/>
      <c r="BI295" s="234"/>
      <c r="BJ295" s="234"/>
      <c r="BK295" s="234"/>
      <c r="BL295" s="234"/>
      <c r="BM295" s="234"/>
      <c r="BN295" s="234"/>
      <c r="BO295" s="234"/>
    </row>
    <row r="296" spans="1:67" ht="24" customHeight="1" x14ac:dyDescent="0.25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234"/>
      <c r="AL296" s="234"/>
      <c r="AM296" s="234"/>
      <c r="AN296" s="234"/>
      <c r="AO296" s="234"/>
      <c r="AP296" s="234"/>
      <c r="AQ296" s="234"/>
      <c r="AR296" s="234"/>
      <c r="AS296" s="234"/>
      <c r="AT296" s="234"/>
      <c r="AU296" s="234"/>
      <c r="AV296" s="234"/>
      <c r="AW296" s="234"/>
      <c r="AX296" s="234"/>
      <c r="AY296" s="234"/>
      <c r="AZ296" s="234"/>
      <c r="BA296" s="234"/>
      <c r="BB296" s="234"/>
      <c r="BC296" s="234"/>
      <c r="BD296" s="234"/>
      <c r="BE296" s="234"/>
      <c r="BF296" s="234"/>
      <c r="BG296" s="234"/>
      <c r="BH296" s="234"/>
      <c r="BI296" s="234"/>
      <c r="BJ296" s="234"/>
      <c r="BK296" s="234"/>
      <c r="BL296" s="234"/>
      <c r="BM296" s="234"/>
      <c r="BN296" s="234"/>
      <c r="BO296" s="234"/>
    </row>
    <row r="297" spans="1:67" ht="24" customHeight="1" x14ac:dyDescent="0.25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234"/>
      <c r="AK297" s="234"/>
      <c r="AL297" s="234"/>
      <c r="AM297" s="234"/>
      <c r="AN297" s="234"/>
      <c r="AO297" s="234"/>
      <c r="AP297" s="234"/>
      <c r="AQ297" s="234"/>
      <c r="AR297" s="234"/>
      <c r="AS297" s="234"/>
      <c r="AT297" s="234"/>
      <c r="AU297" s="234"/>
      <c r="AV297" s="234"/>
      <c r="AW297" s="234"/>
      <c r="AX297" s="234"/>
      <c r="AY297" s="234"/>
      <c r="AZ297" s="234"/>
      <c r="BA297" s="234"/>
      <c r="BB297" s="234"/>
      <c r="BC297" s="234"/>
      <c r="BD297" s="234"/>
      <c r="BE297" s="234"/>
      <c r="BF297" s="234"/>
      <c r="BG297" s="234"/>
      <c r="BH297" s="234"/>
      <c r="BI297" s="234"/>
      <c r="BJ297" s="234"/>
      <c r="BK297" s="234"/>
      <c r="BL297" s="234"/>
      <c r="BM297" s="234"/>
      <c r="BN297" s="234"/>
      <c r="BO297" s="234"/>
    </row>
    <row r="298" spans="1:67" ht="24" customHeight="1" x14ac:dyDescent="0.25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234"/>
      <c r="AK298" s="234"/>
      <c r="AL298" s="234"/>
      <c r="AM298" s="234"/>
      <c r="AN298" s="234"/>
      <c r="AO298" s="234"/>
      <c r="AP298" s="234"/>
      <c r="AQ298" s="234"/>
      <c r="AR298" s="234"/>
      <c r="AS298" s="234"/>
      <c r="AT298" s="234"/>
      <c r="AU298" s="234"/>
      <c r="AV298" s="234"/>
      <c r="AW298" s="234"/>
      <c r="AX298" s="234"/>
      <c r="AY298" s="234"/>
      <c r="AZ298" s="234"/>
      <c r="BA298" s="234"/>
      <c r="BB298" s="234"/>
      <c r="BC298" s="234"/>
      <c r="BD298" s="234"/>
      <c r="BE298" s="234"/>
      <c r="BF298" s="234"/>
      <c r="BG298" s="234"/>
      <c r="BH298" s="234"/>
      <c r="BI298" s="234"/>
      <c r="BJ298" s="234"/>
      <c r="BK298" s="234"/>
      <c r="BL298" s="234"/>
      <c r="BM298" s="234"/>
      <c r="BN298" s="234"/>
      <c r="BO298" s="234"/>
    </row>
    <row r="299" spans="1:67" ht="24" customHeight="1" x14ac:dyDescent="0.25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234"/>
      <c r="AK299" s="234"/>
      <c r="AL299" s="234"/>
      <c r="AM299" s="234"/>
      <c r="AN299" s="234"/>
      <c r="AO299" s="234"/>
      <c r="AP299" s="234"/>
      <c r="AQ299" s="234"/>
      <c r="AR299" s="234"/>
      <c r="AS299" s="234"/>
      <c r="AT299" s="234"/>
      <c r="AU299" s="234"/>
      <c r="AV299" s="234"/>
      <c r="AW299" s="234"/>
      <c r="AX299" s="234"/>
      <c r="AY299" s="234"/>
      <c r="AZ299" s="234"/>
      <c r="BA299" s="234"/>
      <c r="BB299" s="234"/>
      <c r="BC299" s="234"/>
      <c r="BD299" s="234"/>
      <c r="BE299" s="234"/>
      <c r="BF299" s="234"/>
      <c r="BG299" s="234"/>
      <c r="BH299" s="234"/>
      <c r="BI299" s="234"/>
      <c r="BJ299" s="234"/>
      <c r="BK299" s="234"/>
      <c r="BL299" s="234"/>
      <c r="BM299" s="234"/>
      <c r="BN299" s="234"/>
      <c r="BO299" s="234"/>
    </row>
    <row r="300" spans="1:67" ht="24" customHeight="1" x14ac:dyDescent="0.25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234"/>
      <c r="AK300" s="234"/>
      <c r="AL300" s="234"/>
      <c r="AM300" s="234"/>
      <c r="AN300" s="234"/>
      <c r="AO300" s="234"/>
      <c r="AP300" s="234"/>
      <c r="AQ300" s="234"/>
      <c r="AR300" s="234"/>
      <c r="AS300" s="234"/>
      <c r="AT300" s="234"/>
      <c r="AU300" s="234"/>
      <c r="AV300" s="234"/>
      <c r="AW300" s="234"/>
      <c r="AX300" s="234"/>
      <c r="AY300" s="234"/>
      <c r="AZ300" s="234"/>
      <c r="BA300" s="234"/>
      <c r="BB300" s="234"/>
      <c r="BC300" s="234"/>
      <c r="BD300" s="234"/>
      <c r="BE300" s="234"/>
      <c r="BF300" s="234"/>
      <c r="BG300" s="234"/>
      <c r="BH300" s="234"/>
      <c r="BI300" s="234"/>
      <c r="BJ300" s="234"/>
      <c r="BK300" s="234"/>
      <c r="BL300" s="234"/>
      <c r="BM300" s="234"/>
      <c r="BN300" s="234"/>
      <c r="BO300" s="234"/>
    </row>
    <row r="301" spans="1:67" ht="24" customHeight="1" x14ac:dyDescent="0.25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234"/>
      <c r="AK301" s="234"/>
      <c r="AL301" s="234"/>
      <c r="AM301" s="234"/>
      <c r="AN301" s="234"/>
      <c r="AO301" s="234"/>
      <c r="AP301" s="234"/>
      <c r="AQ301" s="234"/>
      <c r="AR301" s="234"/>
      <c r="AS301" s="234"/>
      <c r="AT301" s="234"/>
      <c r="AU301" s="234"/>
      <c r="AV301" s="234"/>
      <c r="AW301" s="234"/>
      <c r="AX301" s="234"/>
      <c r="AY301" s="234"/>
      <c r="AZ301" s="234"/>
      <c r="BA301" s="234"/>
      <c r="BB301" s="234"/>
      <c r="BC301" s="234"/>
      <c r="BD301" s="234"/>
      <c r="BE301" s="234"/>
      <c r="BF301" s="234"/>
      <c r="BG301" s="234"/>
      <c r="BH301" s="234"/>
      <c r="BI301" s="234"/>
      <c r="BJ301" s="234"/>
      <c r="BK301" s="234"/>
      <c r="BL301" s="234"/>
      <c r="BM301" s="234"/>
      <c r="BN301" s="234"/>
      <c r="BO301" s="234"/>
    </row>
    <row r="302" spans="1:67" ht="24" customHeight="1" x14ac:dyDescent="0.25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234"/>
      <c r="AK302" s="234"/>
      <c r="AL302" s="234"/>
      <c r="AM302" s="234"/>
      <c r="AN302" s="234"/>
      <c r="AO302" s="234"/>
      <c r="AP302" s="234"/>
      <c r="AQ302" s="234"/>
      <c r="AR302" s="234"/>
      <c r="AS302" s="234"/>
      <c r="AT302" s="234"/>
      <c r="AU302" s="234"/>
      <c r="AV302" s="234"/>
      <c r="AW302" s="234"/>
      <c r="AX302" s="234"/>
      <c r="AY302" s="234"/>
      <c r="AZ302" s="234"/>
      <c r="BA302" s="234"/>
      <c r="BB302" s="234"/>
      <c r="BC302" s="234"/>
      <c r="BD302" s="234"/>
      <c r="BE302" s="234"/>
      <c r="BF302" s="234"/>
      <c r="BG302" s="234"/>
      <c r="BH302" s="234"/>
      <c r="BI302" s="234"/>
      <c r="BJ302" s="234"/>
      <c r="BK302" s="234"/>
      <c r="BL302" s="234"/>
      <c r="BM302" s="234"/>
      <c r="BN302" s="234"/>
      <c r="BO302" s="234"/>
    </row>
    <row r="303" spans="1:67" ht="24" customHeight="1" x14ac:dyDescent="0.25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234"/>
      <c r="AK303" s="234"/>
      <c r="AL303" s="234"/>
      <c r="AM303" s="234"/>
      <c r="AN303" s="234"/>
      <c r="AO303" s="234"/>
      <c r="AP303" s="234"/>
      <c r="AQ303" s="234"/>
      <c r="AR303" s="234"/>
      <c r="AS303" s="234"/>
      <c r="AT303" s="234"/>
      <c r="AU303" s="234"/>
      <c r="AV303" s="234"/>
      <c r="AW303" s="234"/>
      <c r="AX303" s="234"/>
      <c r="AY303" s="234"/>
      <c r="AZ303" s="234"/>
      <c r="BA303" s="234"/>
      <c r="BB303" s="234"/>
      <c r="BC303" s="234"/>
      <c r="BD303" s="234"/>
      <c r="BE303" s="234"/>
      <c r="BF303" s="234"/>
      <c r="BG303" s="234"/>
      <c r="BH303" s="234"/>
      <c r="BI303" s="234"/>
      <c r="BJ303" s="234"/>
      <c r="BK303" s="234"/>
      <c r="BL303" s="234"/>
      <c r="BM303" s="234"/>
      <c r="BN303" s="234"/>
      <c r="BO303" s="234"/>
    </row>
    <row r="304" spans="1:67" ht="24" customHeight="1" x14ac:dyDescent="0.25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234"/>
      <c r="AK304" s="234"/>
      <c r="AL304" s="234"/>
      <c r="AM304" s="234"/>
      <c r="AN304" s="234"/>
      <c r="AO304" s="234"/>
      <c r="AP304" s="234"/>
      <c r="AQ304" s="234"/>
      <c r="AR304" s="234"/>
      <c r="AS304" s="234"/>
      <c r="AT304" s="234"/>
      <c r="AU304" s="234"/>
      <c r="AV304" s="234"/>
      <c r="AW304" s="234"/>
      <c r="AX304" s="234"/>
      <c r="AY304" s="234"/>
      <c r="AZ304" s="234"/>
      <c r="BA304" s="234"/>
      <c r="BB304" s="234"/>
      <c r="BC304" s="234"/>
      <c r="BD304" s="234"/>
      <c r="BE304" s="234"/>
      <c r="BF304" s="234"/>
      <c r="BG304" s="234"/>
      <c r="BH304" s="234"/>
      <c r="BI304" s="234"/>
      <c r="BJ304" s="234"/>
      <c r="BK304" s="234"/>
      <c r="BL304" s="234"/>
      <c r="BM304" s="234"/>
      <c r="BN304" s="234"/>
      <c r="BO304" s="234"/>
    </row>
    <row r="305" spans="1:67" ht="24" customHeight="1" x14ac:dyDescent="0.2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234"/>
      <c r="AK305" s="234"/>
      <c r="AL305" s="234"/>
      <c r="AM305" s="234"/>
      <c r="AN305" s="234"/>
      <c r="AO305" s="234"/>
      <c r="AP305" s="234"/>
      <c r="AQ305" s="234"/>
      <c r="AR305" s="234"/>
      <c r="AS305" s="234"/>
      <c r="AT305" s="234"/>
      <c r="AU305" s="234"/>
      <c r="AV305" s="234"/>
      <c r="AW305" s="234"/>
      <c r="AX305" s="234"/>
      <c r="AY305" s="234"/>
      <c r="AZ305" s="234"/>
      <c r="BA305" s="234"/>
      <c r="BB305" s="234"/>
      <c r="BC305" s="234"/>
      <c r="BD305" s="234"/>
      <c r="BE305" s="234"/>
      <c r="BF305" s="234"/>
      <c r="BG305" s="234"/>
      <c r="BH305" s="234"/>
      <c r="BI305" s="234"/>
      <c r="BJ305" s="234"/>
      <c r="BK305" s="234"/>
      <c r="BL305" s="234"/>
      <c r="BM305" s="234"/>
      <c r="BN305" s="234"/>
      <c r="BO305" s="234"/>
    </row>
    <row r="306" spans="1:67" ht="24" customHeight="1" x14ac:dyDescent="0.25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234"/>
      <c r="AK306" s="234"/>
      <c r="AL306" s="234"/>
      <c r="AM306" s="234"/>
      <c r="AN306" s="234"/>
      <c r="AO306" s="234"/>
      <c r="AP306" s="234"/>
      <c r="AQ306" s="234"/>
      <c r="AR306" s="234"/>
      <c r="AS306" s="234"/>
      <c r="AT306" s="234"/>
      <c r="AU306" s="234"/>
      <c r="AV306" s="234"/>
      <c r="AW306" s="234"/>
      <c r="AX306" s="234"/>
      <c r="AY306" s="234"/>
      <c r="AZ306" s="234"/>
      <c r="BA306" s="234"/>
      <c r="BB306" s="234"/>
      <c r="BC306" s="234"/>
      <c r="BD306" s="234"/>
      <c r="BE306" s="234"/>
      <c r="BF306" s="234"/>
      <c r="BG306" s="234"/>
      <c r="BH306" s="234"/>
      <c r="BI306" s="234"/>
      <c r="BJ306" s="234"/>
      <c r="BK306" s="234"/>
      <c r="BL306" s="234"/>
      <c r="BM306" s="234"/>
      <c r="BN306" s="234"/>
      <c r="BO306" s="234"/>
    </row>
    <row r="307" spans="1:67" ht="24" customHeight="1" x14ac:dyDescent="0.25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234"/>
      <c r="AK307" s="234"/>
      <c r="AL307" s="234"/>
      <c r="AM307" s="234"/>
      <c r="AN307" s="234"/>
      <c r="AO307" s="234"/>
      <c r="AP307" s="234"/>
      <c r="AQ307" s="234"/>
      <c r="AR307" s="234"/>
      <c r="AS307" s="234"/>
      <c r="AT307" s="234"/>
      <c r="AU307" s="234"/>
      <c r="AV307" s="234"/>
      <c r="AW307" s="234"/>
      <c r="AX307" s="234"/>
      <c r="AY307" s="234"/>
      <c r="AZ307" s="234"/>
      <c r="BA307" s="234"/>
      <c r="BB307" s="234"/>
      <c r="BC307" s="234"/>
      <c r="BD307" s="234"/>
      <c r="BE307" s="234"/>
      <c r="BF307" s="234"/>
      <c r="BG307" s="234"/>
      <c r="BH307" s="234"/>
      <c r="BI307" s="234"/>
      <c r="BJ307" s="234"/>
      <c r="BK307" s="234"/>
      <c r="BL307" s="234"/>
      <c r="BM307" s="234"/>
      <c r="BN307" s="234"/>
      <c r="BO307" s="234"/>
    </row>
    <row r="308" spans="1:67" ht="24" customHeight="1" x14ac:dyDescent="0.25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234"/>
      <c r="AK308" s="234"/>
      <c r="AL308" s="234"/>
      <c r="AM308" s="234"/>
      <c r="AN308" s="234"/>
      <c r="AO308" s="234"/>
      <c r="AP308" s="234"/>
      <c r="AQ308" s="234"/>
      <c r="AR308" s="234"/>
      <c r="AS308" s="234"/>
      <c r="AT308" s="234"/>
      <c r="AU308" s="234"/>
      <c r="AV308" s="234"/>
      <c r="AW308" s="234"/>
      <c r="AX308" s="234"/>
      <c r="AY308" s="234"/>
      <c r="AZ308" s="234"/>
      <c r="BA308" s="234"/>
      <c r="BB308" s="234"/>
      <c r="BC308" s="234"/>
      <c r="BD308" s="234"/>
      <c r="BE308" s="234"/>
      <c r="BF308" s="234"/>
      <c r="BG308" s="234"/>
      <c r="BH308" s="234"/>
      <c r="BI308" s="234"/>
      <c r="BJ308" s="234"/>
      <c r="BK308" s="234"/>
      <c r="BL308" s="234"/>
      <c r="BM308" s="234"/>
      <c r="BN308" s="234"/>
      <c r="BO308" s="234"/>
    </row>
    <row r="309" spans="1:67" ht="24" customHeight="1" x14ac:dyDescent="0.25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234"/>
      <c r="AK309" s="234"/>
      <c r="AL309" s="234"/>
      <c r="AM309" s="234"/>
      <c r="AN309" s="234"/>
      <c r="AO309" s="234"/>
      <c r="AP309" s="234"/>
      <c r="AQ309" s="234"/>
      <c r="AR309" s="234"/>
      <c r="AS309" s="234"/>
      <c r="AT309" s="234"/>
      <c r="AU309" s="234"/>
      <c r="AV309" s="234"/>
      <c r="AW309" s="234"/>
      <c r="AX309" s="234"/>
      <c r="AY309" s="234"/>
      <c r="AZ309" s="234"/>
      <c r="BA309" s="234"/>
      <c r="BB309" s="234"/>
      <c r="BC309" s="234"/>
      <c r="BD309" s="234"/>
      <c r="BE309" s="234"/>
      <c r="BF309" s="234"/>
      <c r="BG309" s="234"/>
      <c r="BH309" s="234"/>
      <c r="BI309" s="234"/>
      <c r="BJ309" s="234"/>
      <c r="BK309" s="234"/>
      <c r="BL309" s="234"/>
      <c r="BM309" s="234"/>
      <c r="BN309" s="234"/>
      <c r="BO309" s="234"/>
    </row>
    <row r="310" spans="1:67" ht="24" customHeight="1" x14ac:dyDescent="0.25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234"/>
      <c r="AK310" s="234"/>
      <c r="AL310" s="234"/>
      <c r="AM310" s="234"/>
      <c r="AN310" s="234"/>
      <c r="AO310" s="234"/>
      <c r="AP310" s="234"/>
      <c r="AQ310" s="234"/>
      <c r="AR310" s="234"/>
      <c r="AS310" s="234"/>
      <c r="AT310" s="234"/>
      <c r="AU310" s="234"/>
      <c r="AV310" s="234"/>
      <c r="AW310" s="234"/>
      <c r="AX310" s="234"/>
      <c r="AY310" s="234"/>
      <c r="AZ310" s="234"/>
      <c r="BA310" s="234"/>
      <c r="BB310" s="234"/>
      <c r="BC310" s="234"/>
      <c r="BD310" s="234"/>
      <c r="BE310" s="234"/>
      <c r="BF310" s="234"/>
      <c r="BG310" s="234"/>
      <c r="BH310" s="234"/>
      <c r="BI310" s="234"/>
      <c r="BJ310" s="234"/>
      <c r="BK310" s="234"/>
      <c r="BL310" s="234"/>
      <c r="BM310" s="234"/>
      <c r="BN310" s="234"/>
      <c r="BO310" s="234"/>
    </row>
    <row r="311" spans="1:67" ht="24" customHeight="1" x14ac:dyDescent="0.25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234"/>
      <c r="AK311" s="234"/>
      <c r="AL311" s="234"/>
      <c r="AM311" s="234"/>
      <c r="AN311" s="234"/>
      <c r="AO311" s="234"/>
      <c r="AP311" s="234"/>
      <c r="AQ311" s="234"/>
      <c r="AR311" s="234"/>
      <c r="AS311" s="234"/>
      <c r="AT311" s="234"/>
      <c r="AU311" s="234"/>
      <c r="AV311" s="234"/>
      <c r="AW311" s="234"/>
      <c r="AX311" s="234"/>
      <c r="AY311" s="234"/>
      <c r="AZ311" s="234"/>
      <c r="BA311" s="234"/>
      <c r="BB311" s="234"/>
      <c r="BC311" s="234"/>
      <c r="BD311" s="234"/>
      <c r="BE311" s="234"/>
      <c r="BF311" s="234"/>
      <c r="BG311" s="234"/>
      <c r="BH311" s="234"/>
      <c r="BI311" s="234"/>
      <c r="BJ311" s="234"/>
      <c r="BK311" s="234"/>
      <c r="BL311" s="234"/>
      <c r="BM311" s="234"/>
      <c r="BN311" s="234"/>
      <c r="BO311" s="234"/>
    </row>
    <row r="312" spans="1:67" ht="24" customHeight="1" x14ac:dyDescent="0.25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234"/>
      <c r="AK312" s="234"/>
      <c r="AL312" s="234"/>
      <c r="AM312" s="234"/>
      <c r="AN312" s="234"/>
      <c r="AO312" s="234"/>
      <c r="AP312" s="234"/>
      <c r="AQ312" s="234"/>
      <c r="AR312" s="234"/>
      <c r="AS312" s="234"/>
      <c r="AT312" s="234"/>
      <c r="AU312" s="234"/>
      <c r="AV312" s="234"/>
      <c r="AW312" s="234"/>
      <c r="AX312" s="234"/>
      <c r="AY312" s="234"/>
      <c r="AZ312" s="234"/>
      <c r="BA312" s="234"/>
      <c r="BB312" s="234"/>
      <c r="BC312" s="234"/>
      <c r="BD312" s="234"/>
      <c r="BE312" s="234"/>
      <c r="BF312" s="234"/>
      <c r="BG312" s="234"/>
      <c r="BH312" s="234"/>
      <c r="BI312" s="234"/>
      <c r="BJ312" s="234"/>
      <c r="BK312" s="234"/>
      <c r="BL312" s="234"/>
      <c r="BM312" s="234"/>
      <c r="BN312" s="234"/>
      <c r="BO312" s="234"/>
    </row>
    <row r="313" spans="1:67" ht="24" customHeight="1" x14ac:dyDescent="0.25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234"/>
      <c r="AK313" s="234"/>
      <c r="AL313" s="234"/>
      <c r="AM313" s="234"/>
      <c r="AN313" s="234"/>
      <c r="AO313" s="234"/>
      <c r="AP313" s="234"/>
      <c r="AQ313" s="234"/>
      <c r="AR313" s="234"/>
      <c r="AS313" s="234"/>
      <c r="AT313" s="234"/>
      <c r="AU313" s="234"/>
      <c r="AV313" s="234"/>
      <c r="AW313" s="234"/>
      <c r="AX313" s="234"/>
      <c r="AY313" s="234"/>
      <c r="AZ313" s="234"/>
      <c r="BA313" s="234"/>
      <c r="BB313" s="234"/>
      <c r="BC313" s="234"/>
      <c r="BD313" s="234"/>
      <c r="BE313" s="234"/>
      <c r="BF313" s="234"/>
      <c r="BG313" s="234"/>
      <c r="BH313" s="234"/>
      <c r="BI313" s="234"/>
      <c r="BJ313" s="234"/>
      <c r="BK313" s="234"/>
      <c r="BL313" s="234"/>
      <c r="BM313" s="234"/>
      <c r="BN313" s="234"/>
      <c r="BO313" s="234"/>
    </row>
    <row r="314" spans="1:67" ht="24" customHeight="1" x14ac:dyDescent="0.25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234"/>
      <c r="AK314" s="234"/>
      <c r="AL314" s="234"/>
      <c r="AM314" s="234"/>
      <c r="AN314" s="234"/>
      <c r="AO314" s="234"/>
      <c r="AP314" s="234"/>
      <c r="AQ314" s="234"/>
      <c r="AR314" s="234"/>
      <c r="AS314" s="234"/>
      <c r="AT314" s="234"/>
      <c r="AU314" s="234"/>
      <c r="AV314" s="234"/>
      <c r="AW314" s="234"/>
      <c r="AX314" s="234"/>
      <c r="AY314" s="234"/>
      <c r="AZ314" s="234"/>
      <c r="BA314" s="234"/>
      <c r="BB314" s="234"/>
      <c r="BC314" s="234"/>
      <c r="BD314" s="234"/>
      <c r="BE314" s="234"/>
      <c r="BF314" s="234"/>
      <c r="BG314" s="234"/>
      <c r="BH314" s="234"/>
      <c r="BI314" s="234"/>
      <c r="BJ314" s="234"/>
      <c r="BK314" s="234"/>
      <c r="BL314" s="234"/>
      <c r="BM314" s="234"/>
      <c r="BN314" s="234"/>
      <c r="BO314" s="234"/>
    </row>
    <row r="315" spans="1:67" ht="24" customHeight="1" x14ac:dyDescent="0.2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234"/>
      <c r="AK315" s="234"/>
      <c r="AL315" s="234"/>
      <c r="AM315" s="234"/>
      <c r="AN315" s="234"/>
      <c r="AO315" s="234"/>
      <c r="AP315" s="234"/>
      <c r="AQ315" s="234"/>
      <c r="AR315" s="234"/>
      <c r="AS315" s="234"/>
      <c r="AT315" s="234"/>
      <c r="AU315" s="234"/>
      <c r="AV315" s="234"/>
      <c r="AW315" s="234"/>
      <c r="AX315" s="234"/>
      <c r="AY315" s="234"/>
      <c r="AZ315" s="234"/>
      <c r="BA315" s="234"/>
      <c r="BB315" s="234"/>
      <c r="BC315" s="234"/>
      <c r="BD315" s="234"/>
      <c r="BE315" s="234"/>
      <c r="BF315" s="234"/>
      <c r="BG315" s="234"/>
      <c r="BH315" s="234"/>
      <c r="BI315" s="234"/>
      <c r="BJ315" s="234"/>
      <c r="BK315" s="234"/>
      <c r="BL315" s="234"/>
      <c r="BM315" s="234"/>
      <c r="BN315" s="234"/>
      <c r="BO315" s="234"/>
    </row>
    <row r="316" spans="1:67" ht="24" customHeight="1" x14ac:dyDescent="0.25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234"/>
      <c r="AK316" s="234"/>
      <c r="AL316" s="234"/>
      <c r="AM316" s="234"/>
      <c r="AN316" s="234"/>
      <c r="AO316" s="234"/>
      <c r="AP316" s="234"/>
      <c r="AQ316" s="234"/>
      <c r="AR316" s="234"/>
      <c r="AS316" s="234"/>
      <c r="AT316" s="234"/>
      <c r="AU316" s="234"/>
      <c r="AV316" s="234"/>
      <c r="AW316" s="234"/>
      <c r="AX316" s="234"/>
      <c r="AY316" s="234"/>
      <c r="AZ316" s="234"/>
      <c r="BA316" s="234"/>
      <c r="BB316" s="234"/>
      <c r="BC316" s="234"/>
      <c r="BD316" s="234"/>
      <c r="BE316" s="234"/>
      <c r="BF316" s="234"/>
      <c r="BG316" s="234"/>
      <c r="BH316" s="234"/>
      <c r="BI316" s="234"/>
      <c r="BJ316" s="234"/>
      <c r="BK316" s="234"/>
      <c r="BL316" s="234"/>
      <c r="BM316" s="234"/>
      <c r="BN316" s="234"/>
      <c r="BO316" s="234"/>
    </row>
    <row r="317" spans="1:67" ht="24" customHeight="1" x14ac:dyDescent="0.25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234"/>
      <c r="AK317" s="234"/>
      <c r="AL317" s="234"/>
      <c r="AM317" s="234"/>
      <c r="AN317" s="234"/>
      <c r="AO317" s="234"/>
      <c r="AP317" s="234"/>
      <c r="AQ317" s="234"/>
      <c r="AR317" s="234"/>
      <c r="AS317" s="234"/>
      <c r="AT317" s="234"/>
      <c r="AU317" s="234"/>
      <c r="AV317" s="234"/>
      <c r="AW317" s="234"/>
      <c r="AX317" s="234"/>
      <c r="AY317" s="234"/>
      <c r="AZ317" s="234"/>
      <c r="BA317" s="234"/>
      <c r="BB317" s="234"/>
      <c r="BC317" s="234"/>
      <c r="BD317" s="234"/>
      <c r="BE317" s="234"/>
      <c r="BF317" s="234"/>
      <c r="BG317" s="234"/>
      <c r="BH317" s="234"/>
      <c r="BI317" s="234"/>
      <c r="BJ317" s="234"/>
      <c r="BK317" s="234"/>
      <c r="BL317" s="234"/>
      <c r="BM317" s="234"/>
      <c r="BN317" s="234"/>
      <c r="BO317" s="234"/>
    </row>
    <row r="318" spans="1:67" ht="24" customHeight="1" x14ac:dyDescent="0.25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234"/>
      <c r="AK318" s="234"/>
      <c r="AL318" s="234"/>
      <c r="AM318" s="234"/>
      <c r="AN318" s="234"/>
      <c r="AO318" s="234"/>
      <c r="AP318" s="234"/>
      <c r="AQ318" s="234"/>
      <c r="AR318" s="234"/>
      <c r="AS318" s="234"/>
      <c r="AT318" s="234"/>
      <c r="AU318" s="234"/>
      <c r="AV318" s="234"/>
      <c r="AW318" s="234"/>
      <c r="AX318" s="234"/>
      <c r="AY318" s="234"/>
      <c r="AZ318" s="234"/>
      <c r="BA318" s="234"/>
      <c r="BB318" s="234"/>
      <c r="BC318" s="234"/>
      <c r="BD318" s="234"/>
      <c r="BE318" s="234"/>
      <c r="BF318" s="234"/>
      <c r="BG318" s="234"/>
      <c r="BH318" s="234"/>
      <c r="BI318" s="234"/>
      <c r="BJ318" s="234"/>
      <c r="BK318" s="234"/>
      <c r="BL318" s="234"/>
      <c r="BM318" s="234"/>
      <c r="BN318" s="234"/>
      <c r="BO318" s="234"/>
    </row>
    <row r="319" spans="1:67" ht="24" customHeight="1" x14ac:dyDescent="0.25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234"/>
      <c r="AK319" s="234"/>
      <c r="AL319" s="234"/>
      <c r="AM319" s="234"/>
      <c r="AN319" s="234"/>
      <c r="AO319" s="234"/>
      <c r="AP319" s="234"/>
      <c r="AQ319" s="234"/>
      <c r="AR319" s="234"/>
      <c r="AS319" s="234"/>
      <c r="AT319" s="234"/>
      <c r="AU319" s="234"/>
      <c r="AV319" s="234"/>
      <c r="AW319" s="234"/>
      <c r="AX319" s="234"/>
      <c r="AY319" s="234"/>
      <c r="AZ319" s="234"/>
      <c r="BA319" s="234"/>
      <c r="BB319" s="234"/>
      <c r="BC319" s="234"/>
      <c r="BD319" s="234"/>
      <c r="BE319" s="234"/>
      <c r="BF319" s="234"/>
      <c r="BG319" s="234"/>
      <c r="BH319" s="234"/>
      <c r="BI319" s="234"/>
      <c r="BJ319" s="234"/>
      <c r="BK319" s="234"/>
      <c r="BL319" s="234"/>
      <c r="BM319" s="234"/>
      <c r="BN319" s="234"/>
      <c r="BO319" s="234"/>
    </row>
    <row r="320" spans="1:67" ht="24" customHeight="1" x14ac:dyDescent="0.25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234"/>
      <c r="AK320" s="234"/>
      <c r="AL320" s="234"/>
      <c r="AM320" s="234"/>
      <c r="AN320" s="234"/>
      <c r="AO320" s="234"/>
      <c r="AP320" s="234"/>
      <c r="AQ320" s="234"/>
      <c r="AR320" s="234"/>
      <c r="AS320" s="234"/>
      <c r="AT320" s="234"/>
      <c r="AU320" s="234"/>
      <c r="AV320" s="234"/>
      <c r="AW320" s="234"/>
      <c r="AX320" s="234"/>
      <c r="AY320" s="234"/>
      <c r="AZ320" s="234"/>
      <c r="BA320" s="234"/>
      <c r="BB320" s="234"/>
      <c r="BC320" s="234"/>
      <c r="BD320" s="234"/>
      <c r="BE320" s="234"/>
      <c r="BF320" s="234"/>
      <c r="BG320" s="234"/>
      <c r="BH320" s="234"/>
      <c r="BI320" s="234"/>
      <c r="BJ320" s="234"/>
      <c r="BK320" s="234"/>
      <c r="BL320" s="234"/>
      <c r="BM320" s="234"/>
      <c r="BN320" s="234"/>
      <c r="BO320" s="234"/>
    </row>
    <row r="321" spans="1:67" ht="24" customHeight="1" x14ac:dyDescent="0.25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234"/>
      <c r="AK321" s="234"/>
      <c r="AL321" s="234"/>
      <c r="AM321" s="234"/>
      <c r="AN321" s="234"/>
      <c r="AO321" s="234"/>
      <c r="AP321" s="234"/>
      <c r="AQ321" s="234"/>
      <c r="AR321" s="234"/>
      <c r="AS321" s="234"/>
      <c r="AT321" s="234"/>
      <c r="AU321" s="234"/>
      <c r="AV321" s="234"/>
      <c r="AW321" s="234"/>
      <c r="AX321" s="234"/>
      <c r="AY321" s="234"/>
      <c r="AZ321" s="234"/>
      <c r="BA321" s="234"/>
      <c r="BB321" s="234"/>
      <c r="BC321" s="234"/>
      <c r="BD321" s="234"/>
      <c r="BE321" s="234"/>
      <c r="BF321" s="234"/>
      <c r="BG321" s="234"/>
      <c r="BH321" s="234"/>
      <c r="BI321" s="234"/>
      <c r="BJ321" s="234"/>
      <c r="BK321" s="234"/>
      <c r="BL321" s="234"/>
      <c r="BM321" s="234"/>
      <c r="BN321" s="234"/>
      <c r="BO321" s="234"/>
    </row>
    <row r="322" spans="1:67" ht="24" customHeight="1" x14ac:dyDescent="0.25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234"/>
      <c r="AK322" s="234"/>
      <c r="AL322" s="234"/>
      <c r="AM322" s="234"/>
      <c r="AN322" s="234"/>
      <c r="AO322" s="234"/>
      <c r="AP322" s="234"/>
      <c r="AQ322" s="234"/>
      <c r="AR322" s="234"/>
      <c r="AS322" s="234"/>
      <c r="AT322" s="234"/>
      <c r="AU322" s="234"/>
      <c r="AV322" s="234"/>
      <c r="AW322" s="234"/>
      <c r="AX322" s="234"/>
      <c r="AY322" s="234"/>
      <c r="AZ322" s="234"/>
      <c r="BA322" s="234"/>
      <c r="BB322" s="234"/>
      <c r="BC322" s="234"/>
      <c r="BD322" s="234"/>
      <c r="BE322" s="234"/>
      <c r="BF322" s="234"/>
      <c r="BG322" s="234"/>
      <c r="BH322" s="234"/>
      <c r="BI322" s="234"/>
      <c r="BJ322" s="234"/>
      <c r="BK322" s="234"/>
      <c r="BL322" s="234"/>
      <c r="BM322" s="234"/>
      <c r="BN322" s="234"/>
      <c r="BO322" s="234"/>
    </row>
    <row r="323" spans="1:67" ht="24" customHeight="1" x14ac:dyDescent="0.25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234"/>
      <c r="AK323" s="234"/>
      <c r="AL323" s="234"/>
      <c r="AM323" s="234"/>
      <c r="AN323" s="234"/>
      <c r="AO323" s="234"/>
      <c r="AP323" s="234"/>
      <c r="AQ323" s="234"/>
      <c r="AR323" s="234"/>
      <c r="AS323" s="234"/>
      <c r="AT323" s="234"/>
      <c r="AU323" s="234"/>
      <c r="AV323" s="234"/>
      <c r="AW323" s="234"/>
      <c r="AX323" s="234"/>
      <c r="AY323" s="234"/>
      <c r="AZ323" s="234"/>
      <c r="BA323" s="234"/>
      <c r="BB323" s="234"/>
      <c r="BC323" s="234"/>
      <c r="BD323" s="234"/>
      <c r="BE323" s="234"/>
      <c r="BF323" s="234"/>
      <c r="BG323" s="234"/>
      <c r="BH323" s="234"/>
      <c r="BI323" s="234"/>
      <c r="BJ323" s="234"/>
      <c r="BK323" s="234"/>
      <c r="BL323" s="234"/>
      <c r="BM323" s="234"/>
      <c r="BN323" s="234"/>
      <c r="BO323" s="234"/>
    </row>
    <row r="324" spans="1:67" ht="24" customHeight="1" x14ac:dyDescent="0.25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234"/>
      <c r="AK324" s="234"/>
      <c r="AL324" s="234"/>
      <c r="AM324" s="234"/>
      <c r="AN324" s="234"/>
      <c r="AO324" s="234"/>
      <c r="AP324" s="234"/>
      <c r="AQ324" s="234"/>
      <c r="AR324" s="234"/>
      <c r="AS324" s="234"/>
      <c r="AT324" s="234"/>
      <c r="AU324" s="234"/>
      <c r="AV324" s="234"/>
      <c r="AW324" s="234"/>
      <c r="AX324" s="234"/>
      <c r="AY324" s="234"/>
      <c r="AZ324" s="234"/>
      <c r="BA324" s="234"/>
      <c r="BB324" s="234"/>
      <c r="BC324" s="234"/>
      <c r="BD324" s="234"/>
      <c r="BE324" s="234"/>
      <c r="BF324" s="234"/>
      <c r="BG324" s="234"/>
      <c r="BH324" s="234"/>
      <c r="BI324" s="234"/>
      <c r="BJ324" s="234"/>
      <c r="BK324" s="234"/>
      <c r="BL324" s="234"/>
      <c r="BM324" s="234"/>
      <c r="BN324" s="234"/>
      <c r="BO324" s="234"/>
    </row>
    <row r="325" spans="1:67" ht="24" customHeight="1" x14ac:dyDescent="0.2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234"/>
      <c r="AK325" s="234"/>
      <c r="AL325" s="234"/>
      <c r="AM325" s="234"/>
      <c r="AN325" s="234"/>
      <c r="AO325" s="234"/>
      <c r="AP325" s="234"/>
      <c r="AQ325" s="234"/>
      <c r="AR325" s="234"/>
      <c r="AS325" s="234"/>
      <c r="AT325" s="234"/>
      <c r="AU325" s="234"/>
      <c r="AV325" s="234"/>
      <c r="AW325" s="234"/>
      <c r="AX325" s="234"/>
      <c r="AY325" s="234"/>
      <c r="AZ325" s="234"/>
      <c r="BA325" s="234"/>
      <c r="BB325" s="234"/>
      <c r="BC325" s="234"/>
      <c r="BD325" s="234"/>
      <c r="BE325" s="234"/>
      <c r="BF325" s="234"/>
      <c r="BG325" s="234"/>
      <c r="BH325" s="234"/>
      <c r="BI325" s="234"/>
      <c r="BJ325" s="234"/>
      <c r="BK325" s="234"/>
      <c r="BL325" s="234"/>
      <c r="BM325" s="234"/>
      <c r="BN325" s="234"/>
      <c r="BO325" s="234"/>
    </row>
    <row r="326" spans="1:67" ht="24" customHeight="1" x14ac:dyDescent="0.25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234"/>
      <c r="AK326" s="234"/>
      <c r="AL326" s="234"/>
      <c r="AM326" s="234"/>
      <c r="AN326" s="234"/>
      <c r="AO326" s="234"/>
      <c r="AP326" s="234"/>
      <c r="AQ326" s="234"/>
      <c r="AR326" s="234"/>
      <c r="AS326" s="234"/>
      <c r="AT326" s="234"/>
      <c r="AU326" s="234"/>
      <c r="AV326" s="234"/>
      <c r="AW326" s="234"/>
      <c r="AX326" s="234"/>
      <c r="AY326" s="234"/>
      <c r="AZ326" s="234"/>
      <c r="BA326" s="234"/>
      <c r="BB326" s="234"/>
      <c r="BC326" s="234"/>
      <c r="BD326" s="234"/>
      <c r="BE326" s="234"/>
      <c r="BF326" s="234"/>
      <c r="BG326" s="234"/>
      <c r="BH326" s="234"/>
      <c r="BI326" s="234"/>
      <c r="BJ326" s="234"/>
      <c r="BK326" s="234"/>
      <c r="BL326" s="234"/>
      <c r="BM326" s="234"/>
      <c r="BN326" s="234"/>
      <c r="BO326" s="234"/>
    </row>
    <row r="327" spans="1:67" ht="24" customHeight="1" x14ac:dyDescent="0.25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234"/>
      <c r="AK327" s="234"/>
      <c r="AL327" s="234"/>
      <c r="AM327" s="234"/>
      <c r="AN327" s="234"/>
      <c r="AO327" s="234"/>
      <c r="AP327" s="234"/>
      <c r="AQ327" s="234"/>
      <c r="AR327" s="234"/>
      <c r="AS327" s="234"/>
      <c r="AT327" s="234"/>
      <c r="AU327" s="234"/>
      <c r="AV327" s="234"/>
      <c r="AW327" s="234"/>
      <c r="AX327" s="234"/>
      <c r="AY327" s="234"/>
      <c r="AZ327" s="234"/>
      <c r="BA327" s="234"/>
      <c r="BB327" s="234"/>
      <c r="BC327" s="234"/>
      <c r="BD327" s="234"/>
      <c r="BE327" s="234"/>
      <c r="BF327" s="234"/>
      <c r="BG327" s="234"/>
      <c r="BH327" s="234"/>
      <c r="BI327" s="234"/>
      <c r="BJ327" s="234"/>
      <c r="BK327" s="234"/>
      <c r="BL327" s="234"/>
      <c r="BM327" s="234"/>
      <c r="BN327" s="234"/>
      <c r="BO327" s="234"/>
    </row>
    <row r="328" spans="1:67" ht="24" customHeight="1" x14ac:dyDescent="0.25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234"/>
      <c r="AK328" s="234"/>
      <c r="AL328" s="234"/>
      <c r="AM328" s="234"/>
      <c r="AN328" s="234"/>
      <c r="AO328" s="234"/>
      <c r="AP328" s="234"/>
      <c r="AQ328" s="234"/>
      <c r="AR328" s="234"/>
      <c r="AS328" s="234"/>
      <c r="AT328" s="234"/>
      <c r="AU328" s="234"/>
      <c r="AV328" s="234"/>
      <c r="AW328" s="234"/>
      <c r="AX328" s="234"/>
      <c r="AY328" s="234"/>
      <c r="AZ328" s="234"/>
      <c r="BA328" s="234"/>
      <c r="BB328" s="234"/>
      <c r="BC328" s="234"/>
      <c r="BD328" s="234"/>
      <c r="BE328" s="234"/>
      <c r="BF328" s="234"/>
      <c r="BG328" s="234"/>
      <c r="BH328" s="234"/>
      <c r="BI328" s="234"/>
      <c r="BJ328" s="234"/>
      <c r="BK328" s="234"/>
      <c r="BL328" s="234"/>
      <c r="BM328" s="234"/>
      <c r="BN328" s="234"/>
      <c r="BO328" s="234"/>
    </row>
    <row r="329" spans="1:67" ht="24" customHeight="1" x14ac:dyDescent="0.25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234"/>
      <c r="AK329" s="234"/>
      <c r="AL329" s="234"/>
      <c r="AM329" s="234"/>
      <c r="AN329" s="234"/>
      <c r="AO329" s="234"/>
      <c r="AP329" s="234"/>
      <c r="AQ329" s="234"/>
      <c r="AR329" s="234"/>
      <c r="AS329" s="234"/>
      <c r="AT329" s="234"/>
      <c r="AU329" s="234"/>
      <c r="AV329" s="234"/>
      <c r="AW329" s="234"/>
      <c r="AX329" s="234"/>
      <c r="AY329" s="234"/>
      <c r="AZ329" s="234"/>
      <c r="BA329" s="234"/>
      <c r="BB329" s="234"/>
      <c r="BC329" s="234"/>
      <c r="BD329" s="234"/>
      <c r="BE329" s="234"/>
      <c r="BF329" s="234"/>
      <c r="BG329" s="234"/>
      <c r="BH329" s="234"/>
      <c r="BI329" s="234"/>
      <c r="BJ329" s="234"/>
      <c r="BK329" s="234"/>
      <c r="BL329" s="234"/>
      <c r="BM329" s="234"/>
      <c r="BN329" s="234"/>
      <c r="BO329" s="234"/>
    </row>
    <row r="330" spans="1:67" ht="24" customHeight="1" x14ac:dyDescent="0.25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234"/>
      <c r="AK330" s="234"/>
      <c r="AL330" s="234"/>
      <c r="AM330" s="234"/>
      <c r="AN330" s="234"/>
      <c r="AO330" s="234"/>
      <c r="AP330" s="234"/>
      <c r="AQ330" s="234"/>
      <c r="AR330" s="234"/>
      <c r="AS330" s="234"/>
      <c r="AT330" s="234"/>
      <c r="AU330" s="234"/>
      <c r="AV330" s="234"/>
      <c r="AW330" s="234"/>
      <c r="AX330" s="234"/>
      <c r="AY330" s="234"/>
      <c r="AZ330" s="234"/>
      <c r="BA330" s="234"/>
      <c r="BB330" s="234"/>
      <c r="BC330" s="234"/>
      <c r="BD330" s="234"/>
      <c r="BE330" s="234"/>
      <c r="BF330" s="234"/>
      <c r="BG330" s="234"/>
      <c r="BH330" s="234"/>
      <c r="BI330" s="234"/>
      <c r="BJ330" s="234"/>
      <c r="BK330" s="234"/>
      <c r="BL330" s="234"/>
      <c r="BM330" s="234"/>
      <c r="BN330" s="234"/>
      <c r="BO330" s="234"/>
    </row>
    <row r="331" spans="1:67" ht="24" customHeight="1" x14ac:dyDescent="0.25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234"/>
      <c r="AK331" s="234"/>
      <c r="AL331" s="234"/>
      <c r="AM331" s="234"/>
      <c r="AN331" s="234"/>
      <c r="AO331" s="234"/>
      <c r="AP331" s="234"/>
      <c r="AQ331" s="234"/>
      <c r="AR331" s="234"/>
      <c r="AS331" s="234"/>
      <c r="AT331" s="234"/>
      <c r="AU331" s="234"/>
      <c r="AV331" s="234"/>
      <c r="AW331" s="234"/>
      <c r="AX331" s="234"/>
      <c r="AY331" s="234"/>
      <c r="AZ331" s="234"/>
      <c r="BA331" s="234"/>
      <c r="BB331" s="234"/>
      <c r="BC331" s="234"/>
      <c r="BD331" s="234"/>
      <c r="BE331" s="234"/>
      <c r="BF331" s="234"/>
      <c r="BG331" s="234"/>
      <c r="BH331" s="234"/>
      <c r="BI331" s="234"/>
      <c r="BJ331" s="234"/>
      <c r="BK331" s="234"/>
      <c r="BL331" s="234"/>
      <c r="BM331" s="234"/>
      <c r="BN331" s="234"/>
      <c r="BO331" s="234"/>
    </row>
    <row r="332" spans="1:67" ht="24" customHeight="1" x14ac:dyDescent="0.25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234"/>
      <c r="AK332" s="234"/>
      <c r="AL332" s="234"/>
      <c r="AM332" s="234"/>
      <c r="AN332" s="234"/>
      <c r="AO332" s="234"/>
      <c r="AP332" s="234"/>
      <c r="AQ332" s="234"/>
      <c r="AR332" s="234"/>
      <c r="AS332" s="234"/>
      <c r="AT332" s="234"/>
      <c r="AU332" s="234"/>
      <c r="AV332" s="234"/>
      <c r="AW332" s="234"/>
      <c r="AX332" s="234"/>
      <c r="AY332" s="234"/>
      <c r="AZ332" s="234"/>
      <c r="BA332" s="234"/>
      <c r="BB332" s="234"/>
      <c r="BC332" s="234"/>
      <c r="BD332" s="234"/>
      <c r="BE332" s="234"/>
      <c r="BF332" s="234"/>
      <c r="BG332" s="234"/>
      <c r="BH332" s="234"/>
      <c r="BI332" s="234"/>
      <c r="BJ332" s="234"/>
      <c r="BK332" s="234"/>
      <c r="BL332" s="234"/>
      <c r="BM332" s="234"/>
      <c r="BN332" s="234"/>
      <c r="BO332" s="234"/>
    </row>
    <row r="333" spans="1:67" ht="24" customHeight="1" x14ac:dyDescent="0.25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234"/>
      <c r="AK333" s="234"/>
      <c r="AL333" s="234"/>
      <c r="AM333" s="234"/>
      <c r="AN333" s="234"/>
      <c r="AO333" s="234"/>
      <c r="AP333" s="234"/>
      <c r="AQ333" s="234"/>
      <c r="AR333" s="234"/>
      <c r="AS333" s="234"/>
      <c r="AT333" s="234"/>
      <c r="AU333" s="234"/>
      <c r="AV333" s="234"/>
      <c r="AW333" s="234"/>
      <c r="AX333" s="234"/>
      <c r="AY333" s="234"/>
      <c r="AZ333" s="234"/>
      <c r="BA333" s="234"/>
      <c r="BB333" s="234"/>
      <c r="BC333" s="234"/>
      <c r="BD333" s="234"/>
      <c r="BE333" s="234"/>
      <c r="BF333" s="234"/>
      <c r="BG333" s="234"/>
      <c r="BH333" s="234"/>
      <c r="BI333" s="234"/>
      <c r="BJ333" s="234"/>
      <c r="BK333" s="234"/>
      <c r="BL333" s="234"/>
      <c r="BM333" s="234"/>
      <c r="BN333" s="234"/>
      <c r="BO333" s="234"/>
    </row>
    <row r="334" spans="1:67" ht="24" customHeight="1" x14ac:dyDescent="0.25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234"/>
      <c r="AK334" s="234"/>
      <c r="AL334" s="234"/>
      <c r="AM334" s="234"/>
      <c r="AN334" s="234"/>
      <c r="AO334" s="234"/>
      <c r="AP334" s="234"/>
      <c r="AQ334" s="234"/>
      <c r="AR334" s="234"/>
      <c r="AS334" s="234"/>
      <c r="AT334" s="234"/>
      <c r="AU334" s="234"/>
      <c r="AV334" s="234"/>
      <c r="AW334" s="234"/>
      <c r="AX334" s="234"/>
      <c r="AY334" s="234"/>
      <c r="AZ334" s="234"/>
      <c r="BA334" s="234"/>
      <c r="BB334" s="234"/>
      <c r="BC334" s="234"/>
      <c r="BD334" s="234"/>
      <c r="BE334" s="234"/>
      <c r="BF334" s="234"/>
      <c r="BG334" s="234"/>
      <c r="BH334" s="234"/>
      <c r="BI334" s="234"/>
      <c r="BJ334" s="234"/>
      <c r="BK334" s="234"/>
      <c r="BL334" s="234"/>
      <c r="BM334" s="234"/>
      <c r="BN334" s="234"/>
      <c r="BO334" s="234"/>
    </row>
    <row r="335" spans="1:67" ht="24" customHeight="1" x14ac:dyDescent="0.2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234"/>
      <c r="AK335" s="234"/>
      <c r="AL335" s="234"/>
      <c r="AM335" s="234"/>
      <c r="AN335" s="234"/>
      <c r="AO335" s="234"/>
      <c r="AP335" s="234"/>
      <c r="AQ335" s="234"/>
      <c r="AR335" s="234"/>
      <c r="AS335" s="234"/>
      <c r="AT335" s="234"/>
      <c r="AU335" s="234"/>
      <c r="AV335" s="234"/>
      <c r="AW335" s="234"/>
      <c r="AX335" s="234"/>
      <c r="AY335" s="234"/>
      <c r="AZ335" s="234"/>
      <c r="BA335" s="234"/>
      <c r="BB335" s="234"/>
      <c r="BC335" s="234"/>
      <c r="BD335" s="234"/>
      <c r="BE335" s="234"/>
      <c r="BF335" s="234"/>
      <c r="BG335" s="234"/>
      <c r="BH335" s="234"/>
      <c r="BI335" s="234"/>
      <c r="BJ335" s="234"/>
      <c r="BK335" s="234"/>
      <c r="BL335" s="234"/>
      <c r="BM335" s="234"/>
      <c r="BN335" s="234"/>
      <c r="BO335" s="234"/>
    </row>
    <row r="336" spans="1:67" ht="24" customHeight="1" x14ac:dyDescent="0.25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234"/>
      <c r="AK336" s="234"/>
      <c r="AL336" s="234"/>
      <c r="AM336" s="234"/>
      <c r="AN336" s="234"/>
      <c r="AO336" s="234"/>
      <c r="AP336" s="234"/>
      <c r="AQ336" s="234"/>
      <c r="AR336" s="234"/>
      <c r="AS336" s="234"/>
      <c r="AT336" s="234"/>
      <c r="AU336" s="234"/>
      <c r="AV336" s="234"/>
      <c r="AW336" s="234"/>
      <c r="AX336" s="234"/>
      <c r="AY336" s="234"/>
      <c r="AZ336" s="234"/>
      <c r="BA336" s="234"/>
      <c r="BB336" s="234"/>
      <c r="BC336" s="234"/>
      <c r="BD336" s="234"/>
      <c r="BE336" s="234"/>
      <c r="BF336" s="234"/>
      <c r="BG336" s="234"/>
      <c r="BH336" s="234"/>
      <c r="BI336" s="234"/>
      <c r="BJ336" s="234"/>
      <c r="BK336" s="234"/>
      <c r="BL336" s="234"/>
      <c r="BM336" s="234"/>
      <c r="BN336" s="234"/>
      <c r="BO336" s="234"/>
    </row>
    <row r="337" spans="1:67" ht="24" customHeight="1" x14ac:dyDescent="0.25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234"/>
      <c r="AK337" s="234"/>
      <c r="AL337" s="234"/>
      <c r="AM337" s="234"/>
      <c r="AN337" s="234"/>
      <c r="AO337" s="234"/>
      <c r="AP337" s="234"/>
      <c r="AQ337" s="234"/>
      <c r="AR337" s="234"/>
      <c r="AS337" s="234"/>
      <c r="AT337" s="234"/>
      <c r="AU337" s="234"/>
      <c r="AV337" s="234"/>
      <c r="AW337" s="234"/>
      <c r="AX337" s="234"/>
      <c r="AY337" s="234"/>
      <c r="AZ337" s="234"/>
      <c r="BA337" s="234"/>
      <c r="BB337" s="234"/>
      <c r="BC337" s="234"/>
      <c r="BD337" s="234"/>
      <c r="BE337" s="234"/>
      <c r="BF337" s="234"/>
      <c r="BG337" s="234"/>
      <c r="BH337" s="234"/>
      <c r="BI337" s="234"/>
      <c r="BJ337" s="234"/>
      <c r="BK337" s="234"/>
      <c r="BL337" s="234"/>
      <c r="BM337" s="234"/>
      <c r="BN337" s="234"/>
      <c r="BO337" s="234"/>
    </row>
    <row r="338" spans="1:67" ht="24" customHeight="1" x14ac:dyDescent="0.25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234"/>
      <c r="AK338" s="234"/>
      <c r="AL338" s="234"/>
      <c r="AM338" s="234"/>
      <c r="AN338" s="234"/>
      <c r="AO338" s="234"/>
      <c r="AP338" s="234"/>
      <c r="AQ338" s="234"/>
      <c r="AR338" s="234"/>
      <c r="AS338" s="234"/>
      <c r="AT338" s="234"/>
      <c r="AU338" s="234"/>
      <c r="AV338" s="234"/>
      <c r="AW338" s="234"/>
      <c r="AX338" s="234"/>
      <c r="AY338" s="234"/>
      <c r="AZ338" s="234"/>
      <c r="BA338" s="234"/>
      <c r="BB338" s="234"/>
      <c r="BC338" s="234"/>
      <c r="BD338" s="234"/>
      <c r="BE338" s="234"/>
      <c r="BF338" s="234"/>
      <c r="BG338" s="234"/>
      <c r="BH338" s="234"/>
      <c r="BI338" s="234"/>
      <c r="BJ338" s="234"/>
      <c r="BK338" s="234"/>
      <c r="BL338" s="234"/>
      <c r="BM338" s="234"/>
      <c r="BN338" s="234"/>
      <c r="BO338" s="234"/>
    </row>
    <row r="339" spans="1:67" ht="24" customHeight="1" x14ac:dyDescent="0.25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234"/>
      <c r="AK339" s="234"/>
      <c r="AL339" s="234"/>
      <c r="AM339" s="234"/>
      <c r="AN339" s="234"/>
      <c r="AO339" s="234"/>
      <c r="AP339" s="234"/>
      <c r="AQ339" s="234"/>
      <c r="AR339" s="234"/>
      <c r="AS339" s="234"/>
      <c r="AT339" s="234"/>
      <c r="AU339" s="234"/>
      <c r="AV339" s="234"/>
      <c r="AW339" s="234"/>
      <c r="AX339" s="234"/>
      <c r="AY339" s="234"/>
      <c r="AZ339" s="234"/>
      <c r="BA339" s="234"/>
      <c r="BB339" s="234"/>
      <c r="BC339" s="234"/>
      <c r="BD339" s="234"/>
      <c r="BE339" s="234"/>
      <c r="BF339" s="234"/>
      <c r="BG339" s="234"/>
      <c r="BH339" s="234"/>
      <c r="BI339" s="234"/>
      <c r="BJ339" s="234"/>
      <c r="BK339" s="234"/>
      <c r="BL339" s="234"/>
      <c r="BM339" s="234"/>
      <c r="BN339" s="234"/>
      <c r="BO339" s="234"/>
    </row>
    <row r="340" spans="1:67" ht="24" customHeight="1" x14ac:dyDescent="0.25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234"/>
      <c r="AK340" s="234"/>
      <c r="AL340" s="234"/>
      <c r="AM340" s="234"/>
      <c r="AN340" s="234"/>
      <c r="AO340" s="234"/>
      <c r="AP340" s="234"/>
      <c r="AQ340" s="234"/>
      <c r="AR340" s="234"/>
      <c r="AS340" s="234"/>
      <c r="AT340" s="234"/>
      <c r="AU340" s="234"/>
      <c r="AV340" s="234"/>
      <c r="AW340" s="234"/>
      <c r="AX340" s="234"/>
      <c r="AY340" s="234"/>
      <c r="AZ340" s="234"/>
      <c r="BA340" s="234"/>
      <c r="BB340" s="234"/>
      <c r="BC340" s="234"/>
      <c r="BD340" s="234"/>
      <c r="BE340" s="234"/>
      <c r="BF340" s="234"/>
      <c r="BG340" s="234"/>
      <c r="BH340" s="234"/>
      <c r="BI340" s="234"/>
      <c r="BJ340" s="234"/>
      <c r="BK340" s="234"/>
      <c r="BL340" s="234"/>
      <c r="BM340" s="234"/>
      <c r="BN340" s="234"/>
      <c r="BO340" s="234"/>
    </row>
    <row r="341" spans="1:67" ht="24" customHeight="1" x14ac:dyDescent="0.25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  <c r="AH341" s="234"/>
      <c r="AI341" s="234"/>
      <c r="AJ341" s="234"/>
      <c r="AK341" s="234"/>
      <c r="AL341" s="234"/>
      <c r="AM341" s="234"/>
      <c r="AN341" s="234"/>
      <c r="AO341" s="234"/>
      <c r="AP341" s="234"/>
      <c r="AQ341" s="234"/>
      <c r="AR341" s="234"/>
      <c r="AS341" s="234"/>
      <c r="AT341" s="234"/>
      <c r="AU341" s="234"/>
      <c r="AV341" s="234"/>
      <c r="AW341" s="234"/>
      <c r="AX341" s="234"/>
      <c r="AY341" s="234"/>
      <c r="AZ341" s="234"/>
      <c r="BA341" s="234"/>
      <c r="BB341" s="234"/>
      <c r="BC341" s="234"/>
      <c r="BD341" s="234"/>
      <c r="BE341" s="234"/>
      <c r="BF341" s="234"/>
      <c r="BG341" s="234"/>
      <c r="BH341" s="234"/>
      <c r="BI341" s="234"/>
      <c r="BJ341" s="234"/>
      <c r="BK341" s="234"/>
      <c r="BL341" s="234"/>
      <c r="BM341" s="234"/>
      <c r="BN341" s="234"/>
      <c r="BO341" s="234"/>
    </row>
    <row r="342" spans="1:67" ht="24" customHeight="1" x14ac:dyDescent="0.25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  <c r="AD342" s="234"/>
      <c r="AE342" s="234"/>
      <c r="AF342" s="234"/>
      <c r="AG342" s="234"/>
      <c r="AH342" s="234"/>
      <c r="AI342" s="234"/>
      <c r="AJ342" s="234"/>
      <c r="AK342" s="234"/>
      <c r="AL342" s="234"/>
      <c r="AM342" s="234"/>
      <c r="AN342" s="234"/>
      <c r="AO342" s="234"/>
      <c r="AP342" s="234"/>
      <c r="AQ342" s="234"/>
      <c r="AR342" s="234"/>
      <c r="AS342" s="234"/>
      <c r="AT342" s="234"/>
      <c r="AU342" s="234"/>
      <c r="AV342" s="234"/>
      <c r="AW342" s="234"/>
      <c r="AX342" s="234"/>
      <c r="AY342" s="234"/>
      <c r="AZ342" s="234"/>
      <c r="BA342" s="234"/>
      <c r="BB342" s="234"/>
      <c r="BC342" s="234"/>
      <c r="BD342" s="234"/>
      <c r="BE342" s="234"/>
      <c r="BF342" s="234"/>
      <c r="BG342" s="234"/>
      <c r="BH342" s="234"/>
      <c r="BI342" s="234"/>
      <c r="BJ342" s="234"/>
      <c r="BK342" s="234"/>
      <c r="BL342" s="234"/>
      <c r="BM342" s="234"/>
      <c r="BN342" s="234"/>
      <c r="BO342" s="234"/>
    </row>
    <row r="343" spans="1:67" ht="24" customHeight="1" x14ac:dyDescent="0.25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  <c r="AD343" s="234"/>
      <c r="AE343" s="234"/>
      <c r="AF343" s="234"/>
      <c r="AG343" s="234"/>
      <c r="AH343" s="234"/>
      <c r="AI343" s="234"/>
      <c r="AJ343" s="234"/>
      <c r="AK343" s="234"/>
      <c r="AL343" s="234"/>
      <c r="AM343" s="234"/>
      <c r="AN343" s="234"/>
      <c r="AO343" s="234"/>
      <c r="AP343" s="234"/>
      <c r="AQ343" s="234"/>
      <c r="AR343" s="234"/>
      <c r="AS343" s="234"/>
      <c r="AT343" s="234"/>
      <c r="AU343" s="234"/>
      <c r="AV343" s="234"/>
      <c r="AW343" s="234"/>
      <c r="AX343" s="234"/>
      <c r="AY343" s="234"/>
      <c r="AZ343" s="234"/>
      <c r="BA343" s="234"/>
      <c r="BB343" s="234"/>
      <c r="BC343" s="234"/>
      <c r="BD343" s="234"/>
      <c r="BE343" s="234"/>
      <c r="BF343" s="234"/>
      <c r="BG343" s="234"/>
      <c r="BH343" s="234"/>
      <c r="BI343" s="234"/>
      <c r="BJ343" s="234"/>
      <c r="BK343" s="234"/>
      <c r="BL343" s="234"/>
      <c r="BM343" s="234"/>
      <c r="BN343" s="234"/>
      <c r="BO343" s="234"/>
    </row>
    <row r="344" spans="1:67" ht="24" customHeight="1" x14ac:dyDescent="0.25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  <c r="AD344" s="234"/>
      <c r="AE344" s="234"/>
      <c r="AF344" s="234"/>
      <c r="AG344" s="234"/>
      <c r="AH344" s="234"/>
      <c r="AI344" s="234"/>
      <c r="AJ344" s="234"/>
      <c r="AK344" s="234"/>
      <c r="AL344" s="234"/>
      <c r="AM344" s="234"/>
      <c r="AN344" s="234"/>
      <c r="AO344" s="234"/>
      <c r="AP344" s="234"/>
      <c r="AQ344" s="234"/>
      <c r="AR344" s="234"/>
      <c r="AS344" s="234"/>
      <c r="AT344" s="234"/>
      <c r="AU344" s="234"/>
      <c r="AV344" s="234"/>
      <c r="AW344" s="234"/>
      <c r="AX344" s="234"/>
      <c r="AY344" s="234"/>
      <c r="AZ344" s="234"/>
      <c r="BA344" s="234"/>
      <c r="BB344" s="234"/>
      <c r="BC344" s="234"/>
      <c r="BD344" s="234"/>
      <c r="BE344" s="234"/>
      <c r="BF344" s="234"/>
      <c r="BG344" s="234"/>
      <c r="BH344" s="234"/>
      <c r="BI344" s="234"/>
      <c r="BJ344" s="234"/>
      <c r="BK344" s="234"/>
      <c r="BL344" s="234"/>
      <c r="BM344" s="234"/>
      <c r="BN344" s="234"/>
      <c r="BO344" s="234"/>
    </row>
    <row r="345" spans="1:67" ht="24" customHeight="1" x14ac:dyDescent="0.2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  <c r="AD345" s="234"/>
      <c r="AE345" s="234"/>
      <c r="AF345" s="234"/>
      <c r="AG345" s="234"/>
      <c r="AH345" s="234"/>
      <c r="AI345" s="234"/>
      <c r="AJ345" s="234"/>
      <c r="AK345" s="234"/>
      <c r="AL345" s="234"/>
      <c r="AM345" s="234"/>
      <c r="AN345" s="234"/>
      <c r="AO345" s="234"/>
      <c r="AP345" s="234"/>
      <c r="AQ345" s="234"/>
      <c r="AR345" s="234"/>
      <c r="AS345" s="234"/>
      <c r="AT345" s="234"/>
      <c r="AU345" s="234"/>
      <c r="AV345" s="234"/>
      <c r="AW345" s="234"/>
      <c r="AX345" s="234"/>
      <c r="AY345" s="234"/>
      <c r="AZ345" s="234"/>
      <c r="BA345" s="234"/>
      <c r="BB345" s="234"/>
      <c r="BC345" s="234"/>
      <c r="BD345" s="234"/>
      <c r="BE345" s="234"/>
      <c r="BF345" s="234"/>
      <c r="BG345" s="234"/>
      <c r="BH345" s="234"/>
      <c r="BI345" s="234"/>
      <c r="BJ345" s="234"/>
      <c r="BK345" s="234"/>
      <c r="BL345" s="234"/>
      <c r="BM345" s="234"/>
      <c r="BN345" s="234"/>
      <c r="BO345" s="234"/>
    </row>
    <row r="346" spans="1:67" ht="24" customHeight="1" x14ac:dyDescent="0.25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  <c r="AD346" s="234"/>
      <c r="AE346" s="234"/>
      <c r="AF346" s="234"/>
      <c r="AG346" s="234"/>
      <c r="AH346" s="234"/>
      <c r="AI346" s="234"/>
      <c r="AJ346" s="234"/>
      <c r="AK346" s="234"/>
      <c r="AL346" s="234"/>
      <c r="AM346" s="234"/>
      <c r="AN346" s="234"/>
      <c r="AO346" s="234"/>
      <c r="AP346" s="234"/>
      <c r="AQ346" s="234"/>
      <c r="AR346" s="234"/>
      <c r="AS346" s="234"/>
      <c r="AT346" s="234"/>
      <c r="AU346" s="234"/>
      <c r="AV346" s="234"/>
      <c r="AW346" s="234"/>
      <c r="AX346" s="234"/>
      <c r="AY346" s="234"/>
      <c r="AZ346" s="234"/>
      <c r="BA346" s="234"/>
      <c r="BB346" s="234"/>
      <c r="BC346" s="234"/>
      <c r="BD346" s="234"/>
      <c r="BE346" s="234"/>
      <c r="BF346" s="234"/>
      <c r="BG346" s="234"/>
      <c r="BH346" s="234"/>
      <c r="BI346" s="234"/>
      <c r="BJ346" s="234"/>
      <c r="BK346" s="234"/>
      <c r="BL346" s="234"/>
      <c r="BM346" s="234"/>
      <c r="BN346" s="234"/>
      <c r="BO346" s="234"/>
    </row>
    <row r="347" spans="1:67" ht="24" customHeight="1" x14ac:dyDescent="0.25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  <c r="AD347" s="234"/>
      <c r="AE347" s="234"/>
      <c r="AF347" s="234"/>
      <c r="AG347" s="234"/>
      <c r="AH347" s="234"/>
      <c r="AI347" s="234"/>
      <c r="AJ347" s="234"/>
      <c r="AK347" s="234"/>
      <c r="AL347" s="234"/>
      <c r="AM347" s="234"/>
      <c r="AN347" s="234"/>
      <c r="AO347" s="234"/>
      <c r="AP347" s="234"/>
      <c r="AQ347" s="234"/>
      <c r="AR347" s="234"/>
      <c r="AS347" s="234"/>
      <c r="AT347" s="234"/>
      <c r="AU347" s="234"/>
      <c r="AV347" s="234"/>
      <c r="AW347" s="234"/>
      <c r="AX347" s="234"/>
      <c r="AY347" s="234"/>
      <c r="AZ347" s="234"/>
      <c r="BA347" s="234"/>
      <c r="BB347" s="234"/>
      <c r="BC347" s="234"/>
      <c r="BD347" s="234"/>
      <c r="BE347" s="234"/>
      <c r="BF347" s="234"/>
      <c r="BG347" s="234"/>
      <c r="BH347" s="234"/>
      <c r="BI347" s="234"/>
      <c r="BJ347" s="234"/>
      <c r="BK347" s="234"/>
      <c r="BL347" s="234"/>
      <c r="BM347" s="234"/>
      <c r="BN347" s="234"/>
      <c r="BO347" s="234"/>
    </row>
    <row r="348" spans="1:67" ht="24" customHeight="1" x14ac:dyDescent="0.25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  <c r="AD348" s="234"/>
      <c r="AE348" s="234"/>
      <c r="AF348" s="234"/>
      <c r="AG348" s="234"/>
      <c r="AH348" s="234"/>
      <c r="AI348" s="234"/>
      <c r="AJ348" s="234"/>
      <c r="AK348" s="234"/>
      <c r="AL348" s="234"/>
      <c r="AM348" s="234"/>
      <c r="AN348" s="234"/>
      <c r="AO348" s="234"/>
      <c r="AP348" s="234"/>
      <c r="AQ348" s="234"/>
      <c r="AR348" s="234"/>
      <c r="AS348" s="234"/>
      <c r="AT348" s="234"/>
      <c r="AU348" s="234"/>
      <c r="AV348" s="234"/>
      <c r="AW348" s="234"/>
      <c r="AX348" s="234"/>
      <c r="AY348" s="234"/>
      <c r="AZ348" s="234"/>
      <c r="BA348" s="234"/>
      <c r="BB348" s="234"/>
      <c r="BC348" s="234"/>
      <c r="BD348" s="234"/>
      <c r="BE348" s="234"/>
      <c r="BF348" s="234"/>
      <c r="BG348" s="234"/>
      <c r="BH348" s="234"/>
      <c r="BI348" s="234"/>
      <c r="BJ348" s="234"/>
      <c r="BK348" s="234"/>
      <c r="BL348" s="234"/>
      <c r="BM348" s="234"/>
      <c r="BN348" s="234"/>
      <c r="BO348" s="234"/>
    </row>
    <row r="349" spans="1:67" ht="24" customHeight="1" x14ac:dyDescent="0.25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  <c r="AD349" s="234"/>
      <c r="AE349" s="234"/>
      <c r="AF349" s="234"/>
      <c r="AG349" s="234"/>
      <c r="AH349" s="234"/>
      <c r="AI349" s="234"/>
      <c r="AJ349" s="234"/>
      <c r="AK349" s="234"/>
      <c r="AL349" s="234"/>
      <c r="AM349" s="234"/>
      <c r="AN349" s="234"/>
      <c r="AO349" s="234"/>
      <c r="AP349" s="234"/>
      <c r="AQ349" s="234"/>
      <c r="AR349" s="234"/>
      <c r="AS349" s="234"/>
      <c r="AT349" s="234"/>
      <c r="AU349" s="234"/>
      <c r="AV349" s="234"/>
      <c r="AW349" s="234"/>
      <c r="AX349" s="234"/>
      <c r="AY349" s="234"/>
      <c r="AZ349" s="234"/>
      <c r="BA349" s="234"/>
      <c r="BB349" s="234"/>
      <c r="BC349" s="234"/>
      <c r="BD349" s="234"/>
      <c r="BE349" s="234"/>
      <c r="BF349" s="234"/>
      <c r="BG349" s="234"/>
      <c r="BH349" s="234"/>
      <c r="BI349" s="234"/>
      <c r="BJ349" s="234"/>
      <c r="BK349" s="234"/>
      <c r="BL349" s="234"/>
      <c r="BM349" s="234"/>
      <c r="BN349" s="234"/>
      <c r="BO349" s="234"/>
    </row>
    <row r="350" spans="1:67" ht="24" customHeight="1" x14ac:dyDescent="0.25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  <c r="AD350" s="234"/>
      <c r="AE350" s="234"/>
      <c r="AF350" s="234"/>
      <c r="AG350" s="234"/>
      <c r="AH350" s="234"/>
      <c r="AI350" s="234"/>
      <c r="AJ350" s="234"/>
      <c r="AK350" s="234"/>
      <c r="AL350" s="234"/>
      <c r="AM350" s="234"/>
      <c r="AN350" s="234"/>
      <c r="AO350" s="234"/>
      <c r="AP350" s="234"/>
      <c r="AQ350" s="234"/>
      <c r="AR350" s="234"/>
      <c r="AS350" s="234"/>
      <c r="AT350" s="234"/>
      <c r="AU350" s="234"/>
      <c r="AV350" s="234"/>
      <c r="AW350" s="234"/>
      <c r="AX350" s="234"/>
      <c r="AY350" s="234"/>
      <c r="AZ350" s="234"/>
      <c r="BA350" s="234"/>
      <c r="BB350" s="234"/>
      <c r="BC350" s="234"/>
      <c r="BD350" s="234"/>
      <c r="BE350" s="234"/>
      <c r="BF350" s="234"/>
      <c r="BG350" s="234"/>
      <c r="BH350" s="234"/>
      <c r="BI350" s="234"/>
      <c r="BJ350" s="234"/>
      <c r="BK350" s="234"/>
      <c r="BL350" s="234"/>
      <c r="BM350" s="234"/>
      <c r="BN350" s="234"/>
      <c r="BO350" s="234"/>
    </row>
    <row r="351" spans="1:67" ht="24" customHeight="1" x14ac:dyDescent="0.25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4"/>
      <c r="AH351" s="234"/>
      <c r="AI351" s="234"/>
      <c r="AJ351" s="234"/>
      <c r="AK351" s="234"/>
      <c r="AL351" s="234"/>
      <c r="AM351" s="234"/>
      <c r="AN351" s="234"/>
      <c r="AO351" s="234"/>
      <c r="AP351" s="234"/>
      <c r="AQ351" s="234"/>
      <c r="AR351" s="234"/>
      <c r="AS351" s="234"/>
      <c r="AT351" s="234"/>
      <c r="AU351" s="234"/>
      <c r="AV351" s="234"/>
      <c r="AW351" s="234"/>
      <c r="AX351" s="234"/>
      <c r="AY351" s="234"/>
      <c r="AZ351" s="234"/>
      <c r="BA351" s="234"/>
      <c r="BB351" s="234"/>
      <c r="BC351" s="234"/>
      <c r="BD351" s="234"/>
      <c r="BE351" s="234"/>
      <c r="BF351" s="234"/>
      <c r="BG351" s="234"/>
      <c r="BH351" s="234"/>
      <c r="BI351" s="234"/>
      <c r="BJ351" s="234"/>
      <c r="BK351" s="234"/>
      <c r="BL351" s="234"/>
      <c r="BM351" s="234"/>
      <c r="BN351" s="234"/>
      <c r="BO351" s="234"/>
    </row>
    <row r="352" spans="1:67" ht="24" customHeight="1" x14ac:dyDescent="0.25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  <c r="AD352" s="234"/>
      <c r="AE352" s="234"/>
      <c r="AF352" s="234"/>
      <c r="AG352" s="234"/>
      <c r="AH352" s="234"/>
      <c r="AI352" s="234"/>
      <c r="AJ352" s="234"/>
      <c r="AK352" s="234"/>
      <c r="AL352" s="234"/>
      <c r="AM352" s="234"/>
      <c r="AN352" s="234"/>
      <c r="AO352" s="234"/>
      <c r="AP352" s="234"/>
      <c r="AQ352" s="234"/>
      <c r="AR352" s="234"/>
      <c r="AS352" s="234"/>
      <c r="AT352" s="234"/>
      <c r="AU352" s="234"/>
      <c r="AV352" s="234"/>
      <c r="AW352" s="234"/>
      <c r="AX352" s="234"/>
      <c r="AY352" s="234"/>
      <c r="AZ352" s="234"/>
      <c r="BA352" s="234"/>
      <c r="BB352" s="234"/>
      <c r="BC352" s="234"/>
      <c r="BD352" s="234"/>
      <c r="BE352" s="234"/>
      <c r="BF352" s="234"/>
      <c r="BG352" s="234"/>
      <c r="BH352" s="234"/>
      <c r="BI352" s="234"/>
      <c r="BJ352" s="234"/>
      <c r="BK352" s="234"/>
      <c r="BL352" s="234"/>
      <c r="BM352" s="234"/>
      <c r="BN352" s="234"/>
      <c r="BO352" s="234"/>
    </row>
    <row r="353" spans="1:67" ht="24" customHeight="1" x14ac:dyDescent="0.25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34"/>
      <c r="AJ353" s="234"/>
      <c r="AK353" s="234"/>
      <c r="AL353" s="234"/>
      <c r="AM353" s="234"/>
      <c r="AN353" s="234"/>
      <c r="AO353" s="234"/>
      <c r="AP353" s="234"/>
      <c r="AQ353" s="234"/>
      <c r="AR353" s="234"/>
      <c r="AS353" s="234"/>
      <c r="AT353" s="234"/>
      <c r="AU353" s="234"/>
      <c r="AV353" s="234"/>
      <c r="AW353" s="234"/>
      <c r="AX353" s="234"/>
      <c r="AY353" s="234"/>
      <c r="AZ353" s="234"/>
      <c r="BA353" s="234"/>
      <c r="BB353" s="234"/>
      <c r="BC353" s="234"/>
      <c r="BD353" s="234"/>
      <c r="BE353" s="234"/>
      <c r="BF353" s="234"/>
      <c r="BG353" s="234"/>
      <c r="BH353" s="234"/>
      <c r="BI353" s="234"/>
      <c r="BJ353" s="234"/>
      <c r="BK353" s="234"/>
      <c r="BL353" s="234"/>
      <c r="BM353" s="234"/>
      <c r="BN353" s="234"/>
      <c r="BO353" s="234"/>
    </row>
    <row r="354" spans="1:67" ht="24" customHeight="1" x14ac:dyDescent="0.25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34"/>
      <c r="AJ354" s="234"/>
      <c r="AK354" s="234"/>
      <c r="AL354" s="234"/>
      <c r="AM354" s="234"/>
      <c r="AN354" s="234"/>
      <c r="AO354" s="234"/>
      <c r="AP354" s="234"/>
      <c r="AQ354" s="234"/>
      <c r="AR354" s="234"/>
      <c r="AS354" s="234"/>
      <c r="AT354" s="234"/>
      <c r="AU354" s="234"/>
      <c r="AV354" s="234"/>
      <c r="AW354" s="234"/>
      <c r="AX354" s="234"/>
      <c r="AY354" s="234"/>
      <c r="AZ354" s="234"/>
      <c r="BA354" s="234"/>
      <c r="BB354" s="234"/>
      <c r="BC354" s="234"/>
      <c r="BD354" s="234"/>
      <c r="BE354" s="234"/>
      <c r="BF354" s="234"/>
      <c r="BG354" s="234"/>
      <c r="BH354" s="234"/>
      <c r="BI354" s="234"/>
      <c r="BJ354" s="234"/>
      <c r="BK354" s="234"/>
      <c r="BL354" s="234"/>
      <c r="BM354" s="234"/>
      <c r="BN354" s="234"/>
      <c r="BO354" s="234"/>
    </row>
    <row r="355" spans="1:67" ht="24" customHeight="1" x14ac:dyDescent="0.2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  <c r="AD355" s="234"/>
      <c r="AE355" s="234"/>
      <c r="AF355" s="234"/>
      <c r="AG355" s="234"/>
      <c r="AH355" s="234"/>
      <c r="AI355" s="234"/>
      <c r="AJ355" s="234"/>
      <c r="AK355" s="234"/>
      <c r="AL355" s="234"/>
      <c r="AM355" s="234"/>
      <c r="AN355" s="234"/>
      <c r="AO355" s="234"/>
      <c r="AP355" s="234"/>
      <c r="AQ355" s="234"/>
      <c r="AR355" s="234"/>
      <c r="AS355" s="234"/>
      <c r="AT355" s="234"/>
      <c r="AU355" s="234"/>
      <c r="AV355" s="234"/>
      <c r="AW355" s="234"/>
      <c r="AX355" s="234"/>
      <c r="AY355" s="234"/>
      <c r="AZ355" s="234"/>
      <c r="BA355" s="234"/>
      <c r="BB355" s="234"/>
      <c r="BC355" s="234"/>
      <c r="BD355" s="234"/>
      <c r="BE355" s="234"/>
      <c r="BF355" s="234"/>
      <c r="BG355" s="234"/>
      <c r="BH355" s="234"/>
      <c r="BI355" s="234"/>
      <c r="BJ355" s="234"/>
      <c r="BK355" s="234"/>
      <c r="BL355" s="234"/>
      <c r="BM355" s="234"/>
      <c r="BN355" s="234"/>
      <c r="BO355" s="234"/>
    </row>
    <row r="356" spans="1:67" ht="24" customHeight="1" x14ac:dyDescent="0.25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  <c r="AD356" s="234"/>
      <c r="AE356" s="234"/>
      <c r="AF356" s="234"/>
      <c r="AG356" s="234"/>
      <c r="AH356" s="234"/>
      <c r="AI356" s="234"/>
      <c r="AJ356" s="234"/>
      <c r="AK356" s="234"/>
      <c r="AL356" s="234"/>
      <c r="AM356" s="234"/>
      <c r="AN356" s="234"/>
      <c r="AO356" s="234"/>
      <c r="AP356" s="234"/>
      <c r="AQ356" s="234"/>
      <c r="AR356" s="234"/>
      <c r="AS356" s="234"/>
      <c r="AT356" s="234"/>
      <c r="AU356" s="234"/>
      <c r="AV356" s="234"/>
      <c r="AW356" s="234"/>
      <c r="AX356" s="234"/>
      <c r="AY356" s="234"/>
      <c r="AZ356" s="234"/>
      <c r="BA356" s="234"/>
      <c r="BB356" s="234"/>
      <c r="BC356" s="234"/>
      <c r="BD356" s="234"/>
      <c r="BE356" s="234"/>
      <c r="BF356" s="234"/>
      <c r="BG356" s="234"/>
      <c r="BH356" s="234"/>
      <c r="BI356" s="234"/>
      <c r="BJ356" s="234"/>
      <c r="BK356" s="234"/>
      <c r="BL356" s="234"/>
      <c r="BM356" s="234"/>
      <c r="BN356" s="234"/>
      <c r="BO356" s="234"/>
    </row>
    <row r="357" spans="1:67" ht="24" customHeight="1" x14ac:dyDescent="0.25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  <c r="AD357" s="234"/>
      <c r="AE357" s="234"/>
      <c r="AF357" s="234"/>
      <c r="AG357" s="234"/>
      <c r="AH357" s="234"/>
      <c r="AI357" s="234"/>
      <c r="AJ357" s="234"/>
      <c r="AK357" s="234"/>
      <c r="AL357" s="234"/>
      <c r="AM357" s="234"/>
      <c r="AN357" s="234"/>
      <c r="AO357" s="234"/>
      <c r="AP357" s="234"/>
      <c r="AQ357" s="234"/>
      <c r="AR357" s="234"/>
      <c r="AS357" s="234"/>
      <c r="AT357" s="234"/>
      <c r="AU357" s="234"/>
      <c r="AV357" s="234"/>
      <c r="AW357" s="234"/>
      <c r="AX357" s="234"/>
      <c r="AY357" s="234"/>
      <c r="AZ357" s="234"/>
      <c r="BA357" s="234"/>
      <c r="BB357" s="234"/>
      <c r="BC357" s="234"/>
      <c r="BD357" s="234"/>
      <c r="BE357" s="234"/>
      <c r="BF357" s="234"/>
      <c r="BG357" s="234"/>
      <c r="BH357" s="234"/>
      <c r="BI357" s="234"/>
      <c r="BJ357" s="234"/>
      <c r="BK357" s="234"/>
      <c r="BL357" s="234"/>
      <c r="BM357" s="234"/>
      <c r="BN357" s="234"/>
      <c r="BO357" s="234"/>
    </row>
    <row r="358" spans="1:67" ht="24" customHeight="1" x14ac:dyDescent="0.25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  <c r="AD358" s="234"/>
      <c r="AE358" s="234"/>
      <c r="AF358" s="234"/>
      <c r="AG358" s="234"/>
      <c r="AH358" s="234"/>
      <c r="AI358" s="234"/>
      <c r="AJ358" s="234"/>
      <c r="AK358" s="234"/>
      <c r="AL358" s="234"/>
      <c r="AM358" s="234"/>
      <c r="AN358" s="234"/>
      <c r="AO358" s="234"/>
      <c r="AP358" s="234"/>
      <c r="AQ358" s="234"/>
      <c r="AR358" s="234"/>
      <c r="AS358" s="234"/>
      <c r="AT358" s="234"/>
      <c r="AU358" s="234"/>
      <c r="AV358" s="234"/>
      <c r="AW358" s="234"/>
      <c r="AX358" s="234"/>
      <c r="AY358" s="234"/>
      <c r="AZ358" s="234"/>
      <c r="BA358" s="234"/>
      <c r="BB358" s="234"/>
      <c r="BC358" s="234"/>
      <c r="BD358" s="234"/>
      <c r="BE358" s="234"/>
      <c r="BF358" s="234"/>
      <c r="BG358" s="234"/>
      <c r="BH358" s="234"/>
      <c r="BI358" s="234"/>
      <c r="BJ358" s="234"/>
      <c r="BK358" s="234"/>
      <c r="BL358" s="234"/>
      <c r="BM358" s="234"/>
      <c r="BN358" s="234"/>
      <c r="BO358" s="234"/>
    </row>
    <row r="359" spans="1:67" ht="24" customHeight="1" x14ac:dyDescent="0.25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  <c r="AD359" s="234"/>
      <c r="AE359" s="234"/>
      <c r="AF359" s="234"/>
      <c r="AG359" s="234"/>
      <c r="AH359" s="234"/>
      <c r="AI359" s="234"/>
      <c r="AJ359" s="234"/>
      <c r="AK359" s="234"/>
      <c r="AL359" s="234"/>
      <c r="AM359" s="234"/>
      <c r="AN359" s="234"/>
      <c r="AO359" s="234"/>
      <c r="AP359" s="234"/>
      <c r="AQ359" s="234"/>
      <c r="AR359" s="234"/>
      <c r="AS359" s="234"/>
      <c r="AT359" s="234"/>
      <c r="AU359" s="234"/>
      <c r="AV359" s="234"/>
      <c r="AW359" s="234"/>
      <c r="AX359" s="234"/>
      <c r="AY359" s="234"/>
      <c r="AZ359" s="234"/>
      <c r="BA359" s="234"/>
      <c r="BB359" s="234"/>
      <c r="BC359" s="234"/>
      <c r="BD359" s="234"/>
      <c r="BE359" s="234"/>
      <c r="BF359" s="234"/>
      <c r="BG359" s="234"/>
      <c r="BH359" s="234"/>
      <c r="BI359" s="234"/>
      <c r="BJ359" s="234"/>
      <c r="BK359" s="234"/>
      <c r="BL359" s="234"/>
      <c r="BM359" s="234"/>
      <c r="BN359" s="234"/>
      <c r="BO359" s="234"/>
    </row>
    <row r="360" spans="1:67" ht="24" customHeight="1" x14ac:dyDescent="0.25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  <c r="AD360" s="234"/>
      <c r="AE360" s="234"/>
      <c r="AF360" s="234"/>
      <c r="AG360" s="234"/>
      <c r="AH360" s="234"/>
      <c r="AI360" s="234"/>
      <c r="AJ360" s="234"/>
      <c r="AK360" s="234"/>
      <c r="AL360" s="234"/>
      <c r="AM360" s="234"/>
      <c r="AN360" s="234"/>
      <c r="AO360" s="234"/>
      <c r="AP360" s="234"/>
      <c r="AQ360" s="234"/>
      <c r="AR360" s="234"/>
      <c r="AS360" s="234"/>
      <c r="AT360" s="234"/>
      <c r="AU360" s="234"/>
      <c r="AV360" s="234"/>
      <c r="AW360" s="234"/>
      <c r="AX360" s="234"/>
      <c r="AY360" s="234"/>
      <c r="AZ360" s="234"/>
      <c r="BA360" s="234"/>
      <c r="BB360" s="234"/>
      <c r="BC360" s="234"/>
      <c r="BD360" s="234"/>
      <c r="BE360" s="234"/>
      <c r="BF360" s="234"/>
      <c r="BG360" s="234"/>
      <c r="BH360" s="234"/>
      <c r="BI360" s="234"/>
      <c r="BJ360" s="234"/>
      <c r="BK360" s="234"/>
      <c r="BL360" s="234"/>
      <c r="BM360" s="234"/>
      <c r="BN360" s="234"/>
      <c r="BO360" s="234"/>
    </row>
    <row r="361" spans="1:67" ht="24" customHeight="1" x14ac:dyDescent="0.25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  <c r="AD361" s="234"/>
      <c r="AE361" s="234"/>
      <c r="AF361" s="234"/>
      <c r="AG361" s="234"/>
      <c r="AH361" s="234"/>
      <c r="AI361" s="234"/>
      <c r="AJ361" s="234"/>
      <c r="AK361" s="234"/>
      <c r="AL361" s="234"/>
      <c r="AM361" s="234"/>
      <c r="AN361" s="234"/>
      <c r="AO361" s="234"/>
      <c r="AP361" s="234"/>
      <c r="AQ361" s="234"/>
      <c r="AR361" s="234"/>
      <c r="AS361" s="234"/>
      <c r="AT361" s="234"/>
      <c r="AU361" s="234"/>
      <c r="AV361" s="234"/>
      <c r="AW361" s="234"/>
      <c r="AX361" s="234"/>
      <c r="AY361" s="234"/>
      <c r="AZ361" s="234"/>
      <c r="BA361" s="234"/>
      <c r="BB361" s="234"/>
      <c r="BC361" s="234"/>
      <c r="BD361" s="234"/>
      <c r="BE361" s="234"/>
      <c r="BF361" s="234"/>
      <c r="BG361" s="234"/>
      <c r="BH361" s="234"/>
      <c r="BI361" s="234"/>
      <c r="BJ361" s="234"/>
      <c r="BK361" s="234"/>
      <c r="BL361" s="234"/>
      <c r="BM361" s="234"/>
      <c r="BN361" s="234"/>
      <c r="BO361" s="234"/>
    </row>
    <row r="362" spans="1:67" ht="24" customHeight="1" x14ac:dyDescent="0.25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  <c r="AD362" s="234"/>
      <c r="AE362" s="234"/>
      <c r="AF362" s="234"/>
      <c r="AG362" s="234"/>
      <c r="AH362" s="234"/>
      <c r="AI362" s="234"/>
      <c r="AJ362" s="234"/>
      <c r="AK362" s="234"/>
      <c r="AL362" s="234"/>
      <c r="AM362" s="234"/>
      <c r="AN362" s="234"/>
      <c r="AO362" s="234"/>
      <c r="AP362" s="234"/>
      <c r="AQ362" s="234"/>
      <c r="AR362" s="234"/>
      <c r="AS362" s="234"/>
      <c r="AT362" s="234"/>
      <c r="AU362" s="234"/>
      <c r="AV362" s="234"/>
      <c r="AW362" s="234"/>
      <c r="AX362" s="234"/>
      <c r="AY362" s="234"/>
      <c r="AZ362" s="234"/>
      <c r="BA362" s="234"/>
      <c r="BB362" s="234"/>
      <c r="BC362" s="234"/>
      <c r="BD362" s="234"/>
      <c r="BE362" s="234"/>
      <c r="BF362" s="234"/>
      <c r="BG362" s="234"/>
      <c r="BH362" s="234"/>
      <c r="BI362" s="234"/>
      <c r="BJ362" s="234"/>
      <c r="BK362" s="234"/>
      <c r="BL362" s="234"/>
      <c r="BM362" s="234"/>
      <c r="BN362" s="234"/>
      <c r="BO362" s="234"/>
    </row>
    <row r="363" spans="1:67" ht="24" customHeight="1" x14ac:dyDescent="0.25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  <c r="AD363" s="234"/>
      <c r="AE363" s="234"/>
      <c r="AF363" s="234"/>
      <c r="AG363" s="234"/>
      <c r="AH363" s="234"/>
      <c r="AI363" s="234"/>
      <c r="AJ363" s="234"/>
      <c r="AK363" s="234"/>
      <c r="AL363" s="234"/>
      <c r="AM363" s="234"/>
      <c r="AN363" s="234"/>
      <c r="AO363" s="234"/>
      <c r="AP363" s="234"/>
      <c r="AQ363" s="234"/>
      <c r="AR363" s="234"/>
      <c r="AS363" s="234"/>
      <c r="AT363" s="234"/>
      <c r="AU363" s="234"/>
      <c r="AV363" s="234"/>
      <c r="AW363" s="234"/>
      <c r="AX363" s="234"/>
      <c r="AY363" s="234"/>
      <c r="AZ363" s="234"/>
      <c r="BA363" s="234"/>
      <c r="BB363" s="234"/>
      <c r="BC363" s="234"/>
      <c r="BD363" s="234"/>
      <c r="BE363" s="234"/>
      <c r="BF363" s="234"/>
      <c r="BG363" s="234"/>
      <c r="BH363" s="234"/>
      <c r="BI363" s="234"/>
      <c r="BJ363" s="234"/>
      <c r="BK363" s="234"/>
      <c r="BL363" s="234"/>
      <c r="BM363" s="234"/>
      <c r="BN363" s="234"/>
      <c r="BO363" s="234"/>
    </row>
    <row r="364" spans="1:67" ht="24" customHeight="1" x14ac:dyDescent="0.25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  <c r="AH364" s="234"/>
      <c r="AI364" s="234"/>
      <c r="AJ364" s="234"/>
      <c r="AK364" s="234"/>
      <c r="AL364" s="234"/>
      <c r="AM364" s="234"/>
      <c r="AN364" s="234"/>
      <c r="AO364" s="234"/>
      <c r="AP364" s="234"/>
      <c r="AQ364" s="234"/>
      <c r="AR364" s="234"/>
      <c r="AS364" s="234"/>
      <c r="AT364" s="234"/>
      <c r="AU364" s="234"/>
      <c r="AV364" s="234"/>
      <c r="AW364" s="234"/>
      <c r="AX364" s="234"/>
      <c r="AY364" s="234"/>
      <c r="AZ364" s="234"/>
      <c r="BA364" s="234"/>
      <c r="BB364" s="234"/>
      <c r="BC364" s="234"/>
      <c r="BD364" s="234"/>
      <c r="BE364" s="234"/>
      <c r="BF364" s="234"/>
      <c r="BG364" s="234"/>
      <c r="BH364" s="234"/>
      <c r="BI364" s="234"/>
      <c r="BJ364" s="234"/>
      <c r="BK364" s="234"/>
      <c r="BL364" s="234"/>
      <c r="BM364" s="234"/>
      <c r="BN364" s="234"/>
      <c r="BO364" s="234"/>
    </row>
    <row r="365" spans="1:67" ht="24" customHeight="1" x14ac:dyDescent="0.2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234"/>
      <c r="AK365" s="234"/>
      <c r="AL365" s="234"/>
      <c r="AM365" s="234"/>
      <c r="AN365" s="234"/>
      <c r="AO365" s="234"/>
      <c r="AP365" s="234"/>
      <c r="AQ365" s="234"/>
      <c r="AR365" s="234"/>
      <c r="AS365" s="234"/>
      <c r="AT365" s="234"/>
      <c r="AU365" s="234"/>
      <c r="AV365" s="234"/>
      <c r="AW365" s="234"/>
      <c r="AX365" s="234"/>
      <c r="AY365" s="234"/>
      <c r="AZ365" s="234"/>
      <c r="BA365" s="234"/>
      <c r="BB365" s="234"/>
      <c r="BC365" s="234"/>
      <c r="BD365" s="234"/>
      <c r="BE365" s="234"/>
      <c r="BF365" s="234"/>
      <c r="BG365" s="234"/>
      <c r="BH365" s="234"/>
      <c r="BI365" s="234"/>
      <c r="BJ365" s="234"/>
      <c r="BK365" s="234"/>
      <c r="BL365" s="234"/>
      <c r="BM365" s="234"/>
      <c r="BN365" s="234"/>
      <c r="BO365" s="234"/>
    </row>
    <row r="366" spans="1:67" ht="24" customHeight="1" x14ac:dyDescent="0.25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234"/>
      <c r="AS366" s="234"/>
      <c r="AT366" s="234"/>
      <c r="AU366" s="234"/>
      <c r="AV366" s="234"/>
      <c r="AW366" s="234"/>
      <c r="AX366" s="234"/>
      <c r="AY366" s="234"/>
      <c r="AZ366" s="234"/>
      <c r="BA366" s="234"/>
      <c r="BB366" s="234"/>
      <c r="BC366" s="234"/>
      <c r="BD366" s="234"/>
      <c r="BE366" s="234"/>
      <c r="BF366" s="234"/>
      <c r="BG366" s="234"/>
      <c r="BH366" s="234"/>
      <c r="BI366" s="234"/>
      <c r="BJ366" s="234"/>
      <c r="BK366" s="234"/>
      <c r="BL366" s="234"/>
      <c r="BM366" s="234"/>
      <c r="BN366" s="234"/>
      <c r="BO366" s="234"/>
    </row>
    <row r="367" spans="1:67" ht="24" customHeight="1" x14ac:dyDescent="0.25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234"/>
      <c r="AK367" s="234"/>
      <c r="AL367" s="234"/>
      <c r="AM367" s="234"/>
      <c r="AN367" s="234"/>
      <c r="AO367" s="234"/>
      <c r="AP367" s="234"/>
      <c r="AQ367" s="234"/>
      <c r="AR367" s="234"/>
      <c r="AS367" s="234"/>
      <c r="AT367" s="234"/>
      <c r="AU367" s="234"/>
      <c r="AV367" s="234"/>
      <c r="AW367" s="234"/>
      <c r="AX367" s="234"/>
      <c r="AY367" s="234"/>
      <c r="AZ367" s="234"/>
      <c r="BA367" s="234"/>
      <c r="BB367" s="234"/>
      <c r="BC367" s="234"/>
      <c r="BD367" s="234"/>
      <c r="BE367" s="234"/>
      <c r="BF367" s="234"/>
      <c r="BG367" s="234"/>
      <c r="BH367" s="234"/>
      <c r="BI367" s="234"/>
      <c r="BJ367" s="234"/>
      <c r="BK367" s="234"/>
      <c r="BL367" s="234"/>
      <c r="BM367" s="234"/>
      <c r="BN367" s="234"/>
      <c r="BO367" s="234"/>
    </row>
    <row r="368" spans="1:67" ht="24" customHeight="1" x14ac:dyDescent="0.25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234"/>
      <c r="AK368" s="234"/>
      <c r="AL368" s="234"/>
      <c r="AM368" s="234"/>
      <c r="AN368" s="234"/>
      <c r="AO368" s="234"/>
      <c r="AP368" s="234"/>
      <c r="AQ368" s="234"/>
      <c r="AR368" s="234"/>
      <c r="AS368" s="234"/>
      <c r="AT368" s="234"/>
      <c r="AU368" s="234"/>
      <c r="AV368" s="234"/>
      <c r="AW368" s="234"/>
      <c r="AX368" s="234"/>
      <c r="AY368" s="234"/>
      <c r="AZ368" s="234"/>
      <c r="BA368" s="234"/>
      <c r="BB368" s="234"/>
      <c r="BC368" s="234"/>
      <c r="BD368" s="234"/>
      <c r="BE368" s="234"/>
      <c r="BF368" s="234"/>
      <c r="BG368" s="234"/>
      <c r="BH368" s="234"/>
      <c r="BI368" s="234"/>
      <c r="BJ368" s="234"/>
      <c r="BK368" s="234"/>
      <c r="BL368" s="234"/>
      <c r="BM368" s="234"/>
      <c r="BN368" s="234"/>
      <c r="BO368" s="234"/>
    </row>
    <row r="369" spans="1:67" ht="24" customHeight="1" x14ac:dyDescent="0.25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34"/>
      <c r="AO369" s="234"/>
      <c r="AP369" s="234"/>
      <c r="AQ369" s="234"/>
      <c r="AR369" s="234"/>
      <c r="AS369" s="234"/>
      <c r="AT369" s="234"/>
      <c r="AU369" s="234"/>
      <c r="AV369" s="234"/>
      <c r="AW369" s="234"/>
      <c r="AX369" s="234"/>
      <c r="AY369" s="234"/>
      <c r="AZ369" s="234"/>
      <c r="BA369" s="234"/>
      <c r="BB369" s="234"/>
      <c r="BC369" s="234"/>
      <c r="BD369" s="234"/>
      <c r="BE369" s="234"/>
      <c r="BF369" s="234"/>
      <c r="BG369" s="234"/>
      <c r="BH369" s="234"/>
      <c r="BI369" s="234"/>
      <c r="BJ369" s="234"/>
      <c r="BK369" s="234"/>
      <c r="BL369" s="234"/>
      <c r="BM369" s="234"/>
      <c r="BN369" s="234"/>
      <c r="BO369" s="234"/>
    </row>
    <row r="370" spans="1:67" ht="24" customHeight="1" x14ac:dyDescent="0.25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234"/>
      <c r="AK370" s="234"/>
      <c r="AL370" s="234"/>
      <c r="AM370" s="234"/>
      <c r="AN370" s="234"/>
      <c r="AO370" s="234"/>
      <c r="AP370" s="234"/>
      <c r="AQ370" s="234"/>
      <c r="AR370" s="234"/>
      <c r="AS370" s="234"/>
      <c r="AT370" s="234"/>
      <c r="AU370" s="234"/>
      <c r="AV370" s="234"/>
      <c r="AW370" s="234"/>
      <c r="AX370" s="234"/>
      <c r="AY370" s="234"/>
      <c r="AZ370" s="234"/>
      <c r="BA370" s="234"/>
      <c r="BB370" s="234"/>
      <c r="BC370" s="234"/>
      <c r="BD370" s="234"/>
      <c r="BE370" s="234"/>
      <c r="BF370" s="234"/>
      <c r="BG370" s="234"/>
      <c r="BH370" s="234"/>
      <c r="BI370" s="234"/>
      <c r="BJ370" s="234"/>
      <c r="BK370" s="234"/>
      <c r="BL370" s="234"/>
      <c r="BM370" s="234"/>
      <c r="BN370" s="234"/>
      <c r="BO370" s="234"/>
    </row>
    <row r="371" spans="1:67" ht="24" customHeight="1" x14ac:dyDescent="0.25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234"/>
      <c r="AK371" s="234"/>
      <c r="AL371" s="234"/>
      <c r="AM371" s="234"/>
      <c r="AN371" s="234"/>
      <c r="AO371" s="234"/>
      <c r="AP371" s="234"/>
      <c r="AQ371" s="234"/>
      <c r="AR371" s="234"/>
      <c r="AS371" s="234"/>
      <c r="AT371" s="234"/>
      <c r="AU371" s="234"/>
      <c r="AV371" s="234"/>
      <c r="AW371" s="234"/>
      <c r="AX371" s="234"/>
      <c r="AY371" s="234"/>
      <c r="AZ371" s="234"/>
      <c r="BA371" s="234"/>
      <c r="BB371" s="234"/>
      <c r="BC371" s="234"/>
      <c r="BD371" s="234"/>
      <c r="BE371" s="234"/>
      <c r="BF371" s="234"/>
      <c r="BG371" s="234"/>
      <c r="BH371" s="234"/>
      <c r="BI371" s="234"/>
      <c r="BJ371" s="234"/>
      <c r="BK371" s="234"/>
      <c r="BL371" s="234"/>
      <c r="BM371" s="234"/>
      <c r="BN371" s="234"/>
      <c r="BO371" s="234"/>
    </row>
    <row r="372" spans="1:67" ht="24" customHeight="1" x14ac:dyDescent="0.25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234"/>
      <c r="AK372" s="234"/>
      <c r="AL372" s="234"/>
      <c r="AM372" s="234"/>
      <c r="AN372" s="234"/>
      <c r="AO372" s="234"/>
      <c r="AP372" s="234"/>
      <c r="AQ372" s="234"/>
      <c r="AR372" s="234"/>
      <c r="AS372" s="234"/>
      <c r="AT372" s="234"/>
      <c r="AU372" s="234"/>
      <c r="AV372" s="234"/>
      <c r="AW372" s="234"/>
      <c r="AX372" s="234"/>
      <c r="AY372" s="234"/>
      <c r="AZ372" s="234"/>
      <c r="BA372" s="234"/>
      <c r="BB372" s="234"/>
      <c r="BC372" s="234"/>
      <c r="BD372" s="234"/>
      <c r="BE372" s="234"/>
      <c r="BF372" s="234"/>
      <c r="BG372" s="234"/>
      <c r="BH372" s="234"/>
      <c r="BI372" s="234"/>
      <c r="BJ372" s="234"/>
      <c r="BK372" s="234"/>
      <c r="BL372" s="234"/>
      <c r="BM372" s="234"/>
      <c r="BN372" s="234"/>
      <c r="BO372" s="234"/>
    </row>
    <row r="373" spans="1:67" ht="24" customHeight="1" x14ac:dyDescent="0.25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234"/>
      <c r="AK373" s="234"/>
      <c r="AL373" s="234"/>
      <c r="AM373" s="234"/>
      <c r="AN373" s="234"/>
      <c r="AO373" s="234"/>
      <c r="AP373" s="234"/>
      <c r="AQ373" s="234"/>
      <c r="AR373" s="234"/>
      <c r="AS373" s="234"/>
      <c r="AT373" s="234"/>
      <c r="AU373" s="234"/>
      <c r="AV373" s="234"/>
      <c r="AW373" s="234"/>
      <c r="AX373" s="234"/>
      <c r="AY373" s="234"/>
      <c r="AZ373" s="234"/>
      <c r="BA373" s="234"/>
      <c r="BB373" s="234"/>
      <c r="BC373" s="234"/>
      <c r="BD373" s="234"/>
      <c r="BE373" s="234"/>
      <c r="BF373" s="234"/>
      <c r="BG373" s="234"/>
      <c r="BH373" s="234"/>
      <c r="BI373" s="234"/>
      <c r="BJ373" s="234"/>
      <c r="BK373" s="234"/>
      <c r="BL373" s="234"/>
      <c r="BM373" s="234"/>
      <c r="BN373" s="234"/>
      <c r="BO373" s="234"/>
    </row>
    <row r="374" spans="1:67" ht="24" customHeight="1" x14ac:dyDescent="0.25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234"/>
      <c r="AK374" s="234"/>
      <c r="AL374" s="234"/>
      <c r="AM374" s="234"/>
      <c r="AN374" s="234"/>
      <c r="AO374" s="234"/>
      <c r="AP374" s="234"/>
      <c r="AQ374" s="234"/>
      <c r="AR374" s="234"/>
      <c r="AS374" s="234"/>
      <c r="AT374" s="234"/>
      <c r="AU374" s="234"/>
      <c r="AV374" s="234"/>
      <c r="AW374" s="234"/>
      <c r="AX374" s="234"/>
      <c r="AY374" s="234"/>
      <c r="AZ374" s="234"/>
      <c r="BA374" s="234"/>
      <c r="BB374" s="234"/>
      <c r="BC374" s="234"/>
      <c r="BD374" s="234"/>
      <c r="BE374" s="234"/>
      <c r="BF374" s="234"/>
      <c r="BG374" s="234"/>
      <c r="BH374" s="234"/>
      <c r="BI374" s="234"/>
      <c r="BJ374" s="234"/>
      <c r="BK374" s="234"/>
      <c r="BL374" s="234"/>
      <c r="BM374" s="234"/>
      <c r="BN374" s="234"/>
      <c r="BO374" s="234"/>
    </row>
    <row r="375" spans="1:67" ht="24" customHeight="1" x14ac:dyDescent="0.2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234"/>
      <c r="AK375" s="234"/>
      <c r="AL375" s="234"/>
      <c r="AM375" s="234"/>
      <c r="AN375" s="234"/>
      <c r="AO375" s="234"/>
      <c r="AP375" s="234"/>
      <c r="AQ375" s="234"/>
      <c r="AR375" s="234"/>
      <c r="AS375" s="234"/>
      <c r="AT375" s="234"/>
      <c r="AU375" s="234"/>
      <c r="AV375" s="234"/>
      <c r="AW375" s="234"/>
      <c r="AX375" s="234"/>
      <c r="AY375" s="234"/>
      <c r="AZ375" s="234"/>
      <c r="BA375" s="234"/>
      <c r="BB375" s="234"/>
      <c r="BC375" s="234"/>
      <c r="BD375" s="234"/>
      <c r="BE375" s="234"/>
      <c r="BF375" s="234"/>
      <c r="BG375" s="234"/>
      <c r="BH375" s="234"/>
      <c r="BI375" s="234"/>
      <c r="BJ375" s="234"/>
      <c r="BK375" s="234"/>
      <c r="BL375" s="234"/>
      <c r="BM375" s="234"/>
      <c r="BN375" s="234"/>
      <c r="BO375" s="234"/>
    </row>
    <row r="376" spans="1:67" ht="24" customHeight="1" x14ac:dyDescent="0.25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234"/>
      <c r="AK376" s="234"/>
      <c r="AL376" s="234"/>
      <c r="AM376" s="234"/>
      <c r="AN376" s="234"/>
      <c r="AO376" s="234"/>
      <c r="AP376" s="234"/>
      <c r="AQ376" s="234"/>
      <c r="AR376" s="234"/>
      <c r="AS376" s="234"/>
      <c r="AT376" s="234"/>
      <c r="AU376" s="234"/>
      <c r="AV376" s="234"/>
      <c r="AW376" s="234"/>
      <c r="AX376" s="234"/>
      <c r="AY376" s="234"/>
      <c r="AZ376" s="234"/>
      <c r="BA376" s="234"/>
      <c r="BB376" s="234"/>
      <c r="BC376" s="234"/>
      <c r="BD376" s="234"/>
      <c r="BE376" s="234"/>
      <c r="BF376" s="234"/>
      <c r="BG376" s="234"/>
      <c r="BH376" s="234"/>
      <c r="BI376" s="234"/>
      <c r="BJ376" s="234"/>
      <c r="BK376" s="234"/>
      <c r="BL376" s="234"/>
      <c r="BM376" s="234"/>
      <c r="BN376" s="234"/>
      <c r="BO376" s="234"/>
    </row>
    <row r="377" spans="1:67" ht="24" customHeight="1" x14ac:dyDescent="0.25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234"/>
      <c r="AK377" s="234"/>
      <c r="AL377" s="234"/>
      <c r="AM377" s="234"/>
      <c r="AN377" s="234"/>
      <c r="AO377" s="234"/>
      <c r="AP377" s="234"/>
      <c r="AQ377" s="234"/>
      <c r="AR377" s="234"/>
      <c r="AS377" s="234"/>
      <c r="AT377" s="234"/>
      <c r="AU377" s="234"/>
      <c r="AV377" s="234"/>
      <c r="AW377" s="234"/>
      <c r="AX377" s="234"/>
      <c r="AY377" s="234"/>
      <c r="AZ377" s="234"/>
      <c r="BA377" s="234"/>
      <c r="BB377" s="234"/>
      <c r="BC377" s="234"/>
      <c r="BD377" s="234"/>
      <c r="BE377" s="234"/>
      <c r="BF377" s="234"/>
      <c r="BG377" s="234"/>
      <c r="BH377" s="234"/>
      <c r="BI377" s="234"/>
      <c r="BJ377" s="234"/>
      <c r="BK377" s="234"/>
      <c r="BL377" s="234"/>
      <c r="BM377" s="234"/>
      <c r="BN377" s="234"/>
      <c r="BO377" s="234"/>
    </row>
    <row r="378" spans="1:67" ht="24" customHeight="1" x14ac:dyDescent="0.25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234"/>
      <c r="AK378" s="234"/>
      <c r="AL378" s="234"/>
      <c r="AM378" s="234"/>
      <c r="AN378" s="234"/>
      <c r="AO378" s="234"/>
      <c r="AP378" s="234"/>
      <c r="AQ378" s="234"/>
      <c r="AR378" s="234"/>
      <c r="AS378" s="234"/>
      <c r="AT378" s="234"/>
      <c r="AU378" s="234"/>
      <c r="AV378" s="234"/>
      <c r="AW378" s="234"/>
      <c r="AX378" s="234"/>
      <c r="AY378" s="234"/>
      <c r="AZ378" s="234"/>
      <c r="BA378" s="234"/>
      <c r="BB378" s="234"/>
      <c r="BC378" s="234"/>
      <c r="BD378" s="234"/>
      <c r="BE378" s="234"/>
      <c r="BF378" s="234"/>
      <c r="BG378" s="234"/>
      <c r="BH378" s="234"/>
      <c r="BI378" s="234"/>
      <c r="BJ378" s="234"/>
      <c r="BK378" s="234"/>
      <c r="BL378" s="234"/>
      <c r="BM378" s="234"/>
      <c r="BN378" s="234"/>
      <c r="BO378" s="234"/>
    </row>
    <row r="379" spans="1:67" ht="24" customHeight="1" x14ac:dyDescent="0.25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234"/>
      <c r="AK379" s="234"/>
      <c r="AL379" s="234"/>
      <c r="AM379" s="234"/>
      <c r="AN379" s="234"/>
      <c r="AO379" s="234"/>
      <c r="AP379" s="234"/>
      <c r="AQ379" s="234"/>
      <c r="AR379" s="234"/>
      <c r="AS379" s="234"/>
      <c r="AT379" s="234"/>
      <c r="AU379" s="234"/>
      <c r="AV379" s="234"/>
      <c r="AW379" s="234"/>
      <c r="AX379" s="234"/>
      <c r="AY379" s="234"/>
      <c r="AZ379" s="234"/>
      <c r="BA379" s="234"/>
      <c r="BB379" s="234"/>
      <c r="BC379" s="234"/>
      <c r="BD379" s="234"/>
      <c r="BE379" s="234"/>
      <c r="BF379" s="234"/>
      <c r="BG379" s="234"/>
      <c r="BH379" s="234"/>
      <c r="BI379" s="234"/>
      <c r="BJ379" s="234"/>
      <c r="BK379" s="234"/>
      <c r="BL379" s="234"/>
      <c r="BM379" s="234"/>
      <c r="BN379" s="234"/>
      <c r="BO379" s="234"/>
    </row>
    <row r="380" spans="1:67" ht="24" customHeight="1" x14ac:dyDescent="0.25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234"/>
      <c r="AK380" s="234"/>
      <c r="AL380" s="234"/>
      <c r="AM380" s="234"/>
      <c r="AN380" s="234"/>
      <c r="AO380" s="234"/>
      <c r="AP380" s="234"/>
      <c r="AQ380" s="234"/>
      <c r="AR380" s="234"/>
      <c r="AS380" s="234"/>
      <c r="AT380" s="234"/>
      <c r="AU380" s="234"/>
      <c r="AV380" s="234"/>
      <c r="AW380" s="234"/>
      <c r="AX380" s="234"/>
      <c r="AY380" s="234"/>
      <c r="AZ380" s="234"/>
      <c r="BA380" s="234"/>
      <c r="BB380" s="234"/>
      <c r="BC380" s="234"/>
      <c r="BD380" s="234"/>
      <c r="BE380" s="234"/>
      <c r="BF380" s="234"/>
      <c r="BG380" s="234"/>
      <c r="BH380" s="234"/>
      <c r="BI380" s="234"/>
      <c r="BJ380" s="234"/>
      <c r="BK380" s="234"/>
      <c r="BL380" s="234"/>
      <c r="BM380" s="234"/>
      <c r="BN380" s="234"/>
      <c r="BO380" s="234"/>
    </row>
    <row r="381" spans="1:67" ht="24" customHeight="1" x14ac:dyDescent="0.25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234"/>
      <c r="AK381" s="234"/>
      <c r="AL381" s="234"/>
      <c r="AM381" s="234"/>
      <c r="AN381" s="234"/>
      <c r="AO381" s="234"/>
      <c r="AP381" s="234"/>
      <c r="AQ381" s="234"/>
      <c r="AR381" s="234"/>
      <c r="AS381" s="234"/>
      <c r="AT381" s="234"/>
      <c r="AU381" s="234"/>
      <c r="AV381" s="234"/>
      <c r="AW381" s="234"/>
      <c r="AX381" s="234"/>
      <c r="AY381" s="234"/>
      <c r="AZ381" s="234"/>
      <c r="BA381" s="234"/>
      <c r="BB381" s="234"/>
      <c r="BC381" s="234"/>
      <c r="BD381" s="234"/>
      <c r="BE381" s="234"/>
      <c r="BF381" s="234"/>
      <c r="BG381" s="234"/>
      <c r="BH381" s="234"/>
      <c r="BI381" s="234"/>
      <c r="BJ381" s="234"/>
      <c r="BK381" s="234"/>
      <c r="BL381" s="234"/>
      <c r="BM381" s="234"/>
      <c r="BN381" s="234"/>
      <c r="BO381" s="234"/>
    </row>
    <row r="382" spans="1:67" ht="24" customHeight="1" x14ac:dyDescent="0.25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234"/>
      <c r="AK382" s="234"/>
      <c r="AL382" s="234"/>
      <c r="AM382" s="234"/>
      <c r="AN382" s="234"/>
      <c r="AO382" s="234"/>
      <c r="AP382" s="234"/>
      <c r="AQ382" s="234"/>
      <c r="AR382" s="234"/>
      <c r="AS382" s="234"/>
      <c r="AT382" s="234"/>
      <c r="AU382" s="234"/>
      <c r="AV382" s="234"/>
      <c r="AW382" s="234"/>
      <c r="AX382" s="234"/>
      <c r="AY382" s="234"/>
      <c r="AZ382" s="234"/>
      <c r="BA382" s="234"/>
      <c r="BB382" s="234"/>
      <c r="BC382" s="234"/>
      <c r="BD382" s="234"/>
      <c r="BE382" s="234"/>
      <c r="BF382" s="234"/>
      <c r="BG382" s="234"/>
      <c r="BH382" s="234"/>
      <c r="BI382" s="234"/>
      <c r="BJ382" s="234"/>
      <c r="BK382" s="234"/>
      <c r="BL382" s="234"/>
      <c r="BM382" s="234"/>
      <c r="BN382" s="234"/>
      <c r="BO382" s="234"/>
    </row>
    <row r="383" spans="1:67" ht="24" customHeight="1" x14ac:dyDescent="0.25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234"/>
      <c r="AK383" s="234"/>
      <c r="AL383" s="234"/>
      <c r="AM383" s="234"/>
      <c r="AN383" s="234"/>
      <c r="AO383" s="234"/>
      <c r="AP383" s="234"/>
      <c r="AQ383" s="234"/>
      <c r="AR383" s="234"/>
      <c r="AS383" s="234"/>
      <c r="AT383" s="234"/>
      <c r="AU383" s="234"/>
      <c r="AV383" s="234"/>
      <c r="AW383" s="234"/>
      <c r="AX383" s="234"/>
      <c r="AY383" s="234"/>
      <c r="AZ383" s="234"/>
      <c r="BA383" s="234"/>
      <c r="BB383" s="234"/>
      <c r="BC383" s="234"/>
      <c r="BD383" s="234"/>
      <c r="BE383" s="234"/>
      <c r="BF383" s="234"/>
      <c r="BG383" s="234"/>
      <c r="BH383" s="234"/>
      <c r="BI383" s="234"/>
      <c r="BJ383" s="234"/>
      <c r="BK383" s="234"/>
      <c r="BL383" s="234"/>
      <c r="BM383" s="234"/>
      <c r="BN383" s="234"/>
      <c r="BO383" s="234"/>
    </row>
    <row r="384" spans="1:67" ht="24" customHeight="1" x14ac:dyDescent="0.25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234"/>
      <c r="AK384" s="234"/>
      <c r="AL384" s="234"/>
      <c r="AM384" s="234"/>
      <c r="AN384" s="234"/>
      <c r="AO384" s="234"/>
      <c r="AP384" s="234"/>
      <c r="AQ384" s="234"/>
      <c r="AR384" s="234"/>
      <c r="AS384" s="234"/>
      <c r="AT384" s="234"/>
      <c r="AU384" s="234"/>
      <c r="AV384" s="234"/>
      <c r="AW384" s="234"/>
      <c r="AX384" s="234"/>
      <c r="AY384" s="234"/>
      <c r="AZ384" s="234"/>
      <c r="BA384" s="234"/>
      <c r="BB384" s="234"/>
      <c r="BC384" s="234"/>
      <c r="BD384" s="234"/>
      <c r="BE384" s="234"/>
      <c r="BF384" s="234"/>
      <c r="BG384" s="234"/>
      <c r="BH384" s="234"/>
      <c r="BI384" s="234"/>
      <c r="BJ384" s="234"/>
      <c r="BK384" s="234"/>
      <c r="BL384" s="234"/>
      <c r="BM384" s="234"/>
      <c r="BN384" s="234"/>
      <c r="BO384" s="234"/>
    </row>
    <row r="385" spans="1:67" ht="24" customHeight="1" x14ac:dyDescent="0.2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234"/>
      <c r="AK385" s="234"/>
      <c r="AL385" s="234"/>
      <c r="AM385" s="234"/>
      <c r="AN385" s="234"/>
      <c r="AO385" s="234"/>
      <c r="AP385" s="234"/>
      <c r="AQ385" s="234"/>
      <c r="AR385" s="234"/>
      <c r="AS385" s="234"/>
      <c r="AT385" s="234"/>
      <c r="AU385" s="234"/>
      <c r="AV385" s="234"/>
      <c r="AW385" s="234"/>
      <c r="AX385" s="234"/>
      <c r="AY385" s="234"/>
      <c r="AZ385" s="234"/>
      <c r="BA385" s="234"/>
      <c r="BB385" s="234"/>
      <c r="BC385" s="234"/>
      <c r="BD385" s="234"/>
      <c r="BE385" s="234"/>
      <c r="BF385" s="234"/>
      <c r="BG385" s="234"/>
      <c r="BH385" s="234"/>
      <c r="BI385" s="234"/>
      <c r="BJ385" s="234"/>
      <c r="BK385" s="234"/>
      <c r="BL385" s="234"/>
      <c r="BM385" s="234"/>
      <c r="BN385" s="234"/>
      <c r="BO385" s="234"/>
    </row>
    <row r="386" spans="1:67" ht="24" customHeight="1" x14ac:dyDescent="0.25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234"/>
      <c r="AK386" s="234"/>
      <c r="AL386" s="234"/>
      <c r="AM386" s="234"/>
      <c r="AN386" s="234"/>
      <c r="AO386" s="234"/>
      <c r="AP386" s="234"/>
      <c r="AQ386" s="234"/>
      <c r="AR386" s="234"/>
      <c r="AS386" s="234"/>
      <c r="AT386" s="234"/>
      <c r="AU386" s="234"/>
      <c r="AV386" s="234"/>
      <c r="AW386" s="234"/>
      <c r="AX386" s="234"/>
      <c r="AY386" s="234"/>
      <c r="AZ386" s="234"/>
      <c r="BA386" s="234"/>
      <c r="BB386" s="234"/>
      <c r="BC386" s="234"/>
      <c r="BD386" s="234"/>
      <c r="BE386" s="234"/>
      <c r="BF386" s="234"/>
      <c r="BG386" s="234"/>
      <c r="BH386" s="234"/>
      <c r="BI386" s="234"/>
      <c r="BJ386" s="234"/>
      <c r="BK386" s="234"/>
      <c r="BL386" s="234"/>
      <c r="BM386" s="234"/>
      <c r="BN386" s="234"/>
      <c r="BO386" s="234"/>
    </row>
    <row r="387" spans="1:67" ht="24" customHeight="1" x14ac:dyDescent="0.25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234"/>
      <c r="AK387" s="234"/>
      <c r="AL387" s="234"/>
      <c r="AM387" s="234"/>
      <c r="AN387" s="234"/>
      <c r="AO387" s="234"/>
      <c r="AP387" s="234"/>
      <c r="AQ387" s="234"/>
      <c r="AR387" s="234"/>
      <c r="AS387" s="234"/>
      <c r="AT387" s="234"/>
      <c r="AU387" s="234"/>
      <c r="AV387" s="234"/>
      <c r="AW387" s="234"/>
      <c r="AX387" s="234"/>
      <c r="AY387" s="234"/>
      <c r="AZ387" s="234"/>
      <c r="BA387" s="234"/>
      <c r="BB387" s="234"/>
      <c r="BC387" s="234"/>
      <c r="BD387" s="234"/>
      <c r="BE387" s="234"/>
      <c r="BF387" s="234"/>
      <c r="BG387" s="234"/>
      <c r="BH387" s="234"/>
      <c r="BI387" s="234"/>
      <c r="BJ387" s="234"/>
      <c r="BK387" s="234"/>
      <c r="BL387" s="234"/>
      <c r="BM387" s="234"/>
      <c r="BN387" s="234"/>
      <c r="BO387" s="234"/>
    </row>
    <row r="388" spans="1:67" ht="24" customHeight="1" x14ac:dyDescent="0.25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234"/>
      <c r="AK388" s="234"/>
      <c r="AL388" s="234"/>
      <c r="AM388" s="234"/>
      <c r="AN388" s="234"/>
      <c r="AO388" s="234"/>
      <c r="AP388" s="234"/>
      <c r="AQ388" s="234"/>
      <c r="AR388" s="234"/>
      <c r="AS388" s="234"/>
      <c r="AT388" s="234"/>
      <c r="AU388" s="234"/>
      <c r="AV388" s="234"/>
      <c r="AW388" s="234"/>
      <c r="AX388" s="234"/>
      <c r="AY388" s="234"/>
      <c r="AZ388" s="234"/>
      <c r="BA388" s="234"/>
      <c r="BB388" s="234"/>
      <c r="BC388" s="234"/>
      <c r="BD388" s="234"/>
      <c r="BE388" s="234"/>
      <c r="BF388" s="234"/>
      <c r="BG388" s="234"/>
      <c r="BH388" s="234"/>
      <c r="BI388" s="234"/>
      <c r="BJ388" s="234"/>
      <c r="BK388" s="234"/>
      <c r="BL388" s="234"/>
      <c r="BM388" s="234"/>
      <c r="BN388" s="234"/>
      <c r="BO388" s="234"/>
    </row>
    <row r="389" spans="1:67" ht="24" customHeight="1" x14ac:dyDescent="0.25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234"/>
      <c r="AK389" s="234"/>
      <c r="AL389" s="234"/>
      <c r="AM389" s="234"/>
      <c r="AN389" s="234"/>
      <c r="AO389" s="234"/>
      <c r="AP389" s="234"/>
      <c r="AQ389" s="234"/>
      <c r="AR389" s="234"/>
      <c r="AS389" s="234"/>
      <c r="AT389" s="234"/>
      <c r="AU389" s="234"/>
      <c r="AV389" s="234"/>
      <c r="AW389" s="234"/>
      <c r="AX389" s="234"/>
      <c r="AY389" s="234"/>
      <c r="AZ389" s="234"/>
      <c r="BA389" s="234"/>
      <c r="BB389" s="234"/>
      <c r="BC389" s="234"/>
      <c r="BD389" s="234"/>
      <c r="BE389" s="234"/>
      <c r="BF389" s="234"/>
      <c r="BG389" s="234"/>
      <c r="BH389" s="234"/>
      <c r="BI389" s="234"/>
      <c r="BJ389" s="234"/>
      <c r="BK389" s="234"/>
      <c r="BL389" s="234"/>
      <c r="BM389" s="234"/>
      <c r="BN389" s="234"/>
      <c r="BO389" s="234"/>
    </row>
    <row r="390" spans="1:67" ht="24" customHeight="1" x14ac:dyDescent="0.25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234"/>
      <c r="AK390" s="234"/>
      <c r="AL390" s="234"/>
      <c r="AM390" s="234"/>
      <c r="AN390" s="234"/>
      <c r="AO390" s="234"/>
      <c r="AP390" s="234"/>
      <c r="AQ390" s="234"/>
      <c r="AR390" s="234"/>
      <c r="AS390" s="234"/>
      <c r="AT390" s="234"/>
      <c r="AU390" s="234"/>
      <c r="AV390" s="234"/>
      <c r="AW390" s="234"/>
      <c r="AX390" s="234"/>
      <c r="AY390" s="234"/>
      <c r="AZ390" s="234"/>
      <c r="BA390" s="234"/>
      <c r="BB390" s="234"/>
      <c r="BC390" s="234"/>
      <c r="BD390" s="234"/>
      <c r="BE390" s="234"/>
      <c r="BF390" s="234"/>
      <c r="BG390" s="234"/>
      <c r="BH390" s="234"/>
      <c r="BI390" s="234"/>
      <c r="BJ390" s="234"/>
      <c r="BK390" s="234"/>
      <c r="BL390" s="234"/>
      <c r="BM390" s="234"/>
      <c r="BN390" s="234"/>
      <c r="BO390" s="234"/>
    </row>
    <row r="391" spans="1:67" ht="24" customHeight="1" x14ac:dyDescent="0.25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234"/>
      <c r="AK391" s="234"/>
      <c r="AL391" s="234"/>
      <c r="AM391" s="234"/>
      <c r="AN391" s="234"/>
      <c r="AO391" s="234"/>
      <c r="AP391" s="234"/>
      <c r="AQ391" s="234"/>
      <c r="AR391" s="234"/>
      <c r="AS391" s="234"/>
      <c r="AT391" s="234"/>
      <c r="AU391" s="234"/>
      <c r="AV391" s="234"/>
      <c r="AW391" s="234"/>
      <c r="AX391" s="234"/>
      <c r="AY391" s="234"/>
      <c r="AZ391" s="234"/>
      <c r="BA391" s="234"/>
      <c r="BB391" s="234"/>
      <c r="BC391" s="234"/>
      <c r="BD391" s="234"/>
      <c r="BE391" s="234"/>
      <c r="BF391" s="234"/>
      <c r="BG391" s="234"/>
      <c r="BH391" s="234"/>
      <c r="BI391" s="234"/>
      <c r="BJ391" s="234"/>
      <c r="BK391" s="234"/>
      <c r="BL391" s="234"/>
      <c r="BM391" s="234"/>
      <c r="BN391" s="234"/>
      <c r="BO391" s="234"/>
    </row>
    <row r="392" spans="1:67" ht="24" customHeight="1" x14ac:dyDescent="0.25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234"/>
      <c r="AK392" s="234"/>
      <c r="AL392" s="234"/>
      <c r="AM392" s="234"/>
      <c r="AN392" s="234"/>
      <c r="AO392" s="234"/>
      <c r="AP392" s="234"/>
      <c r="AQ392" s="234"/>
      <c r="AR392" s="234"/>
      <c r="AS392" s="234"/>
      <c r="AT392" s="234"/>
      <c r="AU392" s="234"/>
      <c r="AV392" s="234"/>
      <c r="AW392" s="234"/>
      <c r="AX392" s="234"/>
      <c r="AY392" s="234"/>
      <c r="AZ392" s="234"/>
      <c r="BA392" s="234"/>
      <c r="BB392" s="234"/>
      <c r="BC392" s="234"/>
      <c r="BD392" s="234"/>
      <c r="BE392" s="234"/>
      <c r="BF392" s="234"/>
      <c r="BG392" s="234"/>
      <c r="BH392" s="234"/>
      <c r="BI392" s="234"/>
      <c r="BJ392" s="234"/>
      <c r="BK392" s="234"/>
      <c r="BL392" s="234"/>
      <c r="BM392" s="234"/>
      <c r="BN392" s="234"/>
      <c r="BO392" s="234"/>
    </row>
    <row r="393" spans="1:67" ht="24" customHeight="1" x14ac:dyDescent="0.25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234"/>
      <c r="AK393" s="234"/>
      <c r="AL393" s="234"/>
      <c r="AM393" s="234"/>
      <c r="AN393" s="234"/>
      <c r="AO393" s="234"/>
      <c r="AP393" s="234"/>
      <c r="AQ393" s="234"/>
      <c r="AR393" s="234"/>
      <c r="AS393" s="234"/>
      <c r="AT393" s="234"/>
      <c r="AU393" s="234"/>
      <c r="AV393" s="234"/>
      <c r="AW393" s="234"/>
      <c r="AX393" s="234"/>
      <c r="AY393" s="234"/>
      <c r="AZ393" s="234"/>
      <c r="BA393" s="234"/>
      <c r="BB393" s="234"/>
      <c r="BC393" s="234"/>
      <c r="BD393" s="234"/>
      <c r="BE393" s="234"/>
      <c r="BF393" s="234"/>
      <c r="BG393" s="234"/>
      <c r="BH393" s="234"/>
      <c r="BI393" s="234"/>
      <c r="BJ393" s="234"/>
      <c r="BK393" s="234"/>
      <c r="BL393" s="234"/>
      <c r="BM393" s="234"/>
      <c r="BN393" s="234"/>
      <c r="BO393" s="234"/>
    </row>
    <row r="394" spans="1:67" ht="24" customHeight="1" x14ac:dyDescent="0.25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234"/>
      <c r="AK394" s="234"/>
      <c r="AL394" s="234"/>
      <c r="AM394" s="234"/>
      <c r="AN394" s="234"/>
      <c r="AO394" s="234"/>
      <c r="AP394" s="234"/>
      <c r="AQ394" s="234"/>
      <c r="AR394" s="234"/>
      <c r="AS394" s="234"/>
      <c r="AT394" s="234"/>
      <c r="AU394" s="234"/>
      <c r="AV394" s="234"/>
      <c r="AW394" s="234"/>
      <c r="AX394" s="234"/>
      <c r="AY394" s="234"/>
      <c r="AZ394" s="234"/>
      <c r="BA394" s="234"/>
      <c r="BB394" s="234"/>
      <c r="BC394" s="234"/>
      <c r="BD394" s="234"/>
      <c r="BE394" s="234"/>
      <c r="BF394" s="234"/>
      <c r="BG394" s="234"/>
      <c r="BH394" s="234"/>
      <c r="BI394" s="234"/>
      <c r="BJ394" s="234"/>
      <c r="BK394" s="234"/>
      <c r="BL394" s="234"/>
      <c r="BM394" s="234"/>
      <c r="BN394" s="234"/>
      <c r="BO394" s="234"/>
    </row>
    <row r="395" spans="1:67" ht="24" customHeight="1" x14ac:dyDescent="0.2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234"/>
      <c r="AK395" s="234"/>
      <c r="AL395" s="234"/>
      <c r="AM395" s="234"/>
      <c r="AN395" s="234"/>
      <c r="AO395" s="234"/>
      <c r="AP395" s="234"/>
      <c r="AQ395" s="234"/>
      <c r="AR395" s="234"/>
      <c r="AS395" s="234"/>
      <c r="AT395" s="234"/>
      <c r="AU395" s="234"/>
      <c r="AV395" s="234"/>
      <c r="AW395" s="234"/>
      <c r="AX395" s="234"/>
      <c r="AY395" s="234"/>
      <c r="AZ395" s="234"/>
      <c r="BA395" s="234"/>
      <c r="BB395" s="234"/>
      <c r="BC395" s="234"/>
      <c r="BD395" s="234"/>
      <c r="BE395" s="234"/>
      <c r="BF395" s="234"/>
      <c r="BG395" s="234"/>
      <c r="BH395" s="234"/>
      <c r="BI395" s="234"/>
      <c r="BJ395" s="234"/>
      <c r="BK395" s="234"/>
      <c r="BL395" s="234"/>
      <c r="BM395" s="234"/>
      <c r="BN395" s="234"/>
      <c r="BO395" s="234"/>
    </row>
    <row r="396" spans="1:67" ht="24" customHeight="1" x14ac:dyDescent="0.25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234"/>
      <c r="AK396" s="234"/>
      <c r="AL396" s="234"/>
      <c r="AM396" s="234"/>
      <c r="AN396" s="234"/>
      <c r="AO396" s="234"/>
      <c r="AP396" s="234"/>
      <c r="AQ396" s="234"/>
      <c r="AR396" s="234"/>
      <c r="AS396" s="234"/>
      <c r="AT396" s="234"/>
      <c r="AU396" s="234"/>
      <c r="AV396" s="234"/>
      <c r="AW396" s="234"/>
      <c r="AX396" s="234"/>
      <c r="AY396" s="234"/>
      <c r="AZ396" s="234"/>
      <c r="BA396" s="234"/>
      <c r="BB396" s="234"/>
      <c r="BC396" s="234"/>
      <c r="BD396" s="234"/>
      <c r="BE396" s="234"/>
      <c r="BF396" s="234"/>
      <c r="BG396" s="234"/>
      <c r="BH396" s="234"/>
      <c r="BI396" s="234"/>
      <c r="BJ396" s="234"/>
      <c r="BK396" s="234"/>
      <c r="BL396" s="234"/>
      <c r="BM396" s="234"/>
      <c r="BN396" s="234"/>
      <c r="BO396" s="234"/>
    </row>
    <row r="397" spans="1:67" ht="24" customHeight="1" x14ac:dyDescent="0.25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234"/>
      <c r="AK397" s="234"/>
      <c r="AL397" s="234"/>
      <c r="AM397" s="234"/>
      <c r="AN397" s="234"/>
      <c r="AO397" s="234"/>
      <c r="AP397" s="234"/>
      <c r="AQ397" s="234"/>
      <c r="AR397" s="234"/>
      <c r="AS397" s="234"/>
      <c r="AT397" s="234"/>
      <c r="AU397" s="234"/>
      <c r="AV397" s="234"/>
      <c r="AW397" s="234"/>
      <c r="AX397" s="234"/>
      <c r="AY397" s="234"/>
      <c r="AZ397" s="234"/>
      <c r="BA397" s="234"/>
      <c r="BB397" s="234"/>
      <c r="BC397" s="234"/>
      <c r="BD397" s="234"/>
      <c r="BE397" s="234"/>
      <c r="BF397" s="234"/>
      <c r="BG397" s="234"/>
      <c r="BH397" s="234"/>
      <c r="BI397" s="234"/>
      <c r="BJ397" s="234"/>
      <c r="BK397" s="234"/>
      <c r="BL397" s="234"/>
      <c r="BM397" s="234"/>
      <c r="BN397" s="234"/>
      <c r="BO397" s="234"/>
    </row>
    <row r="398" spans="1:67" ht="24" customHeight="1" x14ac:dyDescent="0.25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234"/>
      <c r="AK398" s="234"/>
      <c r="AL398" s="234"/>
      <c r="AM398" s="234"/>
      <c r="AN398" s="234"/>
      <c r="AO398" s="234"/>
      <c r="AP398" s="234"/>
      <c r="AQ398" s="234"/>
      <c r="AR398" s="234"/>
      <c r="AS398" s="234"/>
      <c r="AT398" s="234"/>
      <c r="AU398" s="234"/>
      <c r="AV398" s="234"/>
      <c r="AW398" s="234"/>
      <c r="AX398" s="234"/>
      <c r="AY398" s="234"/>
      <c r="AZ398" s="234"/>
      <c r="BA398" s="234"/>
      <c r="BB398" s="234"/>
      <c r="BC398" s="234"/>
      <c r="BD398" s="234"/>
      <c r="BE398" s="234"/>
      <c r="BF398" s="234"/>
      <c r="BG398" s="234"/>
      <c r="BH398" s="234"/>
      <c r="BI398" s="234"/>
      <c r="BJ398" s="234"/>
      <c r="BK398" s="234"/>
      <c r="BL398" s="234"/>
      <c r="BM398" s="234"/>
      <c r="BN398" s="234"/>
      <c r="BO398" s="234"/>
    </row>
    <row r="399" spans="1:67" ht="24" customHeight="1" x14ac:dyDescent="0.25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234"/>
      <c r="AK399" s="234"/>
      <c r="AL399" s="234"/>
      <c r="AM399" s="234"/>
      <c r="AN399" s="234"/>
      <c r="AO399" s="234"/>
      <c r="AP399" s="234"/>
      <c r="AQ399" s="234"/>
      <c r="AR399" s="234"/>
      <c r="AS399" s="234"/>
      <c r="AT399" s="234"/>
      <c r="AU399" s="234"/>
      <c r="AV399" s="234"/>
      <c r="AW399" s="234"/>
      <c r="AX399" s="234"/>
      <c r="AY399" s="234"/>
      <c r="AZ399" s="234"/>
      <c r="BA399" s="234"/>
      <c r="BB399" s="234"/>
      <c r="BC399" s="234"/>
      <c r="BD399" s="234"/>
      <c r="BE399" s="234"/>
      <c r="BF399" s="234"/>
      <c r="BG399" s="234"/>
      <c r="BH399" s="234"/>
      <c r="BI399" s="234"/>
      <c r="BJ399" s="234"/>
      <c r="BK399" s="234"/>
      <c r="BL399" s="234"/>
      <c r="BM399" s="234"/>
      <c r="BN399" s="234"/>
      <c r="BO399" s="234"/>
    </row>
    <row r="400" spans="1:67" ht="24" customHeight="1" x14ac:dyDescent="0.25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234"/>
      <c r="AK400" s="234"/>
      <c r="AL400" s="234"/>
      <c r="AM400" s="234"/>
      <c r="AN400" s="234"/>
      <c r="AO400" s="234"/>
      <c r="AP400" s="234"/>
      <c r="AQ400" s="234"/>
      <c r="AR400" s="234"/>
      <c r="AS400" s="234"/>
      <c r="AT400" s="234"/>
      <c r="AU400" s="234"/>
      <c r="AV400" s="234"/>
      <c r="AW400" s="234"/>
      <c r="AX400" s="234"/>
      <c r="AY400" s="234"/>
      <c r="AZ400" s="234"/>
      <c r="BA400" s="234"/>
      <c r="BB400" s="234"/>
      <c r="BC400" s="234"/>
      <c r="BD400" s="234"/>
      <c r="BE400" s="234"/>
      <c r="BF400" s="234"/>
      <c r="BG400" s="234"/>
      <c r="BH400" s="234"/>
      <c r="BI400" s="234"/>
      <c r="BJ400" s="234"/>
      <c r="BK400" s="234"/>
      <c r="BL400" s="234"/>
      <c r="BM400" s="234"/>
      <c r="BN400" s="234"/>
      <c r="BO400" s="234"/>
    </row>
    <row r="401" spans="1:67" ht="24" customHeight="1" x14ac:dyDescent="0.25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234"/>
      <c r="AK401" s="234"/>
      <c r="AL401" s="234"/>
      <c r="AM401" s="234"/>
      <c r="AN401" s="234"/>
      <c r="AO401" s="234"/>
      <c r="AP401" s="234"/>
      <c r="AQ401" s="234"/>
      <c r="AR401" s="234"/>
      <c r="AS401" s="234"/>
      <c r="AT401" s="234"/>
      <c r="AU401" s="234"/>
      <c r="AV401" s="234"/>
      <c r="AW401" s="234"/>
      <c r="AX401" s="234"/>
      <c r="AY401" s="234"/>
      <c r="AZ401" s="234"/>
      <c r="BA401" s="234"/>
      <c r="BB401" s="234"/>
      <c r="BC401" s="234"/>
      <c r="BD401" s="234"/>
      <c r="BE401" s="234"/>
      <c r="BF401" s="234"/>
      <c r="BG401" s="234"/>
      <c r="BH401" s="234"/>
      <c r="BI401" s="234"/>
      <c r="BJ401" s="234"/>
      <c r="BK401" s="234"/>
      <c r="BL401" s="234"/>
      <c r="BM401" s="234"/>
      <c r="BN401" s="234"/>
      <c r="BO401" s="234"/>
    </row>
    <row r="402" spans="1:67" ht="24" customHeight="1" x14ac:dyDescent="0.25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234"/>
      <c r="AK402" s="234"/>
      <c r="AL402" s="234"/>
      <c r="AM402" s="234"/>
      <c r="AN402" s="234"/>
      <c r="AO402" s="234"/>
      <c r="AP402" s="234"/>
      <c r="AQ402" s="234"/>
      <c r="AR402" s="234"/>
      <c r="AS402" s="234"/>
      <c r="AT402" s="234"/>
      <c r="AU402" s="234"/>
      <c r="AV402" s="234"/>
      <c r="AW402" s="234"/>
      <c r="AX402" s="234"/>
      <c r="AY402" s="234"/>
      <c r="AZ402" s="234"/>
      <c r="BA402" s="234"/>
      <c r="BB402" s="234"/>
      <c r="BC402" s="234"/>
      <c r="BD402" s="234"/>
      <c r="BE402" s="234"/>
      <c r="BF402" s="234"/>
      <c r="BG402" s="234"/>
      <c r="BH402" s="234"/>
      <c r="BI402" s="234"/>
      <c r="BJ402" s="234"/>
      <c r="BK402" s="234"/>
      <c r="BL402" s="234"/>
      <c r="BM402" s="234"/>
      <c r="BN402" s="234"/>
      <c r="BO402" s="234"/>
    </row>
    <row r="403" spans="1:67" ht="24" customHeight="1" x14ac:dyDescent="0.25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234"/>
      <c r="AK403" s="234"/>
      <c r="AL403" s="234"/>
      <c r="AM403" s="234"/>
      <c r="AN403" s="234"/>
      <c r="AO403" s="234"/>
      <c r="AP403" s="234"/>
      <c r="AQ403" s="234"/>
      <c r="AR403" s="234"/>
      <c r="AS403" s="234"/>
      <c r="AT403" s="234"/>
      <c r="AU403" s="234"/>
      <c r="AV403" s="234"/>
      <c r="AW403" s="234"/>
      <c r="AX403" s="234"/>
      <c r="AY403" s="234"/>
      <c r="AZ403" s="234"/>
      <c r="BA403" s="234"/>
      <c r="BB403" s="234"/>
      <c r="BC403" s="234"/>
      <c r="BD403" s="234"/>
      <c r="BE403" s="234"/>
      <c r="BF403" s="234"/>
      <c r="BG403" s="234"/>
      <c r="BH403" s="234"/>
      <c r="BI403" s="234"/>
      <c r="BJ403" s="234"/>
      <c r="BK403" s="234"/>
      <c r="BL403" s="234"/>
      <c r="BM403" s="234"/>
      <c r="BN403" s="234"/>
      <c r="BO403" s="234"/>
    </row>
    <row r="404" spans="1:67" ht="24" customHeight="1" x14ac:dyDescent="0.25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234"/>
      <c r="AK404" s="234"/>
      <c r="AL404" s="234"/>
      <c r="AM404" s="234"/>
      <c r="AN404" s="234"/>
      <c r="AO404" s="234"/>
      <c r="AP404" s="234"/>
      <c r="AQ404" s="234"/>
      <c r="AR404" s="234"/>
      <c r="AS404" s="234"/>
      <c r="AT404" s="234"/>
      <c r="AU404" s="234"/>
      <c r="AV404" s="234"/>
      <c r="AW404" s="234"/>
      <c r="AX404" s="234"/>
      <c r="AY404" s="234"/>
      <c r="AZ404" s="234"/>
      <c r="BA404" s="234"/>
      <c r="BB404" s="234"/>
      <c r="BC404" s="234"/>
      <c r="BD404" s="234"/>
      <c r="BE404" s="234"/>
      <c r="BF404" s="234"/>
      <c r="BG404" s="234"/>
      <c r="BH404" s="234"/>
      <c r="BI404" s="234"/>
      <c r="BJ404" s="234"/>
      <c r="BK404" s="234"/>
      <c r="BL404" s="234"/>
      <c r="BM404" s="234"/>
      <c r="BN404" s="234"/>
      <c r="BO404" s="234"/>
    </row>
    <row r="405" spans="1:67" ht="24" customHeight="1" x14ac:dyDescent="0.2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34"/>
      <c r="AO405" s="234"/>
      <c r="AP405" s="234"/>
      <c r="AQ405" s="234"/>
      <c r="AR405" s="234"/>
      <c r="AS405" s="234"/>
      <c r="AT405" s="234"/>
      <c r="AU405" s="234"/>
      <c r="AV405" s="234"/>
      <c r="AW405" s="234"/>
      <c r="AX405" s="234"/>
      <c r="AY405" s="234"/>
      <c r="AZ405" s="234"/>
      <c r="BA405" s="234"/>
      <c r="BB405" s="234"/>
      <c r="BC405" s="234"/>
      <c r="BD405" s="234"/>
      <c r="BE405" s="234"/>
      <c r="BF405" s="234"/>
      <c r="BG405" s="234"/>
      <c r="BH405" s="234"/>
      <c r="BI405" s="234"/>
      <c r="BJ405" s="234"/>
      <c r="BK405" s="234"/>
      <c r="BL405" s="234"/>
      <c r="BM405" s="234"/>
      <c r="BN405" s="234"/>
      <c r="BO405" s="234"/>
    </row>
    <row r="406" spans="1:67" ht="24" customHeight="1" x14ac:dyDescent="0.25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234"/>
      <c r="AK406" s="234"/>
      <c r="AL406" s="234"/>
      <c r="AM406" s="234"/>
      <c r="AN406" s="234"/>
      <c r="AO406" s="234"/>
      <c r="AP406" s="234"/>
      <c r="AQ406" s="234"/>
      <c r="AR406" s="234"/>
      <c r="AS406" s="234"/>
      <c r="AT406" s="234"/>
      <c r="AU406" s="234"/>
      <c r="AV406" s="234"/>
      <c r="AW406" s="234"/>
      <c r="AX406" s="234"/>
      <c r="AY406" s="234"/>
      <c r="AZ406" s="234"/>
      <c r="BA406" s="234"/>
      <c r="BB406" s="234"/>
      <c r="BC406" s="234"/>
      <c r="BD406" s="234"/>
      <c r="BE406" s="234"/>
      <c r="BF406" s="234"/>
      <c r="BG406" s="234"/>
      <c r="BH406" s="234"/>
      <c r="BI406" s="234"/>
      <c r="BJ406" s="234"/>
      <c r="BK406" s="234"/>
      <c r="BL406" s="234"/>
      <c r="BM406" s="234"/>
      <c r="BN406" s="234"/>
      <c r="BO406" s="234"/>
    </row>
    <row r="407" spans="1:67" ht="24" customHeight="1" x14ac:dyDescent="0.25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34"/>
      <c r="AO407" s="234"/>
      <c r="AP407" s="234"/>
      <c r="AQ407" s="234"/>
      <c r="AR407" s="234"/>
      <c r="AS407" s="234"/>
      <c r="AT407" s="234"/>
      <c r="AU407" s="234"/>
      <c r="AV407" s="234"/>
      <c r="AW407" s="234"/>
      <c r="AX407" s="234"/>
      <c r="AY407" s="234"/>
      <c r="AZ407" s="234"/>
      <c r="BA407" s="234"/>
      <c r="BB407" s="234"/>
      <c r="BC407" s="234"/>
      <c r="BD407" s="234"/>
      <c r="BE407" s="234"/>
      <c r="BF407" s="234"/>
      <c r="BG407" s="234"/>
      <c r="BH407" s="234"/>
      <c r="BI407" s="234"/>
      <c r="BJ407" s="234"/>
      <c r="BK407" s="234"/>
      <c r="BL407" s="234"/>
      <c r="BM407" s="234"/>
      <c r="BN407" s="234"/>
      <c r="BO407" s="234"/>
    </row>
    <row r="408" spans="1:67" ht="24" customHeight="1" x14ac:dyDescent="0.25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234"/>
      <c r="AK408" s="234"/>
      <c r="AL408" s="234"/>
      <c r="AM408" s="234"/>
      <c r="AN408" s="234"/>
      <c r="AO408" s="234"/>
      <c r="AP408" s="234"/>
      <c r="AQ408" s="234"/>
      <c r="AR408" s="234"/>
      <c r="AS408" s="234"/>
      <c r="AT408" s="234"/>
      <c r="AU408" s="234"/>
      <c r="AV408" s="234"/>
      <c r="AW408" s="234"/>
      <c r="AX408" s="234"/>
      <c r="AY408" s="234"/>
      <c r="AZ408" s="234"/>
      <c r="BA408" s="234"/>
      <c r="BB408" s="234"/>
      <c r="BC408" s="234"/>
      <c r="BD408" s="234"/>
      <c r="BE408" s="234"/>
      <c r="BF408" s="234"/>
      <c r="BG408" s="234"/>
      <c r="BH408" s="234"/>
      <c r="BI408" s="234"/>
      <c r="BJ408" s="234"/>
      <c r="BK408" s="234"/>
      <c r="BL408" s="234"/>
      <c r="BM408" s="234"/>
      <c r="BN408" s="234"/>
      <c r="BO408" s="234"/>
    </row>
    <row r="409" spans="1:67" ht="24" customHeight="1" x14ac:dyDescent="0.25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234"/>
      <c r="AK409" s="234"/>
      <c r="AL409" s="234"/>
      <c r="AM409" s="234"/>
      <c r="AN409" s="234"/>
      <c r="AO409" s="234"/>
      <c r="AP409" s="234"/>
      <c r="AQ409" s="234"/>
      <c r="AR409" s="234"/>
      <c r="AS409" s="234"/>
      <c r="AT409" s="234"/>
      <c r="AU409" s="234"/>
      <c r="AV409" s="234"/>
      <c r="AW409" s="234"/>
      <c r="AX409" s="234"/>
      <c r="AY409" s="234"/>
      <c r="AZ409" s="234"/>
      <c r="BA409" s="234"/>
      <c r="BB409" s="234"/>
      <c r="BC409" s="234"/>
      <c r="BD409" s="234"/>
      <c r="BE409" s="234"/>
      <c r="BF409" s="234"/>
      <c r="BG409" s="234"/>
      <c r="BH409" s="234"/>
      <c r="BI409" s="234"/>
      <c r="BJ409" s="234"/>
      <c r="BK409" s="234"/>
      <c r="BL409" s="234"/>
      <c r="BM409" s="234"/>
      <c r="BN409" s="234"/>
      <c r="BO409" s="234"/>
    </row>
    <row r="410" spans="1:67" ht="24" customHeight="1" x14ac:dyDescent="0.25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234"/>
      <c r="AK410" s="234"/>
      <c r="AL410" s="234"/>
      <c r="AM410" s="234"/>
      <c r="AN410" s="234"/>
      <c r="AO410" s="234"/>
      <c r="AP410" s="234"/>
      <c r="AQ410" s="234"/>
      <c r="AR410" s="234"/>
      <c r="AS410" s="234"/>
      <c r="AT410" s="234"/>
      <c r="AU410" s="234"/>
      <c r="AV410" s="234"/>
      <c r="AW410" s="234"/>
      <c r="AX410" s="234"/>
      <c r="AY410" s="234"/>
      <c r="AZ410" s="234"/>
      <c r="BA410" s="234"/>
      <c r="BB410" s="234"/>
      <c r="BC410" s="234"/>
      <c r="BD410" s="234"/>
      <c r="BE410" s="234"/>
      <c r="BF410" s="234"/>
      <c r="BG410" s="234"/>
      <c r="BH410" s="234"/>
      <c r="BI410" s="234"/>
      <c r="BJ410" s="234"/>
      <c r="BK410" s="234"/>
      <c r="BL410" s="234"/>
      <c r="BM410" s="234"/>
      <c r="BN410" s="234"/>
      <c r="BO410" s="234"/>
    </row>
    <row r="411" spans="1:67" ht="24" customHeight="1" x14ac:dyDescent="0.25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234"/>
      <c r="AK411" s="234"/>
      <c r="AL411" s="234"/>
      <c r="AM411" s="234"/>
      <c r="AN411" s="234"/>
      <c r="AO411" s="234"/>
      <c r="AP411" s="234"/>
      <c r="AQ411" s="234"/>
      <c r="AR411" s="234"/>
      <c r="AS411" s="234"/>
      <c r="AT411" s="234"/>
      <c r="AU411" s="234"/>
      <c r="AV411" s="234"/>
      <c r="AW411" s="234"/>
      <c r="AX411" s="234"/>
      <c r="AY411" s="234"/>
      <c r="AZ411" s="234"/>
      <c r="BA411" s="234"/>
      <c r="BB411" s="234"/>
      <c r="BC411" s="234"/>
      <c r="BD411" s="234"/>
      <c r="BE411" s="234"/>
      <c r="BF411" s="234"/>
      <c r="BG411" s="234"/>
      <c r="BH411" s="234"/>
      <c r="BI411" s="234"/>
      <c r="BJ411" s="234"/>
      <c r="BK411" s="234"/>
      <c r="BL411" s="234"/>
      <c r="BM411" s="234"/>
      <c r="BN411" s="234"/>
      <c r="BO411" s="234"/>
    </row>
    <row r="412" spans="1:67" ht="24" customHeight="1" x14ac:dyDescent="0.25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234"/>
      <c r="AK412" s="234"/>
      <c r="AL412" s="234"/>
      <c r="AM412" s="234"/>
      <c r="AN412" s="234"/>
      <c r="AO412" s="234"/>
      <c r="AP412" s="234"/>
      <c r="AQ412" s="234"/>
      <c r="AR412" s="234"/>
      <c r="AS412" s="234"/>
      <c r="AT412" s="234"/>
      <c r="AU412" s="234"/>
      <c r="AV412" s="234"/>
      <c r="AW412" s="234"/>
      <c r="AX412" s="234"/>
      <c r="AY412" s="234"/>
      <c r="AZ412" s="234"/>
      <c r="BA412" s="234"/>
      <c r="BB412" s="234"/>
      <c r="BC412" s="234"/>
      <c r="BD412" s="234"/>
      <c r="BE412" s="234"/>
      <c r="BF412" s="234"/>
      <c r="BG412" s="234"/>
      <c r="BH412" s="234"/>
      <c r="BI412" s="234"/>
      <c r="BJ412" s="234"/>
      <c r="BK412" s="234"/>
      <c r="BL412" s="234"/>
      <c r="BM412" s="234"/>
      <c r="BN412" s="234"/>
      <c r="BO412" s="234"/>
    </row>
    <row r="413" spans="1:67" ht="24" customHeight="1" x14ac:dyDescent="0.25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234"/>
      <c r="AK413" s="234"/>
      <c r="AL413" s="234"/>
      <c r="AM413" s="234"/>
      <c r="AN413" s="234"/>
      <c r="AO413" s="234"/>
      <c r="AP413" s="234"/>
      <c r="AQ413" s="234"/>
      <c r="AR413" s="234"/>
      <c r="AS413" s="234"/>
      <c r="AT413" s="234"/>
      <c r="AU413" s="234"/>
      <c r="AV413" s="234"/>
      <c r="AW413" s="234"/>
      <c r="AX413" s="234"/>
      <c r="AY413" s="234"/>
      <c r="AZ413" s="234"/>
      <c r="BA413" s="234"/>
      <c r="BB413" s="234"/>
      <c r="BC413" s="234"/>
      <c r="BD413" s="234"/>
      <c r="BE413" s="234"/>
      <c r="BF413" s="234"/>
      <c r="BG413" s="234"/>
      <c r="BH413" s="234"/>
      <c r="BI413" s="234"/>
      <c r="BJ413" s="234"/>
      <c r="BK413" s="234"/>
      <c r="BL413" s="234"/>
      <c r="BM413" s="234"/>
      <c r="BN413" s="234"/>
      <c r="BO413" s="234"/>
    </row>
    <row r="414" spans="1:67" ht="24" customHeight="1" x14ac:dyDescent="0.25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234"/>
      <c r="AK414" s="234"/>
      <c r="AL414" s="234"/>
      <c r="AM414" s="234"/>
      <c r="AN414" s="234"/>
      <c r="AO414" s="234"/>
      <c r="AP414" s="234"/>
      <c r="AQ414" s="234"/>
      <c r="AR414" s="234"/>
      <c r="AS414" s="234"/>
      <c r="AT414" s="234"/>
      <c r="AU414" s="234"/>
      <c r="AV414" s="234"/>
      <c r="AW414" s="234"/>
      <c r="AX414" s="234"/>
      <c r="AY414" s="234"/>
      <c r="AZ414" s="234"/>
      <c r="BA414" s="234"/>
      <c r="BB414" s="234"/>
      <c r="BC414" s="234"/>
      <c r="BD414" s="234"/>
      <c r="BE414" s="234"/>
      <c r="BF414" s="234"/>
      <c r="BG414" s="234"/>
      <c r="BH414" s="234"/>
      <c r="BI414" s="234"/>
      <c r="BJ414" s="234"/>
      <c r="BK414" s="234"/>
      <c r="BL414" s="234"/>
      <c r="BM414" s="234"/>
      <c r="BN414" s="234"/>
      <c r="BO414" s="234"/>
    </row>
    <row r="415" spans="1:67" ht="24" customHeight="1" x14ac:dyDescent="0.2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234"/>
      <c r="AK415" s="234"/>
      <c r="AL415" s="234"/>
      <c r="AM415" s="234"/>
      <c r="AN415" s="234"/>
      <c r="AO415" s="234"/>
      <c r="AP415" s="234"/>
      <c r="AQ415" s="234"/>
      <c r="AR415" s="234"/>
      <c r="AS415" s="234"/>
      <c r="AT415" s="234"/>
      <c r="AU415" s="234"/>
      <c r="AV415" s="234"/>
      <c r="AW415" s="234"/>
      <c r="AX415" s="234"/>
      <c r="AY415" s="234"/>
      <c r="AZ415" s="234"/>
      <c r="BA415" s="234"/>
      <c r="BB415" s="234"/>
      <c r="BC415" s="234"/>
      <c r="BD415" s="234"/>
      <c r="BE415" s="234"/>
      <c r="BF415" s="234"/>
      <c r="BG415" s="234"/>
      <c r="BH415" s="234"/>
      <c r="BI415" s="234"/>
      <c r="BJ415" s="234"/>
      <c r="BK415" s="234"/>
      <c r="BL415" s="234"/>
      <c r="BM415" s="234"/>
      <c r="BN415" s="234"/>
      <c r="BO415" s="234"/>
    </row>
    <row r="416" spans="1:67" ht="24" customHeight="1" x14ac:dyDescent="0.25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234"/>
      <c r="AK416" s="234"/>
      <c r="AL416" s="234"/>
      <c r="AM416" s="234"/>
      <c r="AN416" s="234"/>
      <c r="AO416" s="234"/>
      <c r="AP416" s="234"/>
      <c r="AQ416" s="234"/>
      <c r="AR416" s="234"/>
      <c r="AS416" s="234"/>
      <c r="AT416" s="234"/>
      <c r="AU416" s="234"/>
      <c r="AV416" s="234"/>
      <c r="AW416" s="234"/>
      <c r="AX416" s="234"/>
      <c r="AY416" s="234"/>
      <c r="AZ416" s="234"/>
      <c r="BA416" s="234"/>
      <c r="BB416" s="234"/>
      <c r="BC416" s="234"/>
      <c r="BD416" s="234"/>
      <c r="BE416" s="234"/>
      <c r="BF416" s="234"/>
      <c r="BG416" s="234"/>
      <c r="BH416" s="234"/>
      <c r="BI416" s="234"/>
      <c r="BJ416" s="234"/>
      <c r="BK416" s="234"/>
      <c r="BL416" s="234"/>
      <c r="BM416" s="234"/>
      <c r="BN416" s="234"/>
      <c r="BO416" s="234"/>
    </row>
    <row r="417" spans="1:67" ht="24" customHeight="1" x14ac:dyDescent="0.25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234"/>
      <c r="AK417" s="234"/>
      <c r="AL417" s="234"/>
      <c r="AM417" s="234"/>
      <c r="AN417" s="234"/>
      <c r="AO417" s="234"/>
      <c r="AP417" s="234"/>
      <c r="AQ417" s="234"/>
      <c r="AR417" s="234"/>
      <c r="AS417" s="234"/>
      <c r="AT417" s="234"/>
      <c r="AU417" s="234"/>
      <c r="AV417" s="234"/>
      <c r="AW417" s="234"/>
      <c r="AX417" s="234"/>
      <c r="AY417" s="234"/>
      <c r="AZ417" s="234"/>
      <c r="BA417" s="234"/>
      <c r="BB417" s="234"/>
      <c r="BC417" s="234"/>
      <c r="BD417" s="234"/>
      <c r="BE417" s="234"/>
      <c r="BF417" s="234"/>
      <c r="BG417" s="234"/>
      <c r="BH417" s="234"/>
      <c r="BI417" s="234"/>
      <c r="BJ417" s="234"/>
      <c r="BK417" s="234"/>
      <c r="BL417" s="234"/>
      <c r="BM417" s="234"/>
      <c r="BN417" s="234"/>
      <c r="BO417" s="234"/>
    </row>
    <row r="418" spans="1:67" ht="24" customHeight="1" x14ac:dyDescent="0.25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234"/>
      <c r="AK418" s="234"/>
      <c r="AL418" s="234"/>
      <c r="AM418" s="234"/>
      <c r="AN418" s="234"/>
      <c r="AO418" s="234"/>
      <c r="AP418" s="234"/>
      <c r="AQ418" s="234"/>
      <c r="AR418" s="234"/>
      <c r="AS418" s="234"/>
      <c r="AT418" s="234"/>
      <c r="AU418" s="234"/>
      <c r="AV418" s="234"/>
      <c r="AW418" s="234"/>
      <c r="AX418" s="234"/>
      <c r="AY418" s="234"/>
      <c r="AZ418" s="234"/>
      <c r="BA418" s="234"/>
      <c r="BB418" s="234"/>
      <c r="BC418" s="234"/>
      <c r="BD418" s="234"/>
      <c r="BE418" s="234"/>
      <c r="BF418" s="234"/>
      <c r="BG418" s="234"/>
      <c r="BH418" s="234"/>
      <c r="BI418" s="234"/>
      <c r="BJ418" s="234"/>
      <c r="BK418" s="234"/>
      <c r="BL418" s="234"/>
      <c r="BM418" s="234"/>
      <c r="BN418" s="234"/>
      <c r="BO418" s="234"/>
    </row>
    <row r="419" spans="1:67" ht="24" customHeight="1" x14ac:dyDescent="0.25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234"/>
      <c r="AK419" s="234"/>
      <c r="AL419" s="234"/>
      <c r="AM419" s="234"/>
      <c r="AN419" s="234"/>
      <c r="AO419" s="234"/>
      <c r="AP419" s="234"/>
      <c r="AQ419" s="234"/>
      <c r="AR419" s="234"/>
      <c r="AS419" s="234"/>
      <c r="AT419" s="234"/>
      <c r="AU419" s="234"/>
      <c r="AV419" s="234"/>
      <c r="AW419" s="234"/>
      <c r="AX419" s="234"/>
      <c r="AY419" s="234"/>
      <c r="AZ419" s="234"/>
      <c r="BA419" s="234"/>
      <c r="BB419" s="234"/>
      <c r="BC419" s="234"/>
      <c r="BD419" s="234"/>
      <c r="BE419" s="234"/>
      <c r="BF419" s="234"/>
      <c r="BG419" s="234"/>
      <c r="BH419" s="234"/>
      <c r="BI419" s="234"/>
      <c r="BJ419" s="234"/>
      <c r="BK419" s="234"/>
      <c r="BL419" s="234"/>
      <c r="BM419" s="234"/>
      <c r="BN419" s="234"/>
      <c r="BO419" s="234"/>
    </row>
    <row r="420" spans="1:67" ht="24" customHeight="1" x14ac:dyDescent="0.25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234"/>
      <c r="AK420" s="234"/>
      <c r="AL420" s="234"/>
      <c r="AM420" s="234"/>
      <c r="AN420" s="234"/>
      <c r="AO420" s="234"/>
      <c r="AP420" s="234"/>
      <c r="AQ420" s="234"/>
      <c r="AR420" s="234"/>
      <c r="AS420" s="234"/>
      <c r="AT420" s="234"/>
      <c r="AU420" s="234"/>
      <c r="AV420" s="234"/>
      <c r="AW420" s="234"/>
      <c r="AX420" s="234"/>
      <c r="AY420" s="234"/>
      <c r="AZ420" s="234"/>
      <c r="BA420" s="234"/>
      <c r="BB420" s="234"/>
      <c r="BC420" s="234"/>
      <c r="BD420" s="234"/>
      <c r="BE420" s="234"/>
      <c r="BF420" s="234"/>
      <c r="BG420" s="234"/>
      <c r="BH420" s="234"/>
      <c r="BI420" s="234"/>
      <c r="BJ420" s="234"/>
      <c r="BK420" s="234"/>
      <c r="BL420" s="234"/>
      <c r="BM420" s="234"/>
      <c r="BN420" s="234"/>
      <c r="BO420" s="234"/>
    </row>
    <row r="421" spans="1:67" ht="24" customHeight="1" x14ac:dyDescent="0.25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234"/>
      <c r="AK421" s="234"/>
      <c r="AL421" s="234"/>
      <c r="AM421" s="234"/>
      <c r="AN421" s="234"/>
      <c r="AO421" s="234"/>
      <c r="AP421" s="234"/>
      <c r="AQ421" s="234"/>
      <c r="AR421" s="234"/>
      <c r="AS421" s="234"/>
      <c r="AT421" s="234"/>
      <c r="AU421" s="234"/>
      <c r="AV421" s="234"/>
      <c r="AW421" s="234"/>
      <c r="AX421" s="234"/>
      <c r="AY421" s="234"/>
      <c r="AZ421" s="234"/>
      <c r="BA421" s="234"/>
      <c r="BB421" s="234"/>
      <c r="BC421" s="234"/>
      <c r="BD421" s="234"/>
      <c r="BE421" s="234"/>
      <c r="BF421" s="234"/>
      <c r="BG421" s="234"/>
      <c r="BH421" s="234"/>
      <c r="BI421" s="234"/>
      <c r="BJ421" s="234"/>
      <c r="BK421" s="234"/>
      <c r="BL421" s="234"/>
      <c r="BM421" s="234"/>
      <c r="BN421" s="234"/>
      <c r="BO421" s="234"/>
    </row>
    <row r="422" spans="1:67" ht="24" customHeight="1" x14ac:dyDescent="0.25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234"/>
      <c r="AK422" s="234"/>
      <c r="AL422" s="234"/>
      <c r="AM422" s="234"/>
      <c r="AN422" s="234"/>
      <c r="AO422" s="234"/>
      <c r="AP422" s="234"/>
      <c r="AQ422" s="234"/>
      <c r="AR422" s="234"/>
      <c r="AS422" s="234"/>
      <c r="AT422" s="234"/>
      <c r="AU422" s="234"/>
      <c r="AV422" s="234"/>
      <c r="AW422" s="234"/>
      <c r="AX422" s="234"/>
      <c r="AY422" s="234"/>
      <c r="AZ422" s="234"/>
      <c r="BA422" s="234"/>
      <c r="BB422" s="234"/>
      <c r="BC422" s="234"/>
      <c r="BD422" s="234"/>
      <c r="BE422" s="234"/>
      <c r="BF422" s="234"/>
      <c r="BG422" s="234"/>
      <c r="BH422" s="234"/>
      <c r="BI422" s="234"/>
      <c r="BJ422" s="234"/>
      <c r="BK422" s="234"/>
      <c r="BL422" s="234"/>
      <c r="BM422" s="234"/>
      <c r="BN422" s="234"/>
      <c r="BO422" s="234"/>
    </row>
    <row r="423" spans="1:67" ht="24" customHeight="1" x14ac:dyDescent="0.25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234"/>
      <c r="AK423" s="234"/>
      <c r="AL423" s="234"/>
      <c r="AM423" s="234"/>
      <c r="AN423" s="234"/>
      <c r="AO423" s="234"/>
      <c r="AP423" s="234"/>
      <c r="AQ423" s="234"/>
      <c r="AR423" s="234"/>
      <c r="AS423" s="234"/>
      <c r="AT423" s="234"/>
      <c r="AU423" s="234"/>
      <c r="AV423" s="234"/>
      <c r="AW423" s="234"/>
      <c r="AX423" s="234"/>
      <c r="AY423" s="234"/>
      <c r="AZ423" s="234"/>
      <c r="BA423" s="234"/>
      <c r="BB423" s="234"/>
      <c r="BC423" s="234"/>
      <c r="BD423" s="234"/>
      <c r="BE423" s="234"/>
      <c r="BF423" s="234"/>
      <c r="BG423" s="234"/>
      <c r="BH423" s="234"/>
      <c r="BI423" s="234"/>
      <c r="BJ423" s="234"/>
      <c r="BK423" s="234"/>
      <c r="BL423" s="234"/>
      <c r="BM423" s="234"/>
      <c r="BN423" s="234"/>
      <c r="BO423" s="234"/>
    </row>
    <row r="424" spans="1:67" ht="24" customHeight="1" x14ac:dyDescent="0.25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234"/>
      <c r="AK424" s="234"/>
      <c r="AL424" s="234"/>
      <c r="AM424" s="234"/>
      <c r="AN424" s="234"/>
      <c r="AO424" s="234"/>
      <c r="AP424" s="234"/>
      <c r="AQ424" s="234"/>
      <c r="AR424" s="234"/>
      <c r="AS424" s="234"/>
      <c r="AT424" s="234"/>
      <c r="AU424" s="234"/>
      <c r="AV424" s="234"/>
      <c r="AW424" s="234"/>
      <c r="AX424" s="234"/>
      <c r="AY424" s="234"/>
      <c r="AZ424" s="234"/>
      <c r="BA424" s="234"/>
      <c r="BB424" s="234"/>
      <c r="BC424" s="234"/>
      <c r="BD424" s="234"/>
      <c r="BE424" s="234"/>
      <c r="BF424" s="234"/>
      <c r="BG424" s="234"/>
      <c r="BH424" s="234"/>
      <c r="BI424" s="234"/>
      <c r="BJ424" s="234"/>
      <c r="BK424" s="234"/>
      <c r="BL424" s="234"/>
      <c r="BM424" s="234"/>
      <c r="BN424" s="234"/>
      <c r="BO424" s="234"/>
    </row>
    <row r="425" spans="1:67" ht="24" customHeight="1" x14ac:dyDescent="0.2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234"/>
      <c r="AK425" s="234"/>
      <c r="AL425" s="234"/>
      <c r="AM425" s="234"/>
      <c r="AN425" s="234"/>
      <c r="AO425" s="234"/>
      <c r="AP425" s="234"/>
      <c r="AQ425" s="234"/>
      <c r="AR425" s="234"/>
      <c r="AS425" s="234"/>
      <c r="AT425" s="234"/>
      <c r="AU425" s="234"/>
      <c r="AV425" s="234"/>
      <c r="AW425" s="234"/>
      <c r="AX425" s="234"/>
      <c r="AY425" s="234"/>
      <c r="AZ425" s="234"/>
      <c r="BA425" s="234"/>
      <c r="BB425" s="234"/>
      <c r="BC425" s="234"/>
      <c r="BD425" s="234"/>
      <c r="BE425" s="234"/>
      <c r="BF425" s="234"/>
      <c r="BG425" s="234"/>
      <c r="BH425" s="234"/>
      <c r="BI425" s="234"/>
      <c r="BJ425" s="234"/>
      <c r="BK425" s="234"/>
      <c r="BL425" s="234"/>
      <c r="BM425" s="234"/>
      <c r="BN425" s="234"/>
      <c r="BO425" s="234"/>
    </row>
    <row r="426" spans="1:67" ht="24" customHeight="1" x14ac:dyDescent="0.25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234"/>
      <c r="AK426" s="234"/>
      <c r="AL426" s="234"/>
      <c r="AM426" s="234"/>
      <c r="AN426" s="234"/>
      <c r="AO426" s="234"/>
      <c r="AP426" s="234"/>
      <c r="AQ426" s="234"/>
      <c r="AR426" s="234"/>
      <c r="AS426" s="234"/>
      <c r="AT426" s="234"/>
      <c r="AU426" s="234"/>
      <c r="AV426" s="234"/>
      <c r="AW426" s="234"/>
      <c r="AX426" s="234"/>
      <c r="AY426" s="234"/>
      <c r="AZ426" s="234"/>
      <c r="BA426" s="234"/>
      <c r="BB426" s="234"/>
      <c r="BC426" s="234"/>
      <c r="BD426" s="234"/>
      <c r="BE426" s="234"/>
      <c r="BF426" s="234"/>
      <c r="BG426" s="234"/>
      <c r="BH426" s="234"/>
      <c r="BI426" s="234"/>
      <c r="BJ426" s="234"/>
      <c r="BK426" s="234"/>
      <c r="BL426" s="234"/>
      <c r="BM426" s="234"/>
      <c r="BN426" s="234"/>
      <c r="BO426" s="234"/>
    </row>
    <row r="427" spans="1:67" ht="24" customHeight="1" x14ac:dyDescent="0.25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234"/>
      <c r="AK427" s="234"/>
      <c r="AL427" s="234"/>
      <c r="AM427" s="234"/>
      <c r="AN427" s="234"/>
      <c r="AO427" s="234"/>
      <c r="AP427" s="234"/>
      <c r="AQ427" s="234"/>
      <c r="AR427" s="234"/>
      <c r="AS427" s="234"/>
      <c r="AT427" s="234"/>
      <c r="AU427" s="234"/>
      <c r="AV427" s="234"/>
      <c r="AW427" s="234"/>
      <c r="AX427" s="234"/>
      <c r="AY427" s="234"/>
      <c r="AZ427" s="234"/>
      <c r="BA427" s="234"/>
      <c r="BB427" s="234"/>
      <c r="BC427" s="234"/>
      <c r="BD427" s="234"/>
      <c r="BE427" s="234"/>
      <c r="BF427" s="234"/>
      <c r="BG427" s="234"/>
      <c r="BH427" s="234"/>
      <c r="BI427" s="234"/>
      <c r="BJ427" s="234"/>
      <c r="BK427" s="234"/>
      <c r="BL427" s="234"/>
      <c r="BM427" s="234"/>
      <c r="BN427" s="234"/>
      <c r="BO427" s="234"/>
    </row>
    <row r="428" spans="1:67" ht="24" customHeight="1" x14ac:dyDescent="0.25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234"/>
      <c r="AK428" s="234"/>
      <c r="AL428" s="234"/>
      <c r="AM428" s="234"/>
      <c r="AN428" s="234"/>
      <c r="AO428" s="234"/>
      <c r="AP428" s="234"/>
      <c r="AQ428" s="234"/>
      <c r="AR428" s="234"/>
      <c r="AS428" s="234"/>
      <c r="AT428" s="234"/>
      <c r="AU428" s="234"/>
      <c r="AV428" s="234"/>
      <c r="AW428" s="234"/>
      <c r="AX428" s="234"/>
      <c r="AY428" s="234"/>
      <c r="AZ428" s="234"/>
      <c r="BA428" s="234"/>
      <c r="BB428" s="234"/>
      <c r="BC428" s="234"/>
      <c r="BD428" s="234"/>
      <c r="BE428" s="234"/>
      <c r="BF428" s="234"/>
      <c r="BG428" s="234"/>
      <c r="BH428" s="234"/>
      <c r="BI428" s="234"/>
      <c r="BJ428" s="234"/>
      <c r="BK428" s="234"/>
      <c r="BL428" s="234"/>
      <c r="BM428" s="234"/>
      <c r="BN428" s="234"/>
      <c r="BO428" s="234"/>
    </row>
    <row r="429" spans="1:67" ht="24" customHeight="1" x14ac:dyDescent="0.25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234"/>
      <c r="AK429" s="234"/>
      <c r="AL429" s="234"/>
      <c r="AM429" s="234"/>
      <c r="AN429" s="234"/>
      <c r="AO429" s="234"/>
      <c r="AP429" s="234"/>
      <c r="AQ429" s="234"/>
      <c r="AR429" s="234"/>
      <c r="AS429" s="234"/>
      <c r="AT429" s="234"/>
      <c r="AU429" s="234"/>
      <c r="AV429" s="234"/>
      <c r="AW429" s="234"/>
      <c r="AX429" s="234"/>
      <c r="AY429" s="234"/>
      <c r="AZ429" s="234"/>
      <c r="BA429" s="234"/>
      <c r="BB429" s="234"/>
      <c r="BC429" s="234"/>
      <c r="BD429" s="234"/>
      <c r="BE429" s="234"/>
      <c r="BF429" s="234"/>
      <c r="BG429" s="234"/>
      <c r="BH429" s="234"/>
      <c r="BI429" s="234"/>
      <c r="BJ429" s="234"/>
      <c r="BK429" s="234"/>
      <c r="BL429" s="234"/>
      <c r="BM429" s="234"/>
      <c r="BN429" s="234"/>
      <c r="BO429" s="234"/>
    </row>
    <row r="430" spans="1:67" ht="24" customHeight="1" x14ac:dyDescent="0.25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  <c r="AH430" s="234"/>
      <c r="AI430" s="234"/>
      <c r="AJ430" s="234"/>
      <c r="AK430" s="234"/>
      <c r="AL430" s="234"/>
      <c r="AM430" s="234"/>
      <c r="AN430" s="234"/>
      <c r="AO430" s="234"/>
      <c r="AP430" s="234"/>
      <c r="AQ430" s="234"/>
      <c r="AR430" s="234"/>
      <c r="AS430" s="234"/>
      <c r="AT430" s="234"/>
      <c r="AU430" s="234"/>
      <c r="AV430" s="234"/>
      <c r="AW430" s="234"/>
      <c r="AX430" s="234"/>
      <c r="AY430" s="234"/>
      <c r="AZ430" s="234"/>
      <c r="BA430" s="234"/>
      <c r="BB430" s="234"/>
      <c r="BC430" s="234"/>
      <c r="BD430" s="234"/>
      <c r="BE430" s="234"/>
      <c r="BF430" s="234"/>
      <c r="BG430" s="234"/>
      <c r="BH430" s="234"/>
      <c r="BI430" s="234"/>
      <c r="BJ430" s="234"/>
      <c r="BK430" s="234"/>
      <c r="BL430" s="234"/>
      <c r="BM430" s="234"/>
      <c r="BN430" s="234"/>
      <c r="BO430" s="234"/>
    </row>
    <row r="431" spans="1:67" ht="24" customHeight="1" x14ac:dyDescent="0.25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  <c r="AD431" s="234"/>
      <c r="AE431" s="234"/>
      <c r="AF431" s="234"/>
      <c r="AG431" s="234"/>
      <c r="AH431" s="234"/>
      <c r="AI431" s="234"/>
      <c r="AJ431" s="234"/>
      <c r="AK431" s="234"/>
      <c r="AL431" s="234"/>
      <c r="AM431" s="234"/>
      <c r="AN431" s="234"/>
      <c r="AO431" s="234"/>
      <c r="AP431" s="234"/>
      <c r="AQ431" s="234"/>
      <c r="AR431" s="234"/>
      <c r="AS431" s="234"/>
      <c r="AT431" s="234"/>
      <c r="AU431" s="234"/>
      <c r="AV431" s="234"/>
      <c r="AW431" s="234"/>
      <c r="AX431" s="234"/>
      <c r="AY431" s="234"/>
      <c r="AZ431" s="234"/>
      <c r="BA431" s="234"/>
      <c r="BB431" s="234"/>
      <c r="BC431" s="234"/>
      <c r="BD431" s="234"/>
      <c r="BE431" s="234"/>
      <c r="BF431" s="234"/>
      <c r="BG431" s="234"/>
      <c r="BH431" s="234"/>
      <c r="BI431" s="234"/>
      <c r="BJ431" s="234"/>
      <c r="BK431" s="234"/>
      <c r="BL431" s="234"/>
      <c r="BM431" s="234"/>
      <c r="BN431" s="234"/>
      <c r="BO431" s="234"/>
    </row>
    <row r="432" spans="1:67" ht="24" customHeight="1" x14ac:dyDescent="0.25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  <c r="AD432" s="234"/>
      <c r="AE432" s="234"/>
      <c r="AF432" s="234"/>
      <c r="AG432" s="234"/>
      <c r="AH432" s="234"/>
      <c r="AI432" s="234"/>
      <c r="AJ432" s="234"/>
      <c r="AK432" s="234"/>
      <c r="AL432" s="234"/>
      <c r="AM432" s="234"/>
      <c r="AN432" s="234"/>
      <c r="AO432" s="234"/>
      <c r="AP432" s="234"/>
      <c r="AQ432" s="234"/>
      <c r="AR432" s="234"/>
      <c r="AS432" s="234"/>
      <c r="AT432" s="234"/>
      <c r="AU432" s="234"/>
      <c r="AV432" s="234"/>
      <c r="AW432" s="234"/>
      <c r="AX432" s="234"/>
      <c r="AY432" s="234"/>
      <c r="AZ432" s="234"/>
      <c r="BA432" s="234"/>
      <c r="BB432" s="234"/>
      <c r="BC432" s="234"/>
      <c r="BD432" s="234"/>
      <c r="BE432" s="234"/>
      <c r="BF432" s="234"/>
      <c r="BG432" s="234"/>
      <c r="BH432" s="234"/>
      <c r="BI432" s="234"/>
      <c r="BJ432" s="234"/>
      <c r="BK432" s="234"/>
      <c r="BL432" s="234"/>
      <c r="BM432" s="234"/>
      <c r="BN432" s="234"/>
      <c r="BO432" s="234"/>
    </row>
    <row r="433" spans="1:67" ht="24" customHeight="1" x14ac:dyDescent="0.25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4"/>
      <c r="AH433" s="234"/>
      <c r="AI433" s="234"/>
      <c r="AJ433" s="234"/>
      <c r="AK433" s="234"/>
      <c r="AL433" s="234"/>
      <c r="AM433" s="234"/>
      <c r="AN433" s="234"/>
      <c r="AO433" s="234"/>
      <c r="AP433" s="234"/>
      <c r="AQ433" s="234"/>
      <c r="AR433" s="234"/>
      <c r="AS433" s="234"/>
      <c r="AT433" s="234"/>
      <c r="AU433" s="234"/>
      <c r="AV433" s="234"/>
      <c r="AW433" s="234"/>
      <c r="AX433" s="234"/>
      <c r="AY433" s="234"/>
      <c r="AZ433" s="234"/>
      <c r="BA433" s="234"/>
      <c r="BB433" s="234"/>
      <c r="BC433" s="234"/>
      <c r="BD433" s="234"/>
      <c r="BE433" s="234"/>
      <c r="BF433" s="234"/>
      <c r="BG433" s="234"/>
      <c r="BH433" s="234"/>
      <c r="BI433" s="234"/>
      <c r="BJ433" s="234"/>
      <c r="BK433" s="234"/>
      <c r="BL433" s="234"/>
      <c r="BM433" s="234"/>
      <c r="BN433" s="234"/>
      <c r="BO433" s="234"/>
    </row>
    <row r="434" spans="1:67" ht="24" customHeight="1" x14ac:dyDescent="0.25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  <c r="AD434" s="234"/>
      <c r="AE434" s="234"/>
      <c r="AF434" s="234"/>
      <c r="AG434" s="234"/>
      <c r="AH434" s="234"/>
      <c r="AI434" s="234"/>
      <c r="AJ434" s="234"/>
      <c r="AK434" s="234"/>
      <c r="AL434" s="234"/>
      <c r="AM434" s="234"/>
      <c r="AN434" s="234"/>
      <c r="AO434" s="234"/>
      <c r="AP434" s="234"/>
      <c r="AQ434" s="234"/>
      <c r="AR434" s="234"/>
      <c r="AS434" s="234"/>
      <c r="AT434" s="234"/>
      <c r="AU434" s="234"/>
      <c r="AV434" s="234"/>
      <c r="AW434" s="234"/>
      <c r="AX434" s="234"/>
      <c r="AY434" s="234"/>
      <c r="AZ434" s="234"/>
      <c r="BA434" s="234"/>
      <c r="BB434" s="234"/>
      <c r="BC434" s="234"/>
      <c r="BD434" s="234"/>
      <c r="BE434" s="234"/>
      <c r="BF434" s="234"/>
      <c r="BG434" s="234"/>
      <c r="BH434" s="234"/>
      <c r="BI434" s="234"/>
      <c r="BJ434" s="234"/>
      <c r="BK434" s="234"/>
      <c r="BL434" s="234"/>
      <c r="BM434" s="234"/>
      <c r="BN434" s="234"/>
      <c r="BO434" s="234"/>
    </row>
    <row r="435" spans="1:67" ht="24" customHeight="1" x14ac:dyDescent="0.2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  <c r="AH435" s="234"/>
      <c r="AI435" s="234"/>
      <c r="AJ435" s="234"/>
      <c r="AK435" s="234"/>
      <c r="AL435" s="234"/>
      <c r="AM435" s="234"/>
      <c r="AN435" s="234"/>
      <c r="AO435" s="234"/>
      <c r="AP435" s="234"/>
      <c r="AQ435" s="234"/>
      <c r="AR435" s="234"/>
      <c r="AS435" s="234"/>
      <c r="AT435" s="234"/>
      <c r="AU435" s="234"/>
      <c r="AV435" s="234"/>
      <c r="AW435" s="234"/>
      <c r="AX435" s="234"/>
      <c r="AY435" s="234"/>
      <c r="AZ435" s="234"/>
      <c r="BA435" s="234"/>
      <c r="BB435" s="234"/>
      <c r="BC435" s="234"/>
      <c r="BD435" s="234"/>
      <c r="BE435" s="234"/>
      <c r="BF435" s="234"/>
      <c r="BG435" s="234"/>
      <c r="BH435" s="234"/>
      <c r="BI435" s="234"/>
      <c r="BJ435" s="234"/>
      <c r="BK435" s="234"/>
      <c r="BL435" s="234"/>
      <c r="BM435" s="234"/>
      <c r="BN435" s="234"/>
      <c r="BO435" s="234"/>
    </row>
    <row r="436" spans="1:67" ht="24" customHeight="1" x14ac:dyDescent="0.25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  <c r="AH436" s="234"/>
      <c r="AI436" s="234"/>
      <c r="AJ436" s="234"/>
      <c r="AK436" s="234"/>
      <c r="AL436" s="234"/>
      <c r="AM436" s="234"/>
      <c r="AN436" s="234"/>
      <c r="AO436" s="234"/>
      <c r="AP436" s="234"/>
      <c r="AQ436" s="234"/>
      <c r="AR436" s="234"/>
      <c r="AS436" s="234"/>
      <c r="AT436" s="234"/>
      <c r="AU436" s="234"/>
      <c r="AV436" s="234"/>
      <c r="AW436" s="234"/>
      <c r="AX436" s="234"/>
      <c r="AY436" s="234"/>
      <c r="AZ436" s="234"/>
      <c r="BA436" s="234"/>
      <c r="BB436" s="234"/>
      <c r="BC436" s="234"/>
      <c r="BD436" s="234"/>
      <c r="BE436" s="234"/>
      <c r="BF436" s="234"/>
      <c r="BG436" s="234"/>
      <c r="BH436" s="234"/>
      <c r="BI436" s="234"/>
      <c r="BJ436" s="234"/>
      <c r="BK436" s="234"/>
      <c r="BL436" s="234"/>
      <c r="BM436" s="234"/>
      <c r="BN436" s="234"/>
      <c r="BO436" s="234"/>
    </row>
    <row r="437" spans="1:67" ht="24" customHeight="1" x14ac:dyDescent="0.25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  <c r="AD437" s="234"/>
      <c r="AE437" s="234"/>
      <c r="AF437" s="234"/>
      <c r="AG437" s="234"/>
      <c r="AH437" s="234"/>
      <c r="AI437" s="234"/>
      <c r="AJ437" s="234"/>
      <c r="AK437" s="234"/>
      <c r="AL437" s="234"/>
      <c r="AM437" s="234"/>
      <c r="AN437" s="234"/>
      <c r="AO437" s="234"/>
      <c r="AP437" s="234"/>
      <c r="AQ437" s="234"/>
      <c r="AR437" s="234"/>
      <c r="AS437" s="234"/>
      <c r="AT437" s="234"/>
      <c r="AU437" s="234"/>
      <c r="AV437" s="234"/>
      <c r="AW437" s="234"/>
      <c r="AX437" s="234"/>
      <c r="AY437" s="234"/>
      <c r="AZ437" s="234"/>
      <c r="BA437" s="234"/>
      <c r="BB437" s="234"/>
      <c r="BC437" s="234"/>
      <c r="BD437" s="234"/>
      <c r="BE437" s="234"/>
      <c r="BF437" s="234"/>
      <c r="BG437" s="234"/>
      <c r="BH437" s="234"/>
      <c r="BI437" s="234"/>
      <c r="BJ437" s="234"/>
      <c r="BK437" s="234"/>
      <c r="BL437" s="234"/>
      <c r="BM437" s="234"/>
      <c r="BN437" s="234"/>
      <c r="BO437" s="234"/>
    </row>
    <row r="438" spans="1:67" ht="24" customHeight="1" x14ac:dyDescent="0.25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  <c r="AD438" s="234"/>
      <c r="AE438" s="234"/>
      <c r="AF438" s="234"/>
      <c r="AG438" s="234"/>
      <c r="AH438" s="234"/>
      <c r="AI438" s="234"/>
      <c r="AJ438" s="234"/>
      <c r="AK438" s="234"/>
      <c r="AL438" s="234"/>
      <c r="AM438" s="234"/>
      <c r="AN438" s="234"/>
      <c r="AO438" s="234"/>
      <c r="AP438" s="234"/>
      <c r="AQ438" s="234"/>
      <c r="AR438" s="234"/>
      <c r="AS438" s="234"/>
      <c r="AT438" s="234"/>
      <c r="AU438" s="234"/>
      <c r="AV438" s="234"/>
      <c r="AW438" s="234"/>
      <c r="AX438" s="234"/>
      <c r="AY438" s="234"/>
      <c r="AZ438" s="234"/>
      <c r="BA438" s="234"/>
      <c r="BB438" s="234"/>
      <c r="BC438" s="234"/>
      <c r="BD438" s="234"/>
      <c r="BE438" s="234"/>
      <c r="BF438" s="234"/>
      <c r="BG438" s="234"/>
      <c r="BH438" s="234"/>
      <c r="BI438" s="234"/>
      <c r="BJ438" s="234"/>
      <c r="BK438" s="234"/>
      <c r="BL438" s="234"/>
      <c r="BM438" s="234"/>
      <c r="BN438" s="234"/>
      <c r="BO438" s="234"/>
    </row>
    <row r="439" spans="1:67" ht="24" customHeight="1" x14ac:dyDescent="0.25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4"/>
      <c r="AH439" s="234"/>
      <c r="AI439" s="234"/>
      <c r="AJ439" s="234"/>
      <c r="AK439" s="234"/>
      <c r="AL439" s="234"/>
      <c r="AM439" s="234"/>
      <c r="AN439" s="234"/>
      <c r="AO439" s="234"/>
      <c r="AP439" s="234"/>
      <c r="AQ439" s="234"/>
      <c r="AR439" s="234"/>
      <c r="AS439" s="234"/>
      <c r="AT439" s="234"/>
      <c r="AU439" s="234"/>
      <c r="AV439" s="234"/>
      <c r="AW439" s="234"/>
      <c r="AX439" s="234"/>
      <c r="AY439" s="234"/>
      <c r="AZ439" s="234"/>
      <c r="BA439" s="234"/>
      <c r="BB439" s="234"/>
      <c r="BC439" s="234"/>
      <c r="BD439" s="234"/>
      <c r="BE439" s="234"/>
      <c r="BF439" s="234"/>
      <c r="BG439" s="234"/>
      <c r="BH439" s="234"/>
      <c r="BI439" s="234"/>
      <c r="BJ439" s="234"/>
      <c r="BK439" s="234"/>
      <c r="BL439" s="234"/>
      <c r="BM439" s="234"/>
      <c r="BN439" s="234"/>
      <c r="BO439" s="234"/>
    </row>
    <row r="440" spans="1:67" ht="24" customHeight="1" x14ac:dyDescent="0.25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  <c r="AD440" s="234"/>
      <c r="AE440" s="234"/>
      <c r="AF440" s="234"/>
      <c r="AG440" s="234"/>
      <c r="AH440" s="234"/>
      <c r="AI440" s="234"/>
      <c r="AJ440" s="234"/>
      <c r="AK440" s="234"/>
      <c r="AL440" s="234"/>
      <c r="AM440" s="234"/>
      <c r="AN440" s="234"/>
      <c r="AO440" s="234"/>
      <c r="AP440" s="234"/>
      <c r="AQ440" s="234"/>
      <c r="AR440" s="234"/>
      <c r="AS440" s="234"/>
      <c r="AT440" s="234"/>
      <c r="AU440" s="234"/>
      <c r="AV440" s="234"/>
      <c r="AW440" s="234"/>
      <c r="AX440" s="234"/>
      <c r="AY440" s="234"/>
      <c r="AZ440" s="234"/>
      <c r="BA440" s="234"/>
      <c r="BB440" s="234"/>
      <c r="BC440" s="234"/>
      <c r="BD440" s="234"/>
      <c r="BE440" s="234"/>
      <c r="BF440" s="234"/>
      <c r="BG440" s="234"/>
      <c r="BH440" s="234"/>
      <c r="BI440" s="234"/>
      <c r="BJ440" s="234"/>
      <c r="BK440" s="234"/>
      <c r="BL440" s="234"/>
      <c r="BM440" s="234"/>
      <c r="BN440" s="234"/>
      <c r="BO440" s="234"/>
    </row>
    <row r="441" spans="1:67" ht="24" customHeight="1" x14ac:dyDescent="0.25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  <c r="AD441" s="234"/>
      <c r="AE441" s="234"/>
      <c r="AF441" s="234"/>
      <c r="AG441" s="234"/>
      <c r="AH441" s="234"/>
      <c r="AI441" s="234"/>
      <c r="AJ441" s="234"/>
      <c r="AK441" s="234"/>
      <c r="AL441" s="234"/>
      <c r="AM441" s="234"/>
      <c r="AN441" s="234"/>
      <c r="AO441" s="234"/>
      <c r="AP441" s="234"/>
      <c r="AQ441" s="234"/>
      <c r="AR441" s="234"/>
      <c r="AS441" s="234"/>
      <c r="AT441" s="234"/>
      <c r="AU441" s="234"/>
      <c r="AV441" s="234"/>
      <c r="AW441" s="234"/>
      <c r="AX441" s="234"/>
      <c r="AY441" s="234"/>
      <c r="AZ441" s="234"/>
      <c r="BA441" s="234"/>
      <c r="BB441" s="234"/>
      <c r="BC441" s="234"/>
      <c r="BD441" s="234"/>
      <c r="BE441" s="234"/>
      <c r="BF441" s="234"/>
      <c r="BG441" s="234"/>
      <c r="BH441" s="234"/>
      <c r="BI441" s="234"/>
      <c r="BJ441" s="234"/>
      <c r="BK441" s="234"/>
      <c r="BL441" s="234"/>
      <c r="BM441" s="234"/>
      <c r="BN441" s="234"/>
      <c r="BO441" s="234"/>
    </row>
    <row r="442" spans="1:67" ht="24" customHeight="1" x14ac:dyDescent="0.25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  <c r="AD442" s="234"/>
      <c r="AE442" s="234"/>
      <c r="AF442" s="234"/>
      <c r="AG442" s="234"/>
      <c r="AH442" s="234"/>
      <c r="AI442" s="234"/>
      <c r="AJ442" s="234"/>
      <c r="AK442" s="234"/>
      <c r="AL442" s="234"/>
      <c r="AM442" s="234"/>
      <c r="AN442" s="234"/>
      <c r="AO442" s="234"/>
      <c r="AP442" s="234"/>
      <c r="AQ442" s="234"/>
      <c r="AR442" s="234"/>
      <c r="AS442" s="234"/>
      <c r="AT442" s="234"/>
      <c r="AU442" s="234"/>
      <c r="AV442" s="234"/>
      <c r="AW442" s="234"/>
      <c r="AX442" s="234"/>
      <c r="AY442" s="234"/>
      <c r="AZ442" s="234"/>
      <c r="BA442" s="234"/>
      <c r="BB442" s="234"/>
      <c r="BC442" s="234"/>
      <c r="BD442" s="234"/>
      <c r="BE442" s="234"/>
      <c r="BF442" s="234"/>
      <c r="BG442" s="234"/>
      <c r="BH442" s="234"/>
      <c r="BI442" s="234"/>
      <c r="BJ442" s="234"/>
      <c r="BK442" s="234"/>
      <c r="BL442" s="234"/>
      <c r="BM442" s="234"/>
      <c r="BN442" s="234"/>
      <c r="BO442" s="234"/>
    </row>
    <row r="443" spans="1:67" ht="24" customHeight="1" x14ac:dyDescent="0.25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  <c r="AD443" s="234"/>
      <c r="AE443" s="234"/>
      <c r="AF443" s="234"/>
      <c r="AG443" s="234"/>
      <c r="AH443" s="234"/>
      <c r="AI443" s="234"/>
      <c r="AJ443" s="234"/>
      <c r="AK443" s="234"/>
      <c r="AL443" s="234"/>
      <c r="AM443" s="234"/>
      <c r="AN443" s="234"/>
      <c r="AO443" s="234"/>
      <c r="AP443" s="234"/>
      <c r="AQ443" s="234"/>
      <c r="AR443" s="234"/>
      <c r="AS443" s="234"/>
      <c r="AT443" s="234"/>
      <c r="AU443" s="234"/>
      <c r="AV443" s="234"/>
      <c r="AW443" s="234"/>
      <c r="AX443" s="234"/>
      <c r="AY443" s="234"/>
      <c r="AZ443" s="234"/>
      <c r="BA443" s="234"/>
      <c r="BB443" s="234"/>
      <c r="BC443" s="234"/>
      <c r="BD443" s="234"/>
      <c r="BE443" s="234"/>
      <c r="BF443" s="234"/>
      <c r="BG443" s="234"/>
      <c r="BH443" s="234"/>
      <c r="BI443" s="234"/>
      <c r="BJ443" s="234"/>
      <c r="BK443" s="234"/>
      <c r="BL443" s="234"/>
      <c r="BM443" s="234"/>
      <c r="BN443" s="234"/>
      <c r="BO443" s="234"/>
    </row>
    <row r="444" spans="1:67" ht="24" customHeight="1" x14ac:dyDescent="0.25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  <c r="AH444" s="234"/>
      <c r="AI444" s="234"/>
      <c r="AJ444" s="234"/>
      <c r="AK444" s="234"/>
      <c r="AL444" s="234"/>
      <c r="AM444" s="234"/>
      <c r="AN444" s="234"/>
      <c r="AO444" s="234"/>
      <c r="AP444" s="234"/>
      <c r="AQ444" s="234"/>
      <c r="AR444" s="234"/>
      <c r="AS444" s="234"/>
      <c r="AT444" s="234"/>
      <c r="AU444" s="234"/>
      <c r="AV444" s="234"/>
      <c r="AW444" s="234"/>
      <c r="AX444" s="234"/>
      <c r="AY444" s="234"/>
      <c r="AZ444" s="234"/>
      <c r="BA444" s="234"/>
      <c r="BB444" s="234"/>
      <c r="BC444" s="234"/>
      <c r="BD444" s="234"/>
      <c r="BE444" s="234"/>
      <c r="BF444" s="234"/>
      <c r="BG444" s="234"/>
      <c r="BH444" s="234"/>
      <c r="BI444" s="234"/>
      <c r="BJ444" s="234"/>
      <c r="BK444" s="234"/>
      <c r="BL444" s="234"/>
      <c r="BM444" s="234"/>
      <c r="BN444" s="234"/>
      <c r="BO444" s="234"/>
    </row>
    <row r="445" spans="1:67" ht="24" customHeight="1" x14ac:dyDescent="0.2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  <c r="AD445" s="234"/>
      <c r="AE445" s="234"/>
      <c r="AF445" s="234"/>
      <c r="AG445" s="234"/>
      <c r="AH445" s="234"/>
      <c r="AI445" s="234"/>
      <c r="AJ445" s="234"/>
      <c r="AK445" s="234"/>
      <c r="AL445" s="234"/>
      <c r="AM445" s="234"/>
      <c r="AN445" s="234"/>
      <c r="AO445" s="234"/>
      <c r="AP445" s="234"/>
      <c r="AQ445" s="234"/>
      <c r="AR445" s="234"/>
      <c r="AS445" s="234"/>
      <c r="AT445" s="234"/>
      <c r="AU445" s="234"/>
      <c r="AV445" s="234"/>
      <c r="AW445" s="234"/>
      <c r="AX445" s="234"/>
      <c r="AY445" s="234"/>
      <c r="AZ445" s="234"/>
      <c r="BA445" s="234"/>
      <c r="BB445" s="234"/>
      <c r="BC445" s="234"/>
      <c r="BD445" s="234"/>
      <c r="BE445" s="234"/>
      <c r="BF445" s="234"/>
      <c r="BG445" s="234"/>
      <c r="BH445" s="234"/>
      <c r="BI445" s="234"/>
      <c r="BJ445" s="234"/>
      <c r="BK445" s="234"/>
      <c r="BL445" s="234"/>
      <c r="BM445" s="234"/>
      <c r="BN445" s="234"/>
      <c r="BO445" s="234"/>
    </row>
    <row r="446" spans="1:67" ht="24" customHeight="1" x14ac:dyDescent="0.25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  <c r="AD446" s="234"/>
      <c r="AE446" s="234"/>
      <c r="AF446" s="234"/>
      <c r="AG446" s="234"/>
      <c r="AH446" s="234"/>
      <c r="AI446" s="234"/>
      <c r="AJ446" s="234"/>
      <c r="AK446" s="234"/>
      <c r="AL446" s="234"/>
      <c r="AM446" s="234"/>
      <c r="AN446" s="234"/>
      <c r="AO446" s="234"/>
      <c r="AP446" s="234"/>
      <c r="AQ446" s="234"/>
      <c r="AR446" s="234"/>
      <c r="AS446" s="234"/>
      <c r="AT446" s="234"/>
      <c r="AU446" s="234"/>
      <c r="AV446" s="234"/>
      <c r="AW446" s="234"/>
      <c r="AX446" s="234"/>
      <c r="AY446" s="234"/>
      <c r="AZ446" s="234"/>
      <c r="BA446" s="234"/>
      <c r="BB446" s="234"/>
      <c r="BC446" s="234"/>
      <c r="BD446" s="234"/>
      <c r="BE446" s="234"/>
      <c r="BF446" s="234"/>
      <c r="BG446" s="234"/>
      <c r="BH446" s="234"/>
      <c r="BI446" s="234"/>
      <c r="BJ446" s="234"/>
      <c r="BK446" s="234"/>
      <c r="BL446" s="234"/>
      <c r="BM446" s="234"/>
      <c r="BN446" s="234"/>
      <c r="BO446" s="234"/>
    </row>
    <row r="447" spans="1:67" ht="24" customHeight="1" x14ac:dyDescent="0.25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  <c r="AD447" s="234"/>
      <c r="AE447" s="234"/>
      <c r="AF447" s="234"/>
      <c r="AG447" s="234"/>
      <c r="AH447" s="234"/>
      <c r="AI447" s="234"/>
      <c r="AJ447" s="234"/>
      <c r="AK447" s="234"/>
      <c r="AL447" s="234"/>
      <c r="AM447" s="234"/>
      <c r="AN447" s="234"/>
      <c r="AO447" s="234"/>
      <c r="AP447" s="234"/>
      <c r="AQ447" s="234"/>
      <c r="AR447" s="234"/>
      <c r="AS447" s="234"/>
      <c r="AT447" s="234"/>
      <c r="AU447" s="234"/>
      <c r="AV447" s="234"/>
      <c r="AW447" s="234"/>
      <c r="AX447" s="234"/>
      <c r="AY447" s="234"/>
      <c r="AZ447" s="234"/>
      <c r="BA447" s="234"/>
      <c r="BB447" s="234"/>
      <c r="BC447" s="234"/>
      <c r="BD447" s="234"/>
      <c r="BE447" s="234"/>
      <c r="BF447" s="234"/>
      <c r="BG447" s="234"/>
      <c r="BH447" s="234"/>
      <c r="BI447" s="234"/>
      <c r="BJ447" s="234"/>
      <c r="BK447" s="234"/>
      <c r="BL447" s="234"/>
      <c r="BM447" s="234"/>
      <c r="BN447" s="234"/>
      <c r="BO447" s="234"/>
    </row>
    <row r="448" spans="1:67" ht="24" customHeight="1" x14ac:dyDescent="0.25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  <c r="AD448" s="234"/>
      <c r="AE448" s="234"/>
      <c r="AF448" s="234"/>
      <c r="AG448" s="234"/>
      <c r="AH448" s="234"/>
      <c r="AI448" s="234"/>
      <c r="AJ448" s="234"/>
      <c r="AK448" s="234"/>
      <c r="AL448" s="234"/>
      <c r="AM448" s="234"/>
      <c r="AN448" s="234"/>
      <c r="AO448" s="234"/>
      <c r="AP448" s="234"/>
      <c r="AQ448" s="234"/>
      <c r="AR448" s="234"/>
      <c r="AS448" s="234"/>
      <c r="AT448" s="234"/>
      <c r="AU448" s="234"/>
      <c r="AV448" s="234"/>
      <c r="AW448" s="234"/>
      <c r="AX448" s="234"/>
      <c r="AY448" s="234"/>
      <c r="AZ448" s="234"/>
      <c r="BA448" s="234"/>
      <c r="BB448" s="234"/>
      <c r="BC448" s="234"/>
      <c r="BD448" s="234"/>
      <c r="BE448" s="234"/>
      <c r="BF448" s="234"/>
      <c r="BG448" s="234"/>
      <c r="BH448" s="234"/>
      <c r="BI448" s="234"/>
      <c r="BJ448" s="234"/>
      <c r="BK448" s="234"/>
      <c r="BL448" s="234"/>
      <c r="BM448" s="234"/>
      <c r="BN448" s="234"/>
      <c r="BO448" s="234"/>
    </row>
    <row r="449" spans="1:67" ht="24" customHeight="1" x14ac:dyDescent="0.25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  <c r="AD449" s="234"/>
      <c r="AE449" s="234"/>
      <c r="AF449" s="234"/>
      <c r="AG449" s="234"/>
      <c r="AH449" s="234"/>
      <c r="AI449" s="234"/>
      <c r="AJ449" s="234"/>
      <c r="AK449" s="234"/>
      <c r="AL449" s="234"/>
      <c r="AM449" s="234"/>
      <c r="AN449" s="234"/>
      <c r="AO449" s="234"/>
      <c r="AP449" s="234"/>
      <c r="AQ449" s="234"/>
      <c r="AR449" s="234"/>
      <c r="AS449" s="234"/>
      <c r="AT449" s="234"/>
      <c r="AU449" s="234"/>
      <c r="AV449" s="234"/>
      <c r="AW449" s="234"/>
      <c r="AX449" s="234"/>
      <c r="AY449" s="234"/>
      <c r="AZ449" s="234"/>
      <c r="BA449" s="234"/>
      <c r="BB449" s="234"/>
      <c r="BC449" s="234"/>
      <c r="BD449" s="234"/>
      <c r="BE449" s="234"/>
      <c r="BF449" s="234"/>
      <c r="BG449" s="234"/>
      <c r="BH449" s="234"/>
      <c r="BI449" s="234"/>
      <c r="BJ449" s="234"/>
      <c r="BK449" s="234"/>
      <c r="BL449" s="234"/>
      <c r="BM449" s="234"/>
      <c r="BN449" s="234"/>
      <c r="BO449" s="234"/>
    </row>
    <row r="450" spans="1:67" ht="24" customHeight="1" x14ac:dyDescent="0.25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  <c r="AD450" s="234"/>
      <c r="AE450" s="234"/>
      <c r="AF450" s="234"/>
      <c r="AG450" s="234"/>
      <c r="AH450" s="234"/>
      <c r="AI450" s="234"/>
      <c r="AJ450" s="234"/>
      <c r="AK450" s="234"/>
      <c r="AL450" s="234"/>
      <c r="AM450" s="234"/>
      <c r="AN450" s="234"/>
      <c r="AO450" s="234"/>
      <c r="AP450" s="234"/>
      <c r="AQ450" s="234"/>
      <c r="AR450" s="234"/>
      <c r="AS450" s="234"/>
      <c r="AT450" s="234"/>
      <c r="AU450" s="234"/>
      <c r="AV450" s="234"/>
      <c r="AW450" s="234"/>
      <c r="AX450" s="234"/>
      <c r="AY450" s="234"/>
      <c r="AZ450" s="234"/>
      <c r="BA450" s="234"/>
      <c r="BB450" s="234"/>
      <c r="BC450" s="234"/>
      <c r="BD450" s="234"/>
      <c r="BE450" s="234"/>
      <c r="BF450" s="234"/>
      <c r="BG450" s="234"/>
      <c r="BH450" s="234"/>
      <c r="BI450" s="234"/>
      <c r="BJ450" s="234"/>
      <c r="BK450" s="234"/>
      <c r="BL450" s="234"/>
      <c r="BM450" s="234"/>
      <c r="BN450" s="234"/>
      <c r="BO450" s="234"/>
    </row>
    <row r="451" spans="1:67" ht="24" customHeight="1" x14ac:dyDescent="0.25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  <c r="AD451" s="234"/>
      <c r="AE451" s="234"/>
      <c r="AF451" s="234"/>
      <c r="AG451" s="234"/>
      <c r="AH451" s="234"/>
      <c r="AI451" s="234"/>
      <c r="AJ451" s="234"/>
      <c r="AK451" s="234"/>
      <c r="AL451" s="234"/>
      <c r="AM451" s="234"/>
      <c r="AN451" s="234"/>
      <c r="AO451" s="234"/>
      <c r="AP451" s="234"/>
      <c r="AQ451" s="234"/>
      <c r="AR451" s="234"/>
      <c r="AS451" s="234"/>
      <c r="AT451" s="234"/>
      <c r="AU451" s="234"/>
      <c r="AV451" s="234"/>
      <c r="AW451" s="234"/>
      <c r="AX451" s="234"/>
      <c r="AY451" s="234"/>
      <c r="AZ451" s="234"/>
      <c r="BA451" s="234"/>
      <c r="BB451" s="234"/>
      <c r="BC451" s="234"/>
      <c r="BD451" s="234"/>
      <c r="BE451" s="234"/>
      <c r="BF451" s="234"/>
      <c r="BG451" s="234"/>
      <c r="BH451" s="234"/>
      <c r="BI451" s="234"/>
      <c r="BJ451" s="234"/>
      <c r="BK451" s="234"/>
      <c r="BL451" s="234"/>
      <c r="BM451" s="234"/>
      <c r="BN451" s="234"/>
      <c r="BO451" s="234"/>
    </row>
    <row r="452" spans="1:67" ht="24" customHeight="1" x14ac:dyDescent="0.25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  <c r="AD452" s="234"/>
      <c r="AE452" s="234"/>
      <c r="AF452" s="234"/>
      <c r="AG452" s="234"/>
      <c r="AH452" s="234"/>
      <c r="AI452" s="234"/>
      <c r="AJ452" s="234"/>
      <c r="AK452" s="234"/>
      <c r="AL452" s="234"/>
      <c r="AM452" s="234"/>
      <c r="AN452" s="234"/>
      <c r="AO452" s="234"/>
      <c r="AP452" s="234"/>
      <c r="AQ452" s="234"/>
      <c r="AR452" s="234"/>
      <c r="AS452" s="234"/>
      <c r="AT452" s="234"/>
      <c r="AU452" s="234"/>
      <c r="AV452" s="234"/>
      <c r="AW452" s="234"/>
      <c r="AX452" s="234"/>
      <c r="AY452" s="234"/>
      <c r="AZ452" s="234"/>
      <c r="BA452" s="234"/>
      <c r="BB452" s="234"/>
      <c r="BC452" s="234"/>
      <c r="BD452" s="234"/>
      <c r="BE452" s="234"/>
      <c r="BF452" s="234"/>
      <c r="BG452" s="234"/>
      <c r="BH452" s="234"/>
      <c r="BI452" s="234"/>
      <c r="BJ452" s="234"/>
      <c r="BK452" s="234"/>
      <c r="BL452" s="234"/>
      <c r="BM452" s="234"/>
      <c r="BN452" s="234"/>
      <c r="BO452" s="234"/>
    </row>
    <row r="453" spans="1:67" ht="24" customHeight="1" x14ac:dyDescent="0.25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  <c r="AD453" s="234"/>
      <c r="AE453" s="234"/>
      <c r="AF453" s="234"/>
      <c r="AG453" s="234"/>
      <c r="AH453" s="234"/>
      <c r="AI453" s="234"/>
      <c r="AJ453" s="234"/>
      <c r="AK453" s="234"/>
      <c r="AL453" s="234"/>
      <c r="AM453" s="234"/>
      <c r="AN453" s="234"/>
      <c r="AO453" s="234"/>
      <c r="AP453" s="234"/>
      <c r="AQ453" s="234"/>
      <c r="AR453" s="234"/>
      <c r="AS453" s="234"/>
      <c r="AT453" s="234"/>
      <c r="AU453" s="234"/>
      <c r="AV453" s="234"/>
      <c r="AW453" s="234"/>
      <c r="AX453" s="234"/>
      <c r="AY453" s="234"/>
      <c r="AZ453" s="234"/>
      <c r="BA453" s="234"/>
      <c r="BB453" s="234"/>
      <c r="BC453" s="234"/>
      <c r="BD453" s="234"/>
      <c r="BE453" s="234"/>
      <c r="BF453" s="234"/>
      <c r="BG453" s="234"/>
      <c r="BH453" s="234"/>
      <c r="BI453" s="234"/>
      <c r="BJ453" s="234"/>
      <c r="BK453" s="234"/>
      <c r="BL453" s="234"/>
      <c r="BM453" s="234"/>
      <c r="BN453" s="234"/>
      <c r="BO453" s="234"/>
    </row>
    <row r="454" spans="1:67" ht="24" customHeight="1" x14ac:dyDescent="0.25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  <c r="AD454" s="234"/>
      <c r="AE454" s="234"/>
      <c r="AF454" s="234"/>
      <c r="AG454" s="234"/>
      <c r="AH454" s="234"/>
      <c r="AI454" s="234"/>
      <c r="AJ454" s="234"/>
      <c r="AK454" s="234"/>
      <c r="AL454" s="234"/>
      <c r="AM454" s="234"/>
      <c r="AN454" s="234"/>
      <c r="AO454" s="234"/>
      <c r="AP454" s="234"/>
      <c r="AQ454" s="234"/>
      <c r="AR454" s="234"/>
      <c r="AS454" s="234"/>
      <c r="AT454" s="234"/>
      <c r="AU454" s="234"/>
      <c r="AV454" s="234"/>
      <c r="AW454" s="234"/>
      <c r="AX454" s="234"/>
      <c r="AY454" s="234"/>
      <c r="AZ454" s="234"/>
      <c r="BA454" s="234"/>
      <c r="BB454" s="234"/>
      <c r="BC454" s="234"/>
      <c r="BD454" s="234"/>
      <c r="BE454" s="234"/>
      <c r="BF454" s="234"/>
      <c r="BG454" s="234"/>
      <c r="BH454" s="234"/>
      <c r="BI454" s="234"/>
      <c r="BJ454" s="234"/>
      <c r="BK454" s="234"/>
      <c r="BL454" s="234"/>
      <c r="BM454" s="234"/>
      <c r="BN454" s="234"/>
      <c r="BO454" s="234"/>
    </row>
    <row r="455" spans="1:67" ht="24" customHeight="1" x14ac:dyDescent="0.2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  <c r="AD455" s="234"/>
      <c r="AE455" s="234"/>
      <c r="AF455" s="234"/>
      <c r="AG455" s="234"/>
      <c r="AH455" s="234"/>
      <c r="AI455" s="234"/>
      <c r="AJ455" s="234"/>
      <c r="AK455" s="234"/>
      <c r="AL455" s="234"/>
      <c r="AM455" s="234"/>
      <c r="AN455" s="234"/>
      <c r="AO455" s="234"/>
      <c r="AP455" s="234"/>
      <c r="AQ455" s="234"/>
      <c r="AR455" s="234"/>
      <c r="AS455" s="234"/>
      <c r="AT455" s="234"/>
      <c r="AU455" s="234"/>
      <c r="AV455" s="234"/>
      <c r="AW455" s="234"/>
      <c r="AX455" s="234"/>
      <c r="AY455" s="234"/>
      <c r="AZ455" s="234"/>
      <c r="BA455" s="234"/>
      <c r="BB455" s="234"/>
      <c r="BC455" s="234"/>
      <c r="BD455" s="234"/>
      <c r="BE455" s="234"/>
      <c r="BF455" s="234"/>
      <c r="BG455" s="234"/>
      <c r="BH455" s="234"/>
      <c r="BI455" s="234"/>
      <c r="BJ455" s="234"/>
      <c r="BK455" s="234"/>
      <c r="BL455" s="234"/>
      <c r="BM455" s="234"/>
      <c r="BN455" s="234"/>
      <c r="BO455" s="234"/>
    </row>
    <row r="456" spans="1:67" ht="24" customHeight="1" x14ac:dyDescent="0.25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  <c r="AD456" s="234"/>
      <c r="AE456" s="234"/>
      <c r="AF456" s="234"/>
      <c r="AG456" s="234"/>
      <c r="AH456" s="234"/>
      <c r="AI456" s="234"/>
      <c r="AJ456" s="234"/>
      <c r="AK456" s="234"/>
      <c r="AL456" s="234"/>
      <c r="AM456" s="234"/>
      <c r="AN456" s="234"/>
      <c r="AO456" s="234"/>
      <c r="AP456" s="234"/>
      <c r="AQ456" s="234"/>
      <c r="AR456" s="234"/>
      <c r="AS456" s="234"/>
      <c r="AT456" s="234"/>
      <c r="AU456" s="234"/>
      <c r="AV456" s="234"/>
      <c r="AW456" s="234"/>
      <c r="AX456" s="234"/>
      <c r="AY456" s="234"/>
      <c r="AZ456" s="234"/>
      <c r="BA456" s="234"/>
      <c r="BB456" s="234"/>
      <c r="BC456" s="234"/>
      <c r="BD456" s="234"/>
      <c r="BE456" s="234"/>
      <c r="BF456" s="234"/>
      <c r="BG456" s="234"/>
      <c r="BH456" s="234"/>
      <c r="BI456" s="234"/>
      <c r="BJ456" s="234"/>
      <c r="BK456" s="234"/>
      <c r="BL456" s="234"/>
      <c r="BM456" s="234"/>
      <c r="BN456" s="234"/>
      <c r="BO456" s="234"/>
    </row>
    <row r="457" spans="1:67" ht="24" customHeight="1" x14ac:dyDescent="0.25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  <c r="AD457" s="234"/>
      <c r="AE457" s="234"/>
      <c r="AF457" s="234"/>
      <c r="AG457" s="234"/>
      <c r="AH457" s="234"/>
      <c r="AI457" s="234"/>
      <c r="AJ457" s="234"/>
      <c r="AK457" s="234"/>
      <c r="AL457" s="234"/>
      <c r="AM457" s="234"/>
      <c r="AN457" s="234"/>
      <c r="AO457" s="234"/>
      <c r="AP457" s="234"/>
      <c r="AQ457" s="234"/>
      <c r="AR457" s="234"/>
      <c r="AS457" s="234"/>
      <c r="AT457" s="234"/>
      <c r="AU457" s="234"/>
      <c r="AV457" s="234"/>
      <c r="AW457" s="234"/>
      <c r="AX457" s="234"/>
      <c r="AY457" s="234"/>
      <c r="AZ457" s="234"/>
      <c r="BA457" s="234"/>
      <c r="BB457" s="234"/>
      <c r="BC457" s="234"/>
      <c r="BD457" s="234"/>
      <c r="BE457" s="234"/>
      <c r="BF457" s="234"/>
      <c r="BG457" s="234"/>
      <c r="BH457" s="234"/>
      <c r="BI457" s="234"/>
      <c r="BJ457" s="234"/>
      <c r="BK457" s="234"/>
      <c r="BL457" s="234"/>
      <c r="BM457" s="234"/>
      <c r="BN457" s="234"/>
      <c r="BO457" s="234"/>
    </row>
    <row r="458" spans="1:67" ht="24" customHeight="1" x14ac:dyDescent="0.25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  <c r="AD458" s="234"/>
      <c r="AE458" s="234"/>
      <c r="AF458" s="234"/>
      <c r="AG458" s="234"/>
      <c r="AH458" s="234"/>
      <c r="AI458" s="234"/>
      <c r="AJ458" s="234"/>
      <c r="AK458" s="234"/>
      <c r="AL458" s="234"/>
      <c r="AM458" s="234"/>
      <c r="AN458" s="234"/>
      <c r="AO458" s="234"/>
      <c r="AP458" s="234"/>
      <c r="AQ458" s="234"/>
      <c r="AR458" s="234"/>
      <c r="AS458" s="234"/>
      <c r="AT458" s="234"/>
      <c r="AU458" s="234"/>
      <c r="AV458" s="234"/>
      <c r="AW458" s="234"/>
      <c r="AX458" s="234"/>
      <c r="AY458" s="234"/>
      <c r="AZ458" s="234"/>
      <c r="BA458" s="234"/>
      <c r="BB458" s="234"/>
      <c r="BC458" s="234"/>
      <c r="BD458" s="234"/>
      <c r="BE458" s="234"/>
      <c r="BF458" s="234"/>
      <c r="BG458" s="234"/>
      <c r="BH458" s="234"/>
      <c r="BI458" s="234"/>
      <c r="BJ458" s="234"/>
      <c r="BK458" s="234"/>
      <c r="BL458" s="234"/>
      <c r="BM458" s="234"/>
      <c r="BN458" s="234"/>
      <c r="BO458" s="234"/>
    </row>
    <row r="459" spans="1:67" ht="24" customHeight="1" x14ac:dyDescent="0.25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  <c r="AD459" s="234"/>
      <c r="AE459" s="234"/>
      <c r="AF459" s="234"/>
      <c r="AG459" s="234"/>
      <c r="AH459" s="234"/>
      <c r="AI459" s="234"/>
      <c r="AJ459" s="234"/>
      <c r="AK459" s="234"/>
      <c r="AL459" s="234"/>
      <c r="AM459" s="234"/>
      <c r="AN459" s="234"/>
      <c r="AO459" s="234"/>
      <c r="AP459" s="234"/>
      <c r="AQ459" s="234"/>
      <c r="AR459" s="234"/>
      <c r="AS459" s="234"/>
      <c r="AT459" s="234"/>
      <c r="AU459" s="234"/>
      <c r="AV459" s="234"/>
      <c r="AW459" s="234"/>
      <c r="AX459" s="234"/>
      <c r="AY459" s="234"/>
      <c r="AZ459" s="234"/>
      <c r="BA459" s="234"/>
      <c r="BB459" s="234"/>
      <c r="BC459" s="234"/>
      <c r="BD459" s="234"/>
      <c r="BE459" s="234"/>
      <c r="BF459" s="234"/>
      <c r="BG459" s="234"/>
      <c r="BH459" s="234"/>
      <c r="BI459" s="234"/>
      <c r="BJ459" s="234"/>
      <c r="BK459" s="234"/>
      <c r="BL459" s="234"/>
      <c r="BM459" s="234"/>
      <c r="BN459" s="234"/>
      <c r="BO459" s="234"/>
    </row>
    <row r="460" spans="1:67" ht="24" customHeight="1" x14ac:dyDescent="0.25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  <c r="AH460" s="234"/>
      <c r="AI460" s="234"/>
      <c r="AJ460" s="234"/>
      <c r="AK460" s="234"/>
      <c r="AL460" s="234"/>
      <c r="AM460" s="234"/>
      <c r="AN460" s="234"/>
      <c r="AO460" s="234"/>
      <c r="AP460" s="234"/>
      <c r="AQ460" s="234"/>
      <c r="AR460" s="234"/>
      <c r="AS460" s="234"/>
      <c r="AT460" s="234"/>
      <c r="AU460" s="234"/>
      <c r="AV460" s="234"/>
      <c r="AW460" s="234"/>
      <c r="AX460" s="234"/>
      <c r="AY460" s="234"/>
      <c r="AZ460" s="234"/>
      <c r="BA460" s="234"/>
      <c r="BB460" s="234"/>
      <c r="BC460" s="234"/>
      <c r="BD460" s="234"/>
      <c r="BE460" s="234"/>
      <c r="BF460" s="234"/>
      <c r="BG460" s="234"/>
      <c r="BH460" s="234"/>
      <c r="BI460" s="234"/>
      <c r="BJ460" s="234"/>
      <c r="BK460" s="234"/>
      <c r="BL460" s="234"/>
      <c r="BM460" s="234"/>
      <c r="BN460" s="234"/>
      <c r="BO460" s="234"/>
    </row>
    <row r="461" spans="1:67" ht="24" customHeight="1" x14ac:dyDescent="0.25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  <c r="AH461" s="234"/>
      <c r="AI461" s="234"/>
      <c r="AJ461" s="234"/>
      <c r="AK461" s="234"/>
      <c r="AL461" s="234"/>
      <c r="AM461" s="234"/>
      <c r="AN461" s="234"/>
      <c r="AO461" s="234"/>
      <c r="AP461" s="234"/>
      <c r="AQ461" s="234"/>
      <c r="AR461" s="234"/>
      <c r="AS461" s="234"/>
      <c r="AT461" s="234"/>
      <c r="AU461" s="234"/>
      <c r="AV461" s="234"/>
      <c r="AW461" s="234"/>
      <c r="AX461" s="234"/>
      <c r="AY461" s="234"/>
      <c r="AZ461" s="234"/>
      <c r="BA461" s="234"/>
      <c r="BB461" s="234"/>
      <c r="BC461" s="234"/>
      <c r="BD461" s="234"/>
      <c r="BE461" s="234"/>
      <c r="BF461" s="234"/>
      <c r="BG461" s="234"/>
      <c r="BH461" s="234"/>
      <c r="BI461" s="234"/>
      <c r="BJ461" s="234"/>
      <c r="BK461" s="234"/>
      <c r="BL461" s="234"/>
      <c r="BM461" s="234"/>
      <c r="BN461" s="234"/>
      <c r="BO461" s="234"/>
    </row>
    <row r="462" spans="1:67" ht="24" customHeight="1" x14ac:dyDescent="0.25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  <c r="AD462" s="234"/>
      <c r="AE462" s="234"/>
      <c r="AF462" s="234"/>
      <c r="AG462" s="234"/>
      <c r="AH462" s="234"/>
      <c r="AI462" s="234"/>
      <c r="AJ462" s="234"/>
      <c r="AK462" s="234"/>
      <c r="AL462" s="234"/>
      <c r="AM462" s="234"/>
      <c r="AN462" s="234"/>
      <c r="AO462" s="234"/>
      <c r="AP462" s="234"/>
      <c r="AQ462" s="234"/>
      <c r="AR462" s="234"/>
      <c r="AS462" s="234"/>
      <c r="AT462" s="234"/>
      <c r="AU462" s="234"/>
      <c r="AV462" s="234"/>
      <c r="AW462" s="234"/>
      <c r="AX462" s="234"/>
      <c r="AY462" s="234"/>
      <c r="AZ462" s="234"/>
      <c r="BA462" s="234"/>
      <c r="BB462" s="234"/>
      <c r="BC462" s="234"/>
      <c r="BD462" s="234"/>
      <c r="BE462" s="234"/>
      <c r="BF462" s="234"/>
      <c r="BG462" s="234"/>
      <c r="BH462" s="234"/>
      <c r="BI462" s="234"/>
      <c r="BJ462" s="234"/>
      <c r="BK462" s="234"/>
      <c r="BL462" s="234"/>
      <c r="BM462" s="234"/>
      <c r="BN462" s="234"/>
      <c r="BO462" s="234"/>
    </row>
    <row r="463" spans="1:67" ht="24" customHeight="1" x14ac:dyDescent="0.25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  <c r="AD463" s="234"/>
      <c r="AE463" s="234"/>
      <c r="AF463" s="234"/>
      <c r="AG463" s="234"/>
      <c r="AH463" s="234"/>
      <c r="AI463" s="234"/>
      <c r="AJ463" s="234"/>
      <c r="AK463" s="234"/>
      <c r="AL463" s="234"/>
      <c r="AM463" s="234"/>
      <c r="AN463" s="234"/>
      <c r="AO463" s="234"/>
      <c r="AP463" s="234"/>
      <c r="AQ463" s="234"/>
      <c r="AR463" s="234"/>
      <c r="AS463" s="234"/>
      <c r="AT463" s="234"/>
      <c r="AU463" s="234"/>
      <c r="AV463" s="234"/>
      <c r="AW463" s="234"/>
      <c r="AX463" s="234"/>
      <c r="AY463" s="234"/>
      <c r="AZ463" s="234"/>
      <c r="BA463" s="234"/>
      <c r="BB463" s="234"/>
      <c r="BC463" s="234"/>
      <c r="BD463" s="234"/>
      <c r="BE463" s="234"/>
      <c r="BF463" s="234"/>
      <c r="BG463" s="234"/>
      <c r="BH463" s="234"/>
      <c r="BI463" s="234"/>
      <c r="BJ463" s="234"/>
      <c r="BK463" s="234"/>
      <c r="BL463" s="234"/>
      <c r="BM463" s="234"/>
      <c r="BN463" s="234"/>
      <c r="BO463" s="234"/>
    </row>
    <row r="464" spans="1:67" ht="24" customHeight="1" x14ac:dyDescent="0.25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  <c r="AD464" s="234"/>
      <c r="AE464" s="234"/>
      <c r="AF464" s="234"/>
      <c r="AG464" s="234"/>
      <c r="AH464" s="234"/>
      <c r="AI464" s="234"/>
      <c r="AJ464" s="234"/>
      <c r="AK464" s="234"/>
      <c r="AL464" s="234"/>
      <c r="AM464" s="234"/>
      <c r="AN464" s="234"/>
      <c r="AO464" s="234"/>
      <c r="AP464" s="234"/>
      <c r="AQ464" s="234"/>
      <c r="AR464" s="234"/>
      <c r="AS464" s="234"/>
      <c r="AT464" s="234"/>
      <c r="AU464" s="234"/>
      <c r="AV464" s="234"/>
      <c r="AW464" s="234"/>
      <c r="AX464" s="234"/>
      <c r="AY464" s="234"/>
      <c r="AZ464" s="234"/>
      <c r="BA464" s="234"/>
      <c r="BB464" s="234"/>
      <c r="BC464" s="234"/>
      <c r="BD464" s="234"/>
      <c r="BE464" s="234"/>
      <c r="BF464" s="234"/>
      <c r="BG464" s="234"/>
      <c r="BH464" s="234"/>
      <c r="BI464" s="234"/>
      <c r="BJ464" s="234"/>
      <c r="BK464" s="234"/>
      <c r="BL464" s="234"/>
      <c r="BM464" s="234"/>
      <c r="BN464" s="234"/>
      <c r="BO464" s="234"/>
    </row>
    <row r="465" spans="1:67" ht="24" customHeight="1" x14ac:dyDescent="0.2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  <c r="AD465" s="234"/>
      <c r="AE465" s="234"/>
      <c r="AF465" s="234"/>
      <c r="AG465" s="234"/>
      <c r="AH465" s="234"/>
      <c r="AI465" s="234"/>
      <c r="AJ465" s="234"/>
      <c r="AK465" s="234"/>
      <c r="AL465" s="234"/>
      <c r="AM465" s="234"/>
      <c r="AN465" s="234"/>
      <c r="AO465" s="234"/>
      <c r="AP465" s="234"/>
      <c r="AQ465" s="234"/>
      <c r="AR465" s="234"/>
      <c r="AS465" s="234"/>
      <c r="AT465" s="234"/>
      <c r="AU465" s="234"/>
      <c r="AV465" s="234"/>
      <c r="AW465" s="234"/>
      <c r="AX465" s="234"/>
      <c r="AY465" s="234"/>
      <c r="AZ465" s="234"/>
      <c r="BA465" s="234"/>
      <c r="BB465" s="234"/>
      <c r="BC465" s="234"/>
      <c r="BD465" s="234"/>
      <c r="BE465" s="234"/>
      <c r="BF465" s="234"/>
      <c r="BG465" s="234"/>
      <c r="BH465" s="234"/>
      <c r="BI465" s="234"/>
      <c r="BJ465" s="234"/>
      <c r="BK465" s="234"/>
      <c r="BL465" s="234"/>
      <c r="BM465" s="234"/>
      <c r="BN465" s="234"/>
      <c r="BO465" s="234"/>
    </row>
    <row r="466" spans="1:67" ht="24" customHeight="1" x14ac:dyDescent="0.25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  <c r="AD466" s="234"/>
      <c r="AE466" s="234"/>
      <c r="AF466" s="234"/>
      <c r="AG466" s="234"/>
      <c r="AH466" s="234"/>
      <c r="AI466" s="234"/>
      <c r="AJ466" s="234"/>
      <c r="AK466" s="234"/>
      <c r="AL466" s="234"/>
      <c r="AM466" s="234"/>
      <c r="AN466" s="234"/>
      <c r="AO466" s="234"/>
      <c r="AP466" s="234"/>
      <c r="AQ466" s="234"/>
      <c r="AR466" s="234"/>
      <c r="AS466" s="234"/>
      <c r="AT466" s="234"/>
      <c r="AU466" s="234"/>
      <c r="AV466" s="234"/>
      <c r="AW466" s="234"/>
      <c r="AX466" s="234"/>
      <c r="AY466" s="234"/>
      <c r="AZ466" s="234"/>
      <c r="BA466" s="234"/>
      <c r="BB466" s="234"/>
      <c r="BC466" s="234"/>
      <c r="BD466" s="234"/>
      <c r="BE466" s="234"/>
      <c r="BF466" s="234"/>
      <c r="BG466" s="234"/>
      <c r="BH466" s="234"/>
      <c r="BI466" s="234"/>
      <c r="BJ466" s="234"/>
      <c r="BK466" s="234"/>
      <c r="BL466" s="234"/>
      <c r="BM466" s="234"/>
      <c r="BN466" s="234"/>
      <c r="BO466" s="234"/>
    </row>
    <row r="467" spans="1:67" ht="24" customHeight="1" x14ac:dyDescent="0.25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  <c r="AD467" s="234"/>
      <c r="AE467" s="234"/>
      <c r="AF467" s="234"/>
      <c r="AG467" s="234"/>
      <c r="AH467" s="234"/>
      <c r="AI467" s="234"/>
      <c r="AJ467" s="234"/>
      <c r="AK467" s="234"/>
      <c r="AL467" s="234"/>
      <c r="AM467" s="234"/>
      <c r="AN467" s="234"/>
      <c r="AO467" s="234"/>
      <c r="AP467" s="234"/>
      <c r="AQ467" s="234"/>
      <c r="AR467" s="234"/>
      <c r="AS467" s="234"/>
      <c r="AT467" s="234"/>
      <c r="AU467" s="234"/>
      <c r="AV467" s="234"/>
      <c r="AW467" s="234"/>
      <c r="AX467" s="234"/>
      <c r="AY467" s="234"/>
      <c r="AZ467" s="234"/>
      <c r="BA467" s="234"/>
      <c r="BB467" s="234"/>
      <c r="BC467" s="234"/>
      <c r="BD467" s="234"/>
      <c r="BE467" s="234"/>
      <c r="BF467" s="234"/>
      <c r="BG467" s="234"/>
      <c r="BH467" s="234"/>
      <c r="BI467" s="234"/>
      <c r="BJ467" s="234"/>
      <c r="BK467" s="234"/>
      <c r="BL467" s="234"/>
      <c r="BM467" s="234"/>
      <c r="BN467" s="234"/>
      <c r="BO467" s="234"/>
    </row>
    <row r="468" spans="1:67" ht="24" customHeight="1" x14ac:dyDescent="0.25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  <c r="AD468" s="234"/>
      <c r="AE468" s="234"/>
      <c r="AF468" s="234"/>
      <c r="AG468" s="234"/>
      <c r="AH468" s="234"/>
      <c r="AI468" s="234"/>
      <c r="AJ468" s="234"/>
      <c r="AK468" s="234"/>
      <c r="AL468" s="234"/>
      <c r="AM468" s="234"/>
      <c r="AN468" s="234"/>
      <c r="AO468" s="234"/>
      <c r="AP468" s="234"/>
      <c r="AQ468" s="234"/>
      <c r="AR468" s="234"/>
      <c r="AS468" s="234"/>
      <c r="AT468" s="234"/>
      <c r="AU468" s="234"/>
      <c r="AV468" s="234"/>
      <c r="AW468" s="234"/>
      <c r="AX468" s="234"/>
      <c r="AY468" s="234"/>
      <c r="AZ468" s="234"/>
      <c r="BA468" s="234"/>
      <c r="BB468" s="234"/>
      <c r="BC468" s="234"/>
      <c r="BD468" s="234"/>
      <c r="BE468" s="234"/>
      <c r="BF468" s="234"/>
      <c r="BG468" s="234"/>
      <c r="BH468" s="234"/>
      <c r="BI468" s="234"/>
      <c r="BJ468" s="234"/>
      <c r="BK468" s="234"/>
      <c r="BL468" s="234"/>
      <c r="BM468" s="234"/>
      <c r="BN468" s="234"/>
      <c r="BO468" s="234"/>
    </row>
    <row r="469" spans="1:67" ht="24" customHeight="1" x14ac:dyDescent="0.25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  <c r="AD469" s="234"/>
      <c r="AE469" s="234"/>
      <c r="AF469" s="234"/>
      <c r="AG469" s="234"/>
      <c r="AH469" s="234"/>
      <c r="AI469" s="234"/>
      <c r="AJ469" s="234"/>
      <c r="AK469" s="234"/>
      <c r="AL469" s="234"/>
      <c r="AM469" s="234"/>
      <c r="AN469" s="234"/>
      <c r="AO469" s="234"/>
      <c r="AP469" s="234"/>
      <c r="AQ469" s="234"/>
      <c r="AR469" s="234"/>
      <c r="AS469" s="234"/>
      <c r="AT469" s="234"/>
      <c r="AU469" s="234"/>
      <c r="AV469" s="234"/>
      <c r="AW469" s="234"/>
      <c r="AX469" s="234"/>
      <c r="AY469" s="234"/>
      <c r="AZ469" s="234"/>
      <c r="BA469" s="234"/>
      <c r="BB469" s="234"/>
      <c r="BC469" s="234"/>
      <c r="BD469" s="234"/>
      <c r="BE469" s="234"/>
      <c r="BF469" s="234"/>
      <c r="BG469" s="234"/>
      <c r="BH469" s="234"/>
      <c r="BI469" s="234"/>
      <c r="BJ469" s="234"/>
      <c r="BK469" s="234"/>
      <c r="BL469" s="234"/>
      <c r="BM469" s="234"/>
      <c r="BN469" s="234"/>
      <c r="BO469" s="234"/>
    </row>
    <row r="470" spans="1:67" ht="24" customHeight="1" x14ac:dyDescent="0.25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  <c r="AD470" s="234"/>
      <c r="AE470" s="234"/>
      <c r="AF470" s="234"/>
      <c r="AG470" s="234"/>
      <c r="AH470" s="234"/>
      <c r="AI470" s="234"/>
      <c r="AJ470" s="234"/>
      <c r="AK470" s="234"/>
      <c r="AL470" s="234"/>
      <c r="AM470" s="234"/>
      <c r="AN470" s="234"/>
      <c r="AO470" s="234"/>
      <c r="AP470" s="234"/>
      <c r="AQ470" s="234"/>
      <c r="AR470" s="234"/>
      <c r="AS470" s="234"/>
      <c r="AT470" s="234"/>
      <c r="AU470" s="234"/>
      <c r="AV470" s="234"/>
      <c r="AW470" s="234"/>
      <c r="AX470" s="234"/>
      <c r="AY470" s="234"/>
      <c r="AZ470" s="234"/>
      <c r="BA470" s="234"/>
      <c r="BB470" s="234"/>
      <c r="BC470" s="234"/>
      <c r="BD470" s="234"/>
      <c r="BE470" s="234"/>
      <c r="BF470" s="234"/>
      <c r="BG470" s="234"/>
      <c r="BH470" s="234"/>
      <c r="BI470" s="234"/>
      <c r="BJ470" s="234"/>
      <c r="BK470" s="234"/>
      <c r="BL470" s="234"/>
      <c r="BM470" s="234"/>
      <c r="BN470" s="234"/>
      <c r="BO470" s="234"/>
    </row>
    <row r="471" spans="1:67" ht="24" customHeight="1" x14ac:dyDescent="0.25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  <c r="AD471" s="234"/>
      <c r="AE471" s="234"/>
      <c r="AF471" s="234"/>
      <c r="AG471" s="234"/>
      <c r="AH471" s="234"/>
      <c r="AI471" s="234"/>
      <c r="AJ471" s="234"/>
      <c r="AK471" s="234"/>
      <c r="AL471" s="234"/>
      <c r="AM471" s="234"/>
      <c r="AN471" s="234"/>
      <c r="AO471" s="234"/>
      <c r="AP471" s="234"/>
      <c r="AQ471" s="234"/>
      <c r="AR471" s="234"/>
      <c r="AS471" s="234"/>
      <c r="AT471" s="234"/>
      <c r="AU471" s="234"/>
      <c r="AV471" s="234"/>
      <c r="AW471" s="234"/>
      <c r="AX471" s="234"/>
      <c r="AY471" s="234"/>
      <c r="AZ471" s="234"/>
      <c r="BA471" s="234"/>
      <c r="BB471" s="234"/>
      <c r="BC471" s="234"/>
      <c r="BD471" s="234"/>
      <c r="BE471" s="234"/>
      <c r="BF471" s="234"/>
      <c r="BG471" s="234"/>
      <c r="BH471" s="234"/>
      <c r="BI471" s="234"/>
      <c r="BJ471" s="234"/>
      <c r="BK471" s="234"/>
      <c r="BL471" s="234"/>
      <c r="BM471" s="234"/>
      <c r="BN471" s="234"/>
      <c r="BO471" s="234"/>
    </row>
    <row r="472" spans="1:67" ht="24" customHeight="1" x14ac:dyDescent="0.25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  <c r="AD472" s="234"/>
      <c r="AE472" s="234"/>
      <c r="AF472" s="234"/>
      <c r="AG472" s="234"/>
      <c r="AH472" s="234"/>
      <c r="AI472" s="234"/>
      <c r="AJ472" s="234"/>
      <c r="AK472" s="234"/>
      <c r="AL472" s="234"/>
      <c r="AM472" s="234"/>
      <c r="AN472" s="234"/>
      <c r="AO472" s="234"/>
      <c r="AP472" s="234"/>
      <c r="AQ472" s="234"/>
      <c r="AR472" s="234"/>
      <c r="AS472" s="234"/>
      <c r="AT472" s="234"/>
      <c r="AU472" s="234"/>
      <c r="AV472" s="234"/>
      <c r="AW472" s="234"/>
      <c r="AX472" s="234"/>
      <c r="AY472" s="234"/>
      <c r="AZ472" s="234"/>
      <c r="BA472" s="234"/>
      <c r="BB472" s="234"/>
      <c r="BC472" s="234"/>
      <c r="BD472" s="234"/>
      <c r="BE472" s="234"/>
      <c r="BF472" s="234"/>
      <c r="BG472" s="234"/>
      <c r="BH472" s="234"/>
      <c r="BI472" s="234"/>
      <c r="BJ472" s="234"/>
      <c r="BK472" s="234"/>
      <c r="BL472" s="234"/>
      <c r="BM472" s="234"/>
      <c r="BN472" s="234"/>
      <c r="BO472" s="234"/>
    </row>
    <row r="473" spans="1:67" ht="24" customHeight="1" x14ac:dyDescent="0.25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  <c r="AD473" s="234"/>
      <c r="AE473" s="234"/>
      <c r="AF473" s="234"/>
      <c r="AG473" s="234"/>
      <c r="AH473" s="234"/>
      <c r="AI473" s="234"/>
      <c r="AJ473" s="234"/>
      <c r="AK473" s="234"/>
      <c r="AL473" s="234"/>
      <c r="AM473" s="234"/>
      <c r="AN473" s="234"/>
      <c r="AO473" s="234"/>
      <c r="AP473" s="234"/>
      <c r="AQ473" s="234"/>
      <c r="AR473" s="234"/>
      <c r="AS473" s="234"/>
      <c r="AT473" s="234"/>
      <c r="AU473" s="234"/>
      <c r="AV473" s="234"/>
      <c r="AW473" s="234"/>
      <c r="AX473" s="234"/>
      <c r="AY473" s="234"/>
      <c r="AZ473" s="234"/>
      <c r="BA473" s="234"/>
      <c r="BB473" s="234"/>
      <c r="BC473" s="234"/>
      <c r="BD473" s="234"/>
      <c r="BE473" s="234"/>
      <c r="BF473" s="234"/>
      <c r="BG473" s="234"/>
      <c r="BH473" s="234"/>
      <c r="BI473" s="234"/>
      <c r="BJ473" s="234"/>
      <c r="BK473" s="234"/>
      <c r="BL473" s="234"/>
      <c r="BM473" s="234"/>
      <c r="BN473" s="234"/>
      <c r="BO473" s="234"/>
    </row>
    <row r="474" spans="1:67" ht="24" customHeight="1" x14ac:dyDescent="0.25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  <c r="AD474" s="234"/>
      <c r="AE474" s="234"/>
      <c r="AF474" s="234"/>
      <c r="AG474" s="234"/>
      <c r="AH474" s="234"/>
      <c r="AI474" s="234"/>
      <c r="AJ474" s="234"/>
      <c r="AK474" s="234"/>
      <c r="AL474" s="234"/>
      <c r="AM474" s="234"/>
      <c r="AN474" s="234"/>
      <c r="AO474" s="234"/>
      <c r="AP474" s="234"/>
      <c r="AQ474" s="234"/>
      <c r="AR474" s="234"/>
      <c r="AS474" s="234"/>
      <c r="AT474" s="234"/>
      <c r="AU474" s="234"/>
      <c r="AV474" s="234"/>
      <c r="AW474" s="234"/>
      <c r="AX474" s="234"/>
      <c r="AY474" s="234"/>
      <c r="AZ474" s="234"/>
      <c r="BA474" s="234"/>
      <c r="BB474" s="234"/>
      <c r="BC474" s="234"/>
      <c r="BD474" s="234"/>
      <c r="BE474" s="234"/>
      <c r="BF474" s="234"/>
      <c r="BG474" s="234"/>
      <c r="BH474" s="234"/>
      <c r="BI474" s="234"/>
      <c r="BJ474" s="234"/>
      <c r="BK474" s="234"/>
      <c r="BL474" s="234"/>
      <c r="BM474" s="234"/>
      <c r="BN474" s="234"/>
      <c r="BO474" s="234"/>
    </row>
    <row r="475" spans="1:67" ht="24" customHeight="1" x14ac:dyDescent="0.2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  <c r="AD475" s="234"/>
      <c r="AE475" s="234"/>
      <c r="AF475" s="234"/>
      <c r="AG475" s="234"/>
      <c r="AH475" s="234"/>
      <c r="AI475" s="234"/>
      <c r="AJ475" s="234"/>
      <c r="AK475" s="234"/>
      <c r="AL475" s="234"/>
      <c r="AM475" s="234"/>
      <c r="AN475" s="234"/>
      <c r="AO475" s="234"/>
      <c r="AP475" s="234"/>
      <c r="AQ475" s="234"/>
      <c r="AR475" s="234"/>
      <c r="AS475" s="234"/>
      <c r="AT475" s="234"/>
      <c r="AU475" s="234"/>
      <c r="AV475" s="234"/>
      <c r="AW475" s="234"/>
      <c r="AX475" s="234"/>
      <c r="AY475" s="234"/>
      <c r="AZ475" s="234"/>
      <c r="BA475" s="234"/>
      <c r="BB475" s="234"/>
      <c r="BC475" s="234"/>
      <c r="BD475" s="234"/>
      <c r="BE475" s="234"/>
      <c r="BF475" s="234"/>
      <c r="BG475" s="234"/>
      <c r="BH475" s="234"/>
      <c r="BI475" s="234"/>
      <c r="BJ475" s="234"/>
      <c r="BK475" s="234"/>
      <c r="BL475" s="234"/>
      <c r="BM475" s="234"/>
      <c r="BN475" s="234"/>
      <c r="BO475" s="234"/>
    </row>
    <row r="476" spans="1:67" ht="24" customHeight="1" x14ac:dyDescent="0.25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  <c r="AD476" s="234"/>
      <c r="AE476" s="234"/>
      <c r="AF476" s="234"/>
      <c r="AG476" s="234"/>
      <c r="AH476" s="234"/>
      <c r="AI476" s="234"/>
      <c r="AJ476" s="234"/>
      <c r="AK476" s="234"/>
      <c r="AL476" s="234"/>
      <c r="AM476" s="234"/>
      <c r="AN476" s="234"/>
      <c r="AO476" s="234"/>
      <c r="AP476" s="234"/>
      <c r="AQ476" s="234"/>
      <c r="AR476" s="234"/>
      <c r="AS476" s="234"/>
      <c r="AT476" s="234"/>
      <c r="AU476" s="234"/>
      <c r="AV476" s="234"/>
      <c r="AW476" s="234"/>
      <c r="AX476" s="234"/>
      <c r="AY476" s="234"/>
      <c r="AZ476" s="234"/>
      <c r="BA476" s="234"/>
      <c r="BB476" s="234"/>
      <c r="BC476" s="234"/>
      <c r="BD476" s="234"/>
      <c r="BE476" s="234"/>
      <c r="BF476" s="234"/>
      <c r="BG476" s="234"/>
      <c r="BH476" s="234"/>
      <c r="BI476" s="234"/>
      <c r="BJ476" s="234"/>
      <c r="BK476" s="234"/>
      <c r="BL476" s="234"/>
      <c r="BM476" s="234"/>
      <c r="BN476" s="234"/>
      <c r="BO476" s="234"/>
    </row>
    <row r="477" spans="1:67" ht="24" customHeight="1" x14ac:dyDescent="0.25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  <c r="AD477" s="234"/>
      <c r="AE477" s="234"/>
      <c r="AF477" s="234"/>
      <c r="AG477" s="234"/>
      <c r="AH477" s="234"/>
      <c r="AI477" s="234"/>
      <c r="AJ477" s="234"/>
      <c r="AK477" s="234"/>
      <c r="AL477" s="234"/>
      <c r="AM477" s="234"/>
      <c r="AN477" s="234"/>
      <c r="AO477" s="234"/>
      <c r="AP477" s="234"/>
      <c r="AQ477" s="234"/>
      <c r="AR477" s="234"/>
      <c r="AS477" s="234"/>
      <c r="AT477" s="234"/>
      <c r="AU477" s="234"/>
      <c r="AV477" s="234"/>
      <c r="AW477" s="234"/>
      <c r="AX477" s="234"/>
      <c r="AY477" s="234"/>
      <c r="AZ477" s="234"/>
      <c r="BA477" s="234"/>
      <c r="BB477" s="234"/>
      <c r="BC477" s="234"/>
      <c r="BD477" s="234"/>
      <c r="BE477" s="234"/>
      <c r="BF477" s="234"/>
      <c r="BG477" s="234"/>
      <c r="BH477" s="234"/>
      <c r="BI477" s="234"/>
      <c r="BJ477" s="234"/>
      <c r="BK477" s="234"/>
      <c r="BL477" s="234"/>
      <c r="BM477" s="234"/>
      <c r="BN477" s="234"/>
      <c r="BO477" s="234"/>
    </row>
    <row r="478" spans="1:67" ht="24" customHeight="1" x14ac:dyDescent="0.25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  <c r="AD478" s="234"/>
      <c r="AE478" s="234"/>
      <c r="AF478" s="234"/>
      <c r="AG478" s="234"/>
      <c r="AH478" s="234"/>
      <c r="AI478" s="234"/>
      <c r="AJ478" s="234"/>
      <c r="AK478" s="234"/>
      <c r="AL478" s="234"/>
      <c r="AM478" s="234"/>
      <c r="AN478" s="234"/>
      <c r="AO478" s="234"/>
      <c r="AP478" s="234"/>
      <c r="AQ478" s="234"/>
      <c r="AR478" s="234"/>
      <c r="AS478" s="234"/>
      <c r="AT478" s="234"/>
      <c r="AU478" s="234"/>
      <c r="AV478" s="234"/>
      <c r="AW478" s="234"/>
      <c r="AX478" s="234"/>
      <c r="AY478" s="234"/>
      <c r="AZ478" s="234"/>
      <c r="BA478" s="234"/>
      <c r="BB478" s="234"/>
      <c r="BC478" s="234"/>
      <c r="BD478" s="234"/>
      <c r="BE478" s="234"/>
      <c r="BF478" s="234"/>
      <c r="BG478" s="234"/>
      <c r="BH478" s="234"/>
      <c r="BI478" s="234"/>
      <c r="BJ478" s="234"/>
      <c r="BK478" s="234"/>
      <c r="BL478" s="234"/>
      <c r="BM478" s="234"/>
      <c r="BN478" s="234"/>
      <c r="BO478" s="234"/>
    </row>
    <row r="479" spans="1:67" ht="24" customHeight="1" x14ac:dyDescent="0.25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  <c r="AD479" s="234"/>
      <c r="AE479" s="234"/>
      <c r="AF479" s="234"/>
      <c r="AG479" s="234"/>
      <c r="AH479" s="234"/>
      <c r="AI479" s="234"/>
      <c r="AJ479" s="234"/>
      <c r="AK479" s="234"/>
      <c r="AL479" s="234"/>
      <c r="AM479" s="234"/>
      <c r="AN479" s="234"/>
      <c r="AO479" s="234"/>
      <c r="AP479" s="234"/>
      <c r="AQ479" s="234"/>
      <c r="AR479" s="234"/>
      <c r="AS479" s="234"/>
      <c r="AT479" s="234"/>
      <c r="AU479" s="234"/>
      <c r="AV479" s="234"/>
      <c r="AW479" s="234"/>
      <c r="AX479" s="234"/>
      <c r="AY479" s="234"/>
      <c r="AZ479" s="234"/>
      <c r="BA479" s="234"/>
      <c r="BB479" s="234"/>
      <c r="BC479" s="234"/>
      <c r="BD479" s="234"/>
      <c r="BE479" s="234"/>
      <c r="BF479" s="234"/>
      <c r="BG479" s="234"/>
      <c r="BH479" s="234"/>
      <c r="BI479" s="234"/>
      <c r="BJ479" s="234"/>
      <c r="BK479" s="234"/>
      <c r="BL479" s="234"/>
      <c r="BM479" s="234"/>
      <c r="BN479" s="234"/>
      <c r="BO479" s="234"/>
    </row>
    <row r="480" spans="1:67" ht="24" customHeight="1" x14ac:dyDescent="0.25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  <c r="AD480" s="234"/>
      <c r="AE480" s="234"/>
      <c r="AF480" s="234"/>
      <c r="AG480" s="234"/>
      <c r="AH480" s="234"/>
      <c r="AI480" s="234"/>
      <c r="AJ480" s="234"/>
      <c r="AK480" s="234"/>
      <c r="AL480" s="234"/>
      <c r="AM480" s="234"/>
      <c r="AN480" s="234"/>
      <c r="AO480" s="234"/>
      <c r="AP480" s="234"/>
      <c r="AQ480" s="234"/>
      <c r="AR480" s="234"/>
      <c r="AS480" s="234"/>
      <c r="AT480" s="234"/>
      <c r="AU480" s="234"/>
      <c r="AV480" s="234"/>
      <c r="AW480" s="234"/>
      <c r="AX480" s="234"/>
      <c r="AY480" s="234"/>
      <c r="AZ480" s="234"/>
      <c r="BA480" s="234"/>
      <c r="BB480" s="234"/>
      <c r="BC480" s="234"/>
      <c r="BD480" s="234"/>
      <c r="BE480" s="234"/>
      <c r="BF480" s="234"/>
      <c r="BG480" s="234"/>
      <c r="BH480" s="234"/>
      <c r="BI480" s="234"/>
      <c r="BJ480" s="234"/>
      <c r="BK480" s="234"/>
      <c r="BL480" s="234"/>
      <c r="BM480" s="234"/>
      <c r="BN480" s="234"/>
      <c r="BO480" s="234"/>
    </row>
    <row r="481" spans="1:67" ht="24" customHeight="1" x14ac:dyDescent="0.25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  <c r="AD481" s="234"/>
      <c r="AE481" s="234"/>
      <c r="AF481" s="234"/>
      <c r="AG481" s="234"/>
      <c r="AH481" s="234"/>
      <c r="AI481" s="234"/>
      <c r="AJ481" s="234"/>
      <c r="AK481" s="234"/>
      <c r="AL481" s="234"/>
      <c r="AM481" s="234"/>
      <c r="AN481" s="234"/>
      <c r="AO481" s="234"/>
      <c r="AP481" s="234"/>
      <c r="AQ481" s="234"/>
      <c r="AR481" s="234"/>
      <c r="AS481" s="234"/>
      <c r="AT481" s="234"/>
      <c r="AU481" s="234"/>
      <c r="AV481" s="234"/>
      <c r="AW481" s="234"/>
      <c r="AX481" s="234"/>
      <c r="AY481" s="234"/>
      <c r="AZ481" s="234"/>
      <c r="BA481" s="234"/>
      <c r="BB481" s="234"/>
      <c r="BC481" s="234"/>
      <c r="BD481" s="234"/>
      <c r="BE481" s="234"/>
      <c r="BF481" s="234"/>
      <c r="BG481" s="234"/>
      <c r="BH481" s="234"/>
      <c r="BI481" s="234"/>
      <c r="BJ481" s="234"/>
      <c r="BK481" s="234"/>
      <c r="BL481" s="234"/>
      <c r="BM481" s="234"/>
      <c r="BN481" s="234"/>
      <c r="BO481" s="234"/>
    </row>
    <row r="482" spans="1:67" ht="24" customHeight="1" x14ac:dyDescent="0.25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  <c r="AD482" s="234"/>
      <c r="AE482" s="234"/>
      <c r="AF482" s="234"/>
      <c r="AG482" s="234"/>
      <c r="AH482" s="234"/>
      <c r="AI482" s="234"/>
      <c r="AJ482" s="234"/>
      <c r="AK482" s="234"/>
      <c r="AL482" s="234"/>
      <c r="AM482" s="234"/>
      <c r="AN482" s="234"/>
      <c r="AO482" s="234"/>
      <c r="AP482" s="234"/>
      <c r="AQ482" s="234"/>
      <c r="AR482" s="234"/>
      <c r="AS482" s="234"/>
      <c r="AT482" s="234"/>
      <c r="AU482" s="234"/>
      <c r="AV482" s="234"/>
      <c r="AW482" s="234"/>
      <c r="AX482" s="234"/>
      <c r="AY482" s="234"/>
      <c r="AZ482" s="234"/>
      <c r="BA482" s="234"/>
      <c r="BB482" s="234"/>
      <c r="BC482" s="234"/>
      <c r="BD482" s="234"/>
      <c r="BE482" s="234"/>
      <c r="BF482" s="234"/>
      <c r="BG482" s="234"/>
      <c r="BH482" s="234"/>
      <c r="BI482" s="234"/>
      <c r="BJ482" s="234"/>
      <c r="BK482" s="234"/>
      <c r="BL482" s="234"/>
      <c r="BM482" s="234"/>
      <c r="BN482" s="234"/>
      <c r="BO482" s="234"/>
    </row>
    <row r="483" spans="1:67" ht="24" customHeight="1" x14ac:dyDescent="0.25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4"/>
      <c r="AH483" s="234"/>
      <c r="AI483" s="234"/>
      <c r="AJ483" s="234"/>
      <c r="AK483" s="234"/>
      <c r="AL483" s="234"/>
      <c r="AM483" s="234"/>
      <c r="AN483" s="234"/>
      <c r="AO483" s="234"/>
      <c r="AP483" s="234"/>
      <c r="AQ483" s="234"/>
      <c r="AR483" s="234"/>
      <c r="AS483" s="234"/>
      <c r="AT483" s="234"/>
      <c r="AU483" s="234"/>
      <c r="AV483" s="234"/>
      <c r="AW483" s="234"/>
      <c r="AX483" s="234"/>
      <c r="AY483" s="234"/>
      <c r="AZ483" s="234"/>
      <c r="BA483" s="234"/>
      <c r="BB483" s="234"/>
      <c r="BC483" s="234"/>
      <c r="BD483" s="234"/>
      <c r="BE483" s="234"/>
      <c r="BF483" s="234"/>
      <c r="BG483" s="234"/>
      <c r="BH483" s="234"/>
      <c r="BI483" s="234"/>
      <c r="BJ483" s="234"/>
      <c r="BK483" s="234"/>
      <c r="BL483" s="234"/>
      <c r="BM483" s="234"/>
      <c r="BN483" s="234"/>
      <c r="BO483" s="234"/>
    </row>
    <row r="484" spans="1:67" ht="24" customHeight="1" x14ac:dyDescent="0.25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  <c r="AD484" s="234"/>
      <c r="AE484" s="234"/>
      <c r="AF484" s="234"/>
      <c r="AG484" s="234"/>
      <c r="AH484" s="234"/>
      <c r="AI484" s="234"/>
      <c r="AJ484" s="234"/>
      <c r="AK484" s="234"/>
      <c r="AL484" s="234"/>
      <c r="AM484" s="234"/>
      <c r="AN484" s="234"/>
      <c r="AO484" s="234"/>
      <c r="AP484" s="234"/>
      <c r="AQ484" s="234"/>
      <c r="AR484" s="234"/>
      <c r="AS484" s="234"/>
      <c r="AT484" s="234"/>
      <c r="AU484" s="234"/>
      <c r="AV484" s="234"/>
      <c r="AW484" s="234"/>
      <c r="AX484" s="234"/>
      <c r="AY484" s="234"/>
      <c r="AZ484" s="234"/>
      <c r="BA484" s="234"/>
      <c r="BB484" s="234"/>
      <c r="BC484" s="234"/>
      <c r="BD484" s="234"/>
      <c r="BE484" s="234"/>
      <c r="BF484" s="234"/>
      <c r="BG484" s="234"/>
      <c r="BH484" s="234"/>
      <c r="BI484" s="234"/>
      <c r="BJ484" s="234"/>
      <c r="BK484" s="234"/>
      <c r="BL484" s="234"/>
      <c r="BM484" s="234"/>
      <c r="BN484" s="234"/>
      <c r="BO484" s="234"/>
    </row>
    <row r="485" spans="1:67" ht="24" customHeight="1" x14ac:dyDescent="0.2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  <c r="AD485" s="234"/>
      <c r="AE485" s="234"/>
      <c r="AF485" s="234"/>
      <c r="AG485" s="234"/>
      <c r="AH485" s="234"/>
      <c r="AI485" s="234"/>
      <c r="AJ485" s="234"/>
      <c r="AK485" s="234"/>
      <c r="AL485" s="234"/>
      <c r="AM485" s="234"/>
      <c r="AN485" s="234"/>
      <c r="AO485" s="234"/>
      <c r="AP485" s="234"/>
      <c r="AQ485" s="234"/>
      <c r="AR485" s="234"/>
      <c r="AS485" s="234"/>
      <c r="AT485" s="234"/>
      <c r="AU485" s="234"/>
      <c r="AV485" s="234"/>
      <c r="AW485" s="234"/>
      <c r="AX485" s="234"/>
      <c r="AY485" s="234"/>
      <c r="AZ485" s="234"/>
      <c r="BA485" s="234"/>
      <c r="BB485" s="234"/>
      <c r="BC485" s="234"/>
      <c r="BD485" s="234"/>
      <c r="BE485" s="234"/>
      <c r="BF485" s="234"/>
      <c r="BG485" s="234"/>
      <c r="BH485" s="234"/>
      <c r="BI485" s="234"/>
      <c r="BJ485" s="234"/>
      <c r="BK485" s="234"/>
      <c r="BL485" s="234"/>
      <c r="BM485" s="234"/>
      <c r="BN485" s="234"/>
      <c r="BO485" s="234"/>
    </row>
    <row r="486" spans="1:67" ht="24" customHeight="1" x14ac:dyDescent="0.25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  <c r="AD486" s="234"/>
      <c r="AE486" s="234"/>
      <c r="AF486" s="234"/>
      <c r="AG486" s="234"/>
      <c r="AH486" s="234"/>
      <c r="AI486" s="234"/>
      <c r="AJ486" s="234"/>
      <c r="AK486" s="234"/>
      <c r="AL486" s="234"/>
      <c r="AM486" s="234"/>
      <c r="AN486" s="234"/>
      <c r="AO486" s="234"/>
      <c r="AP486" s="234"/>
      <c r="AQ486" s="234"/>
      <c r="AR486" s="234"/>
      <c r="AS486" s="234"/>
      <c r="AT486" s="234"/>
      <c r="AU486" s="234"/>
      <c r="AV486" s="234"/>
      <c r="AW486" s="234"/>
      <c r="AX486" s="234"/>
      <c r="AY486" s="234"/>
      <c r="AZ486" s="234"/>
      <c r="BA486" s="234"/>
      <c r="BB486" s="234"/>
      <c r="BC486" s="234"/>
      <c r="BD486" s="234"/>
      <c r="BE486" s="234"/>
      <c r="BF486" s="234"/>
      <c r="BG486" s="234"/>
      <c r="BH486" s="234"/>
      <c r="BI486" s="234"/>
      <c r="BJ486" s="234"/>
      <c r="BK486" s="234"/>
      <c r="BL486" s="234"/>
      <c r="BM486" s="234"/>
      <c r="BN486" s="234"/>
      <c r="BO486" s="234"/>
    </row>
    <row r="487" spans="1:67" ht="24" customHeight="1" x14ac:dyDescent="0.25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  <c r="AD487" s="234"/>
      <c r="AE487" s="234"/>
      <c r="AF487" s="234"/>
      <c r="AG487" s="234"/>
      <c r="AH487" s="234"/>
      <c r="AI487" s="234"/>
      <c r="AJ487" s="234"/>
      <c r="AK487" s="234"/>
      <c r="AL487" s="234"/>
      <c r="AM487" s="234"/>
      <c r="AN487" s="234"/>
      <c r="AO487" s="234"/>
      <c r="AP487" s="234"/>
      <c r="AQ487" s="234"/>
      <c r="AR487" s="234"/>
      <c r="AS487" s="234"/>
      <c r="AT487" s="234"/>
      <c r="AU487" s="234"/>
      <c r="AV487" s="234"/>
      <c r="AW487" s="234"/>
      <c r="AX487" s="234"/>
      <c r="AY487" s="234"/>
      <c r="AZ487" s="234"/>
      <c r="BA487" s="234"/>
      <c r="BB487" s="234"/>
      <c r="BC487" s="234"/>
      <c r="BD487" s="234"/>
      <c r="BE487" s="234"/>
      <c r="BF487" s="234"/>
      <c r="BG487" s="234"/>
      <c r="BH487" s="234"/>
      <c r="BI487" s="234"/>
      <c r="BJ487" s="234"/>
      <c r="BK487" s="234"/>
      <c r="BL487" s="234"/>
      <c r="BM487" s="234"/>
      <c r="BN487" s="234"/>
      <c r="BO487" s="234"/>
    </row>
    <row r="488" spans="1:67" ht="24" customHeight="1" x14ac:dyDescent="0.25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  <c r="AD488" s="234"/>
      <c r="AE488" s="234"/>
      <c r="AF488" s="234"/>
      <c r="AG488" s="234"/>
      <c r="AH488" s="234"/>
      <c r="AI488" s="234"/>
      <c r="AJ488" s="234"/>
      <c r="AK488" s="234"/>
      <c r="AL488" s="234"/>
      <c r="AM488" s="234"/>
      <c r="AN488" s="234"/>
      <c r="AO488" s="234"/>
      <c r="AP488" s="234"/>
      <c r="AQ488" s="234"/>
      <c r="AR488" s="234"/>
      <c r="AS488" s="234"/>
      <c r="AT488" s="234"/>
      <c r="AU488" s="234"/>
      <c r="AV488" s="234"/>
      <c r="AW488" s="234"/>
      <c r="AX488" s="234"/>
      <c r="AY488" s="234"/>
      <c r="AZ488" s="234"/>
      <c r="BA488" s="234"/>
      <c r="BB488" s="234"/>
      <c r="BC488" s="234"/>
      <c r="BD488" s="234"/>
      <c r="BE488" s="234"/>
      <c r="BF488" s="234"/>
      <c r="BG488" s="234"/>
      <c r="BH488" s="234"/>
      <c r="BI488" s="234"/>
      <c r="BJ488" s="234"/>
      <c r="BK488" s="234"/>
      <c r="BL488" s="234"/>
      <c r="BM488" s="234"/>
      <c r="BN488" s="234"/>
      <c r="BO488" s="234"/>
    </row>
    <row r="489" spans="1:67" ht="24" customHeight="1" x14ac:dyDescent="0.25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  <c r="AD489" s="234"/>
      <c r="AE489" s="234"/>
      <c r="AF489" s="234"/>
      <c r="AG489" s="234"/>
      <c r="AH489" s="234"/>
      <c r="AI489" s="234"/>
      <c r="AJ489" s="234"/>
      <c r="AK489" s="234"/>
      <c r="AL489" s="234"/>
      <c r="AM489" s="234"/>
      <c r="AN489" s="234"/>
      <c r="AO489" s="234"/>
      <c r="AP489" s="234"/>
      <c r="AQ489" s="234"/>
      <c r="AR489" s="234"/>
      <c r="AS489" s="234"/>
      <c r="AT489" s="234"/>
      <c r="AU489" s="234"/>
      <c r="AV489" s="234"/>
      <c r="AW489" s="234"/>
      <c r="AX489" s="234"/>
      <c r="AY489" s="234"/>
      <c r="AZ489" s="234"/>
      <c r="BA489" s="234"/>
      <c r="BB489" s="234"/>
      <c r="BC489" s="234"/>
      <c r="BD489" s="234"/>
      <c r="BE489" s="234"/>
      <c r="BF489" s="234"/>
      <c r="BG489" s="234"/>
      <c r="BH489" s="234"/>
      <c r="BI489" s="234"/>
      <c r="BJ489" s="234"/>
      <c r="BK489" s="234"/>
      <c r="BL489" s="234"/>
      <c r="BM489" s="234"/>
      <c r="BN489" s="234"/>
      <c r="BO489" s="234"/>
    </row>
    <row r="490" spans="1:67" ht="24" customHeight="1" x14ac:dyDescent="0.25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  <c r="AD490" s="234"/>
      <c r="AE490" s="234"/>
      <c r="AF490" s="234"/>
      <c r="AG490" s="234"/>
      <c r="AH490" s="234"/>
      <c r="AI490" s="234"/>
      <c r="AJ490" s="234"/>
      <c r="AK490" s="234"/>
      <c r="AL490" s="234"/>
      <c r="AM490" s="234"/>
      <c r="AN490" s="234"/>
      <c r="AO490" s="234"/>
      <c r="AP490" s="234"/>
      <c r="AQ490" s="234"/>
      <c r="AR490" s="234"/>
      <c r="AS490" s="234"/>
      <c r="AT490" s="234"/>
      <c r="AU490" s="234"/>
      <c r="AV490" s="234"/>
      <c r="AW490" s="234"/>
      <c r="AX490" s="234"/>
      <c r="AY490" s="234"/>
      <c r="AZ490" s="234"/>
      <c r="BA490" s="234"/>
      <c r="BB490" s="234"/>
      <c r="BC490" s="234"/>
      <c r="BD490" s="234"/>
      <c r="BE490" s="234"/>
      <c r="BF490" s="234"/>
      <c r="BG490" s="234"/>
      <c r="BH490" s="234"/>
      <c r="BI490" s="234"/>
      <c r="BJ490" s="234"/>
      <c r="BK490" s="234"/>
      <c r="BL490" s="234"/>
      <c r="BM490" s="234"/>
      <c r="BN490" s="234"/>
      <c r="BO490" s="234"/>
    </row>
    <row r="491" spans="1:67" ht="24" customHeight="1" x14ac:dyDescent="0.25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  <c r="AD491" s="234"/>
      <c r="AE491" s="234"/>
      <c r="AF491" s="234"/>
      <c r="AG491" s="234"/>
      <c r="AH491" s="234"/>
      <c r="AI491" s="234"/>
      <c r="AJ491" s="234"/>
      <c r="AK491" s="234"/>
      <c r="AL491" s="234"/>
      <c r="AM491" s="234"/>
      <c r="AN491" s="234"/>
      <c r="AO491" s="234"/>
      <c r="AP491" s="234"/>
      <c r="AQ491" s="234"/>
      <c r="AR491" s="234"/>
      <c r="AS491" s="234"/>
      <c r="AT491" s="234"/>
      <c r="AU491" s="234"/>
      <c r="AV491" s="234"/>
      <c r="AW491" s="234"/>
      <c r="AX491" s="234"/>
      <c r="AY491" s="234"/>
      <c r="AZ491" s="234"/>
      <c r="BA491" s="234"/>
      <c r="BB491" s="234"/>
      <c r="BC491" s="234"/>
      <c r="BD491" s="234"/>
      <c r="BE491" s="234"/>
      <c r="BF491" s="234"/>
      <c r="BG491" s="234"/>
      <c r="BH491" s="234"/>
      <c r="BI491" s="234"/>
      <c r="BJ491" s="234"/>
      <c r="BK491" s="234"/>
      <c r="BL491" s="234"/>
      <c r="BM491" s="234"/>
      <c r="BN491" s="234"/>
      <c r="BO491" s="234"/>
    </row>
    <row r="492" spans="1:67" ht="24" customHeight="1" x14ac:dyDescent="0.25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  <c r="AD492" s="234"/>
      <c r="AE492" s="234"/>
      <c r="AF492" s="234"/>
      <c r="AG492" s="234"/>
      <c r="AH492" s="234"/>
      <c r="AI492" s="234"/>
      <c r="AJ492" s="234"/>
      <c r="AK492" s="234"/>
      <c r="AL492" s="234"/>
      <c r="AM492" s="234"/>
      <c r="AN492" s="234"/>
      <c r="AO492" s="234"/>
      <c r="AP492" s="234"/>
      <c r="AQ492" s="234"/>
      <c r="AR492" s="234"/>
      <c r="AS492" s="234"/>
      <c r="AT492" s="234"/>
      <c r="AU492" s="234"/>
      <c r="AV492" s="234"/>
      <c r="AW492" s="234"/>
      <c r="AX492" s="234"/>
      <c r="AY492" s="234"/>
      <c r="AZ492" s="234"/>
      <c r="BA492" s="234"/>
      <c r="BB492" s="234"/>
      <c r="BC492" s="234"/>
      <c r="BD492" s="234"/>
      <c r="BE492" s="234"/>
      <c r="BF492" s="234"/>
      <c r="BG492" s="234"/>
      <c r="BH492" s="234"/>
      <c r="BI492" s="234"/>
      <c r="BJ492" s="234"/>
      <c r="BK492" s="234"/>
      <c r="BL492" s="234"/>
      <c r="BM492" s="234"/>
      <c r="BN492" s="234"/>
      <c r="BO492" s="234"/>
    </row>
    <row r="493" spans="1:67" ht="24" customHeight="1" x14ac:dyDescent="0.25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  <c r="AD493" s="234"/>
      <c r="AE493" s="234"/>
      <c r="AF493" s="234"/>
      <c r="AG493" s="234"/>
      <c r="AH493" s="234"/>
      <c r="AI493" s="234"/>
      <c r="AJ493" s="234"/>
      <c r="AK493" s="234"/>
      <c r="AL493" s="234"/>
      <c r="AM493" s="234"/>
      <c r="AN493" s="234"/>
      <c r="AO493" s="234"/>
      <c r="AP493" s="234"/>
      <c r="AQ493" s="234"/>
      <c r="AR493" s="234"/>
      <c r="AS493" s="234"/>
      <c r="AT493" s="234"/>
      <c r="AU493" s="234"/>
      <c r="AV493" s="234"/>
      <c r="AW493" s="234"/>
      <c r="AX493" s="234"/>
      <c r="AY493" s="234"/>
      <c r="AZ493" s="234"/>
      <c r="BA493" s="234"/>
      <c r="BB493" s="234"/>
      <c r="BC493" s="234"/>
      <c r="BD493" s="234"/>
      <c r="BE493" s="234"/>
      <c r="BF493" s="234"/>
      <c r="BG493" s="234"/>
      <c r="BH493" s="234"/>
      <c r="BI493" s="234"/>
      <c r="BJ493" s="234"/>
      <c r="BK493" s="234"/>
      <c r="BL493" s="234"/>
      <c r="BM493" s="234"/>
      <c r="BN493" s="234"/>
      <c r="BO493" s="234"/>
    </row>
    <row r="494" spans="1:67" ht="24" customHeight="1" x14ac:dyDescent="0.25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  <c r="AD494" s="234"/>
      <c r="AE494" s="234"/>
      <c r="AF494" s="234"/>
      <c r="AG494" s="234"/>
      <c r="AH494" s="234"/>
      <c r="AI494" s="234"/>
      <c r="AJ494" s="234"/>
      <c r="AK494" s="234"/>
      <c r="AL494" s="234"/>
      <c r="AM494" s="234"/>
      <c r="AN494" s="234"/>
      <c r="AO494" s="234"/>
      <c r="AP494" s="234"/>
      <c r="AQ494" s="234"/>
      <c r="AR494" s="234"/>
      <c r="AS494" s="234"/>
      <c r="AT494" s="234"/>
      <c r="AU494" s="234"/>
      <c r="AV494" s="234"/>
      <c r="AW494" s="234"/>
      <c r="AX494" s="234"/>
      <c r="AY494" s="234"/>
      <c r="AZ494" s="234"/>
      <c r="BA494" s="234"/>
      <c r="BB494" s="234"/>
      <c r="BC494" s="234"/>
      <c r="BD494" s="234"/>
      <c r="BE494" s="234"/>
      <c r="BF494" s="234"/>
      <c r="BG494" s="234"/>
      <c r="BH494" s="234"/>
      <c r="BI494" s="234"/>
      <c r="BJ494" s="234"/>
      <c r="BK494" s="234"/>
      <c r="BL494" s="234"/>
      <c r="BM494" s="234"/>
      <c r="BN494" s="234"/>
      <c r="BO494" s="234"/>
    </row>
    <row r="495" spans="1:67" ht="24" customHeight="1" x14ac:dyDescent="0.2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4"/>
      <c r="AH495" s="234"/>
      <c r="AI495" s="234"/>
      <c r="AJ495" s="234"/>
      <c r="AK495" s="234"/>
      <c r="AL495" s="234"/>
      <c r="AM495" s="234"/>
      <c r="AN495" s="234"/>
      <c r="AO495" s="234"/>
      <c r="AP495" s="234"/>
      <c r="AQ495" s="234"/>
      <c r="AR495" s="234"/>
      <c r="AS495" s="234"/>
      <c r="AT495" s="234"/>
      <c r="AU495" s="234"/>
      <c r="AV495" s="234"/>
      <c r="AW495" s="234"/>
      <c r="AX495" s="234"/>
      <c r="AY495" s="234"/>
      <c r="AZ495" s="234"/>
      <c r="BA495" s="234"/>
      <c r="BB495" s="234"/>
      <c r="BC495" s="234"/>
      <c r="BD495" s="234"/>
      <c r="BE495" s="234"/>
      <c r="BF495" s="234"/>
      <c r="BG495" s="234"/>
      <c r="BH495" s="234"/>
      <c r="BI495" s="234"/>
      <c r="BJ495" s="234"/>
      <c r="BK495" s="234"/>
      <c r="BL495" s="234"/>
      <c r="BM495" s="234"/>
      <c r="BN495" s="234"/>
      <c r="BO495" s="234"/>
    </row>
    <row r="496" spans="1:67" ht="24" customHeight="1" x14ac:dyDescent="0.25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  <c r="AD496" s="234"/>
      <c r="AE496" s="234"/>
      <c r="AF496" s="234"/>
      <c r="AG496" s="234"/>
      <c r="AH496" s="234"/>
      <c r="AI496" s="234"/>
      <c r="AJ496" s="234"/>
      <c r="AK496" s="234"/>
      <c r="AL496" s="234"/>
      <c r="AM496" s="234"/>
      <c r="AN496" s="234"/>
      <c r="AO496" s="234"/>
      <c r="AP496" s="234"/>
      <c r="AQ496" s="234"/>
      <c r="AR496" s="234"/>
      <c r="AS496" s="234"/>
      <c r="AT496" s="234"/>
      <c r="AU496" s="234"/>
      <c r="AV496" s="234"/>
      <c r="AW496" s="234"/>
      <c r="AX496" s="234"/>
      <c r="AY496" s="234"/>
      <c r="AZ496" s="234"/>
      <c r="BA496" s="234"/>
      <c r="BB496" s="234"/>
      <c r="BC496" s="234"/>
      <c r="BD496" s="234"/>
      <c r="BE496" s="234"/>
      <c r="BF496" s="234"/>
      <c r="BG496" s="234"/>
      <c r="BH496" s="234"/>
      <c r="BI496" s="234"/>
      <c r="BJ496" s="234"/>
      <c r="BK496" s="234"/>
      <c r="BL496" s="234"/>
      <c r="BM496" s="234"/>
      <c r="BN496" s="234"/>
      <c r="BO496" s="234"/>
    </row>
    <row r="497" spans="1:67" ht="24" customHeight="1" x14ac:dyDescent="0.25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  <c r="AD497" s="234"/>
      <c r="AE497" s="234"/>
      <c r="AF497" s="234"/>
      <c r="AG497" s="234"/>
      <c r="AH497" s="234"/>
      <c r="AI497" s="234"/>
      <c r="AJ497" s="234"/>
      <c r="AK497" s="234"/>
      <c r="AL497" s="234"/>
      <c r="AM497" s="234"/>
      <c r="AN497" s="234"/>
      <c r="AO497" s="234"/>
      <c r="AP497" s="234"/>
      <c r="AQ497" s="234"/>
      <c r="AR497" s="234"/>
      <c r="AS497" s="234"/>
      <c r="AT497" s="234"/>
      <c r="AU497" s="234"/>
      <c r="AV497" s="234"/>
      <c r="AW497" s="234"/>
      <c r="AX497" s="234"/>
      <c r="AY497" s="234"/>
      <c r="AZ497" s="234"/>
      <c r="BA497" s="234"/>
      <c r="BB497" s="234"/>
      <c r="BC497" s="234"/>
      <c r="BD497" s="234"/>
      <c r="BE497" s="234"/>
      <c r="BF497" s="234"/>
      <c r="BG497" s="234"/>
      <c r="BH497" s="234"/>
      <c r="BI497" s="234"/>
      <c r="BJ497" s="234"/>
      <c r="BK497" s="234"/>
      <c r="BL497" s="234"/>
      <c r="BM497" s="234"/>
      <c r="BN497" s="234"/>
      <c r="BO497" s="234"/>
    </row>
    <row r="498" spans="1:67" ht="24" customHeight="1" x14ac:dyDescent="0.25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  <c r="AD498" s="234"/>
      <c r="AE498" s="234"/>
      <c r="AF498" s="234"/>
      <c r="AG498" s="234"/>
      <c r="AH498" s="234"/>
      <c r="AI498" s="234"/>
      <c r="AJ498" s="234"/>
      <c r="AK498" s="234"/>
      <c r="AL498" s="234"/>
      <c r="AM498" s="234"/>
      <c r="AN498" s="234"/>
      <c r="AO498" s="234"/>
      <c r="AP498" s="234"/>
      <c r="AQ498" s="234"/>
      <c r="AR498" s="234"/>
      <c r="AS498" s="234"/>
      <c r="AT498" s="234"/>
      <c r="AU498" s="234"/>
      <c r="AV498" s="234"/>
      <c r="AW498" s="234"/>
      <c r="AX498" s="234"/>
      <c r="AY498" s="234"/>
      <c r="AZ498" s="234"/>
      <c r="BA498" s="234"/>
      <c r="BB498" s="234"/>
      <c r="BC498" s="234"/>
      <c r="BD498" s="234"/>
      <c r="BE498" s="234"/>
      <c r="BF498" s="234"/>
      <c r="BG498" s="234"/>
      <c r="BH498" s="234"/>
      <c r="BI498" s="234"/>
      <c r="BJ498" s="234"/>
      <c r="BK498" s="234"/>
      <c r="BL498" s="234"/>
      <c r="BM498" s="234"/>
      <c r="BN498" s="234"/>
      <c r="BO498" s="234"/>
    </row>
    <row r="499" spans="1:67" ht="24" customHeight="1" x14ac:dyDescent="0.25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  <c r="AD499" s="234"/>
      <c r="AE499" s="234"/>
      <c r="AF499" s="234"/>
      <c r="AG499" s="234"/>
      <c r="AH499" s="234"/>
      <c r="AI499" s="234"/>
      <c r="AJ499" s="234"/>
      <c r="AK499" s="234"/>
      <c r="AL499" s="234"/>
      <c r="AM499" s="234"/>
      <c r="AN499" s="234"/>
      <c r="AO499" s="234"/>
      <c r="AP499" s="234"/>
      <c r="AQ499" s="234"/>
      <c r="AR499" s="234"/>
      <c r="AS499" s="234"/>
      <c r="AT499" s="234"/>
      <c r="AU499" s="234"/>
      <c r="AV499" s="234"/>
      <c r="AW499" s="234"/>
      <c r="AX499" s="234"/>
      <c r="AY499" s="234"/>
      <c r="AZ499" s="234"/>
      <c r="BA499" s="234"/>
      <c r="BB499" s="234"/>
      <c r="BC499" s="234"/>
      <c r="BD499" s="234"/>
      <c r="BE499" s="234"/>
      <c r="BF499" s="234"/>
      <c r="BG499" s="234"/>
      <c r="BH499" s="234"/>
      <c r="BI499" s="234"/>
      <c r="BJ499" s="234"/>
      <c r="BK499" s="234"/>
      <c r="BL499" s="234"/>
      <c r="BM499" s="234"/>
      <c r="BN499" s="234"/>
      <c r="BO499" s="234"/>
    </row>
    <row r="500" spans="1:67" ht="24" customHeight="1" x14ac:dyDescent="0.25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  <c r="AD500" s="234"/>
      <c r="AE500" s="234"/>
      <c r="AF500" s="234"/>
      <c r="AG500" s="234"/>
      <c r="AH500" s="234"/>
      <c r="AI500" s="234"/>
      <c r="AJ500" s="234"/>
      <c r="AK500" s="234"/>
      <c r="AL500" s="234"/>
      <c r="AM500" s="234"/>
      <c r="AN500" s="234"/>
      <c r="AO500" s="234"/>
      <c r="AP500" s="234"/>
      <c r="AQ500" s="234"/>
      <c r="AR500" s="234"/>
      <c r="AS500" s="234"/>
      <c r="AT500" s="234"/>
      <c r="AU500" s="234"/>
      <c r="AV500" s="234"/>
      <c r="AW500" s="234"/>
      <c r="AX500" s="234"/>
      <c r="AY500" s="234"/>
      <c r="AZ500" s="234"/>
      <c r="BA500" s="234"/>
      <c r="BB500" s="234"/>
      <c r="BC500" s="234"/>
      <c r="BD500" s="234"/>
      <c r="BE500" s="234"/>
      <c r="BF500" s="234"/>
      <c r="BG500" s="234"/>
      <c r="BH500" s="234"/>
      <c r="BI500" s="234"/>
      <c r="BJ500" s="234"/>
      <c r="BK500" s="234"/>
      <c r="BL500" s="234"/>
      <c r="BM500" s="234"/>
      <c r="BN500" s="234"/>
      <c r="BO500" s="234"/>
    </row>
    <row r="501" spans="1:67" ht="24" customHeight="1" x14ac:dyDescent="0.25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  <c r="AD501" s="234"/>
      <c r="AE501" s="234"/>
      <c r="AF501" s="234"/>
      <c r="AG501" s="234"/>
      <c r="AH501" s="234"/>
      <c r="AI501" s="234"/>
      <c r="AJ501" s="234"/>
      <c r="AK501" s="234"/>
      <c r="AL501" s="234"/>
      <c r="AM501" s="234"/>
      <c r="AN501" s="234"/>
      <c r="AO501" s="234"/>
      <c r="AP501" s="234"/>
      <c r="AQ501" s="234"/>
      <c r="AR501" s="234"/>
      <c r="AS501" s="234"/>
      <c r="AT501" s="234"/>
      <c r="AU501" s="234"/>
      <c r="AV501" s="234"/>
      <c r="AW501" s="234"/>
      <c r="AX501" s="234"/>
      <c r="AY501" s="234"/>
      <c r="AZ501" s="234"/>
      <c r="BA501" s="234"/>
      <c r="BB501" s="234"/>
      <c r="BC501" s="234"/>
      <c r="BD501" s="234"/>
      <c r="BE501" s="234"/>
      <c r="BF501" s="234"/>
      <c r="BG501" s="234"/>
      <c r="BH501" s="234"/>
      <c r="BI501" s="234"/>
      <c r="BJ501" s="234"/>
      <c r="BK501" s="234"/>
      <c r="BL501" s="234"/>
      <c r="BM501" s="234"/>
      <c r="BN501" s="234"/>
      <c r="BO501" s="234"/>
    </row>
    <row r="502" spans="1:67" ht="24" customHeight="1" x14ac:dyDescent="0.25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  <c r="AD502" s="234"/>
      <c r="AE502" s="234"/>
      <c r="AF502" s="234"/>
      <c r="AG502" s="234"/>
      <c r="AH502" s="234"/>
      <c r="AI502" s="234"/>
      <c r="AJ502" s="234"/>
      <c r="AK502" s="234"/>
      <c r="AL502" s="234"/>
      <c r="AM502" s="234"/>
      <c r="AN502" s="234"/>
      <c r="AO502" s="234"/>
      <c r="AP502" s="234"/>
      <c r="AQ502" s="234"/>
      <c r="AR502" s="234"/>
      <c r="AS502" s="234"/>
      <c r="AT502" s="234"/>
      <c r="AU502" s="234"/>
      <c r="AV502" s="234"/>
      <c r="AW502" s="234"/>
      <c r="AX502" s="234"/>
      <c r="AY502" s="234"/>
      <c r="AZ502" s="234"/>
      <c r="BA502" s="234"/>
      <c r="BB502" s="234"/>
      <c r="BC502" s="234"/>
      <c r="BD502" s="234"/>
      <c r="BE502" s="234"/>
      <c r="BF502" s="234"/>
      <c r="BG502" s="234"/>
      <c r="BH502" s="234"/>
      <c r="BI502" s="234"/>
      <c r="BJ502" s="234"/>
      <c r="BK502" s="234"/>
      <c r="BL502" s="234"/>
      <c r="BM502" s="234"/>
      <c r="BN502" s="234"/>
      <c r="BO502" s="234"/>
    </row>
    <row r="503" spans="1:67" ht="24" customHeight="1" x14ac:dyDescent="0.25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  <c r="AD503" s="234"/>
      <c r="AE503" s="234"/>
      <c r="AF503" s="234"/>
      <c r="AG503" s="234"/>
      <c r="AH503" s="234"/>
      <c r="AI503" s="234"/>
      <c r="AJ503" s="234"/>
      <c r="AK503" s="234"/>
      <c r="AL503" s="234"/>
      <c r="AM503" s="234"/>
      <c r="AN503" s="234"/>
      <c r="AO503" s="234"/>
      <c r="AP503" s="234"/>
      <c r="AQ503" s="234"/>
      <c r="AR503" s="234"/>
      <c r="AS503" s="234"/>
      <c r="AT503" s="234"/>
      <c r="AU503" s="234"/>
      <c r="AV503" s="234"/>
      <c r="AW503" s="234"/>
      <c r="AX503" s="234"/>
      <c r="AY503" s="234"/>
      <c r="AZ503" s="234"/>
      <c r="BA503" s="234"/>
      <c r="BB503" s="234"/>
      <c r="BC503" s="234"/>
      <c r="BD503" s="234"/>
      <c r="BE503" s="234"/>
      <c r="BF503" s="234"/>
      <c r="BG503" s="234"/>
      <c r="BH503" s="234"/>
      <c r="BI503" s="234"/>
      <c r="BJ503" s="234"/>
      <c r="BK503" s="234"/>
      <c r="BL503" s="234"/>
      <c r="BM503" s="234"/>
      <c r="BN503" s="234"/>
      <c r="BO503" s="234"/>
    </row>
    <row r="504" spans="1:67" ht="24" customHeight="1" x14ac:dyDescent="0.25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  <c r="AD504" s="234"/>
      <c r="AE504" s="234"/>
      <c r="AF504" s="234"/>
      <c r="AG504" s="234"/>
      <c r="AH504" s="234"/>
      <c r="AI504" s="234"/>
      <c r="AJ504" s="234"/>
      <c r="AK504" s="234"/>
      <c r="AL504" s="234"/>
      <c r="AM504" s="234"/>
      <c r="AN504" s="234"/>
      <c r="AO504" s="234"/>
      <c r="AP504" s="234"/>
      <c r="AQ504" s="234"/>
      <c r="AR504" s="234"/>
      <c r="AS504" s="234"/>
      <c r="AT504" s="234"/>
      <c r="AU504" s="234"/>
      <c r="AV504" s="234"/>
      <c r="AW504" s="234"/>
      <c r="AX504" s="234"/>
      <c r="AY504" s="234"/>
      <c r="AZ504" s="234"/>
      <c r="BA504" s="234"/>
      <c r="BB504" s="234"/>
      <c r="BC504" s="234"/>
      <c r="BD504" s="234"/>
      <c r="BE504" s="234"/>
      <c r="BF504" s="234"/>
      <c r="BG504" s="234"/>
      <c r="BH504" s="234"/>
      <c r="BI504" s="234"/>
      <c r="BJ504" s="234"/>
      <c r="BK504" s="234"/>
      <c r="BL504" s="234"/>
      <c r="BM504" s="234"/>
      <c r="BN504" s="234"/>
      <c r="BO504" s="234"/>
    </row>
    <row r="505" spans="1:67" ht="24" customHeight="1" x14ac:dyDescent="0.2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  <c r="AD505" s="234"/>
      <c r="AE505" s="234"/>
      <c r="AF505" s="234"/>
      <c r="AG505" s="234"/>
      <c r="AH505" s="234"/>
      <c r="AI505" s="234"/>
      <c r="AJ505" s="234"/>
      <c r="AK505" s="234"/>
      <c r="AL505" s="234"/>
      <c r="AM505" s="234"/>
      <c r="AN505" s="234"/>
      <c r="AO505" s="234"/>
      <c r="AP505" s="234"/>
      <c r="AQ505" s="234"/>
      <c r="AR505" s="234"/>
      <c r="AS505" s="234"/>
      <c r="AT505" s="234"/>
      <c r="AU505" s="234"/>
      <c r="AV505" s="234"/>
      <c r="AW505" s="234"/>
      <c r="AX505" s="234"/>
      <c r="AY505" s="234"/>
      <c r="AZ505" s="234"/>
      <c r="BA505" s="234"/>
      <c r="BB505" s="234"/>
      <c r="BC505" s="234"/>
      <c r="BD505" s="234"/>
      <c r="BE505" s="234"/>
      <c r="BF505" s="234"/>
      <c r="BG505" s="234"/>
      <c r="BH505" s="234"/>
      <c r="BI505" s="234"/>
      <c r="BJ505" s="234"/>
      <c r="BK505" s="234"/>
      <c r="BL505" s="234"/>
      <c r="BM505" s="234"/>
      <c r="BN505" s="234"/>
      <c r="BO505" s="234"/>
    </row>
    <row r="506" spans="1:67" ht="24" customHeight="1" x14ac:dyDescent="0.25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  <c r="AD506" s="234"/>
      <c r="AE506" s="234"/>
      <c r="AF506" s="234"/>
      <c r="AG506" s="234"/>
      <c r="AH506" s="234"/>
      <c r="AI506" s="234"/>
      <c r="AJ506" s="234"/>
      <c r="AK506" s="234"/>
      <c r="AL506" s="234"/>
      <c r="AM506" s="234"/>
      <c r="AN506" s="234"/>
      <c r="AO506" s="234"/>
      <c r="AP506" s="234"/>
      <c r="AQ506" s="234"/>
      <c r="AR506" s="234"/>
      <c r="AS506" s="234"/>
      <c r="AT506" s="234"/>
      <c r="AU506" s="234"/>
      <c r="AV506" s="234"/>
      <c r="AW506" s="234"/>
      <c r="AX506" s="234"/>
      <c r="AY506" s="234"/>
      <c r="AZ506" s="234"/>
      <c r="BA506" s="234"/>
      <c r="BB506" s="234"/>
      <c r="BC506" s="234"/>
      <c r="BD506" s="234"/>
      <c r="BE506" s="234"/>
      <c r="BF506" s="234"/>
      <c r="BG506" s="234"/>
      <c r="BH506" s="234"/>
      <c r="BI506" s="234"/>
      <c r="BJ506" s="234"/>
      <c r="BK506" s="234"/>
      <c r="BL506" s="234"/>
      <c r="BM506" s="234"/>
      <c r="BN506" s="234"/>
      <c r="BO506" s="234"/>
    </row>
    <row r="507" spans="1:67" ht="24" customHeight="1" x14ac:dyDescent="0.25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  <c r="AD507" s="234"/>
      <c r="AE507" s="234"/>
      <c r="AF507" s="234"/>
      <c r="AG507" s="234"/>
      <c r="AH507" s="234"/>
      <c r="AI507" s="234"/>
      <c r="AJ507" s="234"/>
      <c r="AK507" s="234"/>
      <c r="AL507" s="234"/>
      <c r="AM507" s="234"/>
      <c r="AN507" s="234"/>
      <c r="AO507" s="234"/>
      <c r="AP507" s="234"/>
      <c r="AQ507" s="234"/>
      <c r="AR507" s="234"/>
      <c r="AS507" s="234"/>
      <c r="AT507" s="234"/>
      <c r="AU507" s="234"/>
      <c r="AV507" s="234"/>
      <c r="AW507" s="234"/>
      <c r="AX507" s="234"/>
      <c r="AY507" s="234"/>
      <c r="AZ507" s="234"/>
      <c r="BA507" s="234"/>
      <c r="BB507" s="234"/>
      <c r="BC507" s="234"/>
      <c r="BD507" s="234"/>
      <c r="BE507" s="234"/>
      <c r="BF507" s="234"/>
      <c r="BG507" s="234"/>
      <c r="BH507" s="234"/>
      <c r="BI507" s="234"/>
      <c r="BJ507" s="234"/>
      <c r="BK507" s="234"/>
      <c r="BL507" s="234"/>
      <c r="BM507" s="234"/>
      <c r="BN507" s="234"/>
      <c r="BO507" s="234"/>
    </row>
    <row r="508" spans="1:67" ht="24" customHeight="1" x14ac:dyDescent="0.25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  <c r="AD508" s="234"/>
      <c r="AE508" s="234"/>
      <c r="AF508" s="234"/>
      <c r="AG508" s="234"/>
      <c r="AH508" s="234"/>
      <c r="AI508" s="234"/>
      <c r="AJ508" s="234"/>
      <c r="AK508" s="234"/>
      <c r="AL508" s="234"/>
      <c r="AM508" s="234"/>
      <c r="AN508" s="234"/>
      <c r="AO508" s="234"/>
      <c r="AP508" s="234"/>
      <c r="AQ508" s="234"/>
      <c r="AR508" s="234"/>
      <c r="AS508" s="234"/>
      <c r="AT508" s="234"/>
      <c r="AU508" s="234"/>
      <c r="AV508" s="234"/>
      <c r="AW508" s="234"/>
      <c r="AX508" s="234"/>
      <c r="AY508" s="234"/>
      <c r="AZ508" s="234"/>
      <c r="BA508" s="234"/>
      <c r="BB508" s="234"/>
      <c r="BC508" s="234"/>
      <c r="BD508" s="234"/>
      <c r="BE508" s="234"/>
      <c r="BF508" s="234"/>
      <c r="BG508" s="234"/>
      <c r="BH508" s="234"/>
      <c r="BI508" s="234"/>
      <c r="BJ508" s="234"/>
      <c r="BK508" s="234"/>
      <c r="BL508" s="234"/>
      <c r="BM508" s="234"/>
      <c r="BN508" s="234"/>
      <c r="BO508" s="234"/>
    </row>
    <row r="509" spans="1:67" ht="24" customHeight="1" x14ac:dyDescent="0.25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  <c r="AD509" s="234"/>
      <c r="AE509" s="234"/>
      <c r="AF509" s="234"/>
      <c r="AG509" s="234"/>
      <c r="AH509" s="234"/>
      <c r="AI509" s="234"/>
      <c r="AJ509" s="234"/>
      <c r="AK509" s="234"/>
      <c r="AL509" s="234"/>
      <c r="AM509" s="234"/>
      <c r="AN509" s="234"/>
      <c r="AO509" s="234"/>
      <c r="AP509" s="234"/>
      <c r="AQ509" s="234"/>
      <c r="AR509" s="234"/>
      <c r="AS509" s="234"/>
      <c r="AT509" s="234"/>
      <c r="AU509" s="234"/>
      <c r="AV509" s="234"/>
      <c r="AW509" s="234"/>
      <c r="AX509" s="234"/>
      <c r="AY509" s="234"/>
      <c r="AZ509" s="234"/>
      <c r="BA509" s="234"/>
      <c r="BB509" s="234"/>
      <c r="BC509" s="234"/>
      <c r="BD509" s="234"/>
      <c r="BE509" s="234"/>
      <c r="BF509" s="234"/>
      <c r="BG509" s="234"/>
      <c r="BH509" s="234"/>
      <c r="BI509" s="234"/>
      <c r="BJ509" s="234"/>
      <c r="BK509" s="234"/>
      <c r="BL509" s="234"/>
      <c r="BM509" s="234"/>
      <c r="BN509" s="234"/>
      <c r="BO509" s="234"/>
    </row>
    <row r="510" spans="1:67" ht="24" customHeight="1" x14ac:dyDescent="0.25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  <c r="AD510" s="234"/>
      <c r="AE510" s="234"/>
      <c r="AF510" s="234"/>
      <c r="AG510" s="234"/>
      <c r="AH510" s="234"/>
      <c r="AI510" s="234"/>
      <c r="AJ510" s="234"/>
      <c r="AK510" s="234"/>
      <c r="AL510" s="234"/>
      <c r="AM510" s="234"/>
      <c r="AN510" s="234"/>
      <c r="AO510" s="234"/>
      <c r="AP510" s="234"/>
      <c r="AQ510" s="234"/>
      <c r="AR510" s="234"/>
      <c r="AS510" s="234"/>
      <c r="AT510" s="234"/>
      <c r="AU510" s="234"/>
      <c r="AV510" s="234"/>
      <c r="AW510" s="234"/>
      <c r="AX510" s="234"/>
      <c r="AY510" s="234"/>
      <c r="AZ510" s="234"/>
      <c r="BA510" s="234"/>
      <c r="BB510" s="234"/>
      <c r="BC510" s="234"/>
      <c r="BD510" s="234"/>
      <c r="BE510" s="234"/>
      <c r="BF510" s="234"/>
      <c r="BG510" s="234"/>
      <c r="BH510" s="234"/>
      <c r="BI510" s="234"/>
      <c r="BJ510" s="234"/>
      <c r="BK510" s="234"/>
      <c r="BL510" s="234"/>
      <c r="BM510" s="234"/>
      <c r="BN510" s="234"/>
      <c r="BO510" s="234"/>
    </row>
    <row r="511" spans="1:67" ht="24" customHeight="1" x14ac:dyDescent="0.25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  <c r="AD511" s="234"/>
      <c r="AE511" s="234"/>
      <c r="AF511" s="234"/>
      <c r="AG511" s="234"/>
      <c r="AH511" s="234"/>
      <c r="AI511" s="234"/>
      <c r="AJ511" s="234"/>
      <c r="AK511" s="234"/>
      <c r="AL511" s="234"/>
      <c r="AM511" s="234"/>
      <c r="AN511" s="234"/>
      <c r="AO511" s="234"/>
      <c r="AP511" s="234"/>
      <c r="AQ511" s="234"/>
      <c r="AR511" s="234"/>
      <c r="AS511" s="234"/>
      <c r="AT511" s="234"/>
      <c r="AU511" s="234"/>
      <c r="AV511" s="234"/>
      <c r="AW511" s="234"/>
      <c r="AX511" s="234"/>
      <c r="AY511" s="234"/>
      <c r="AZ511" s="234"/>
      <c r="BA511" s="234"/>
      <c r="BB511" s="234"/>
      <c r="BC511" s="234"/>
      <c r="BD511" s="234"/>
      <c r="BE511" s="234"/>
      <c r="BF511" s="234"/>
      <c r="BG511" s="234"/>
      <c r="BH511" s="234"/>
      <c r="BI511" s="234"/>
      <c r="BJ511" s="234"/>
      <c r="BK511" s="234"/>
      <c r="BL511" s="234"/>
      <c r="BM511" s="234"/>
      <c r="BN511" s="234"/>
      <c r="BO511" s="234"/>
    </row>
    <row r="512" spans="1:67" ht="24" customHeight="1" x14ac:dyDescent="0.25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  <c r="AD512" s="234"/>
      <c r="AE512" s="234"/>
      <c r="AF512" s="234"/>
      <c r="AG512" s="234"/>
      <c r="AH512" s="234"/>
      <c r="AI512" s="234"/>
      <c r="AJ512" s="234"/>
      <c r="AK512" s="234"/>
      <c r="AL512" s="234"/>
      <c r="AM512" s="234"/>
      <c r="AN512" s="234"/>
      <c r="AO512" s="234"/>
      <c r="AP512" s="234"/>
      <c r="AQ512" s="234"/>
      <c r="AR512" s="234"/>
      <c r="AS512" s="234"/>
      <c r="AT512" s="234"/>
      <c r="AU512" s="234"/>
      <c r="AV512" s="234"/>
      <c r="AW512" s="234"/>
      <c r="AX512" s="234"/>
      <c r="AY512" s="234"/>
      <c r="AZ512" s="234"/>
      <c r="BA512" s="234"/>
      <c r="BB512" s="234"/>
      <c r="BC512" s="234"/>
      <c r="BD512" s="234"/>
      <c r="BE512" s="234"/>
      <c r="BF512" s="234"/>
      <c r="BG512" s="234"/>
      <c r="BH512" s="234"/>
      <c r="BI512" s="234"/>
      <c r="BJ512" s="234"/>
      <c r="BK512" s="234"/>
      <c r="BL512" s="234"/>
      <c r="BM512" s="234"/>
      <c r="BN512" s="234"/>
      <c r="BO512" s="234"/>
    </row>
    <row r="513" spans="1:67" ht="24" customHeight="1" x14ac:dyDescent="0.25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  <c r="AD513" s="234"/>
      <c r="AE513" s="234"/>
      <c r="AF513" s="234"/>
      <c r="AG513" s="234"/>
      <c r="AH513" s="234"/>
      <c r="AI513" s="234"/>
      <c r="AJ513" s="234"/>
      <c r="AK513" s="234"/>
      <c r="AL513" s="234"/>
      <c r="AM513" s="234"/>
      <c r="AN513" s="234"/>
      <c r="AO513" s="234"/>
      <c r="AP513" s="234"/>
      <c r="AQ513" s="234"/>
      <c r="AR513" s="234"/>
      <c r="AS513" s="234"/>
      <c r="AT513" s="234"/>
      <c r="AU513" s="234"/>
      <c r="AV513" s="234"/>
      <c r="AW513" s="234"/>
      <c r="AX513" s="234"/>
      <c r="AY513" s="234"/>
      <c r="AZ513" s="234"/>
      <c r="BA513" s="234"/>
      <c r="BB513" s="234"/>
      <c r="BC513" s="234"/>
      <c r="BD513" s="234"/>
      <c r="BE513" s="234"/>
      <c r="BF513" s="234"/>
      <c r="BG513" s="234"/>
      <c r="BH513" s="234"/>
      <c r="BI513" s="234"/>
      <c r="BJ513" s="234"/>
      <c r="BK513" s="234"/>
      <c r="BL513" s="234"/>
      <c r="BM513" s="234"/>
      <c r="BN513" s="234"/>
      <c r="BO513" s="234"/>
    </row>
    <row r="514" spans="1:67" ht="24" customHeight="1" x14ac:dyDescent="0.25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  <c r="AD514" s="234"/>
      <c r="AE514" s="234"/>
      <c r="AF514" s="234"/>
      <c r="AG514" s="234"/>
      <c r="AH514" s="234"/>
      <c r="AI514" s="234"/>
      <c r="AJ514" s="234"/>
      <c r="AK514" s="234"/>
      <c r="AL514" s="234"/>
      <c r="AM514" s="234"/>
      <c r="AN514" s="234"/>
      <c r="AO514" s="234"/>
      <c r="AP514" s="234"/>
      <c r="AQ514" s="234"/>
      <c r="AR514" s="234"/>
      <c r="AS514" s="234"/>
      <c r="AT514" s="234"/>
      <c r="AU514" s="234"/>
      <c r="AV514" s="234"/>
      <c r="AW514" s="234"/>
      <c r="AX514" s="234"/>
      <c r="AY514" s="234"/>
      <c r="AZ514" s="234"/>
      <c r="BA514" s="234"/>
      <c r="BB514" s="234"/>
      <c r="BC514" s="234"/>
      <c r="BD514" s="234"/>
      <c r="BE514" s="234"/>
      <c r="BF514" s="234"/>
      <c r="BG514" s="234"/>
      <c r="BH514" s="234"/>
      <c r="BI514" s="234"/>
      <c r="BJ514" s="234"/>
      <c r="BK514" s="234"/>
      <c r="BL514" s="234"/>
      <c r="BM514" s="234"/>
      <c r="BN514" s="234"/>
      <c r="BO514" s="234"/>
    </row>
    <row r="515" spans="1:67" ht="24" customHeight="1" x14ac:dyDescent="0.2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  <c r="AD515" s="234"/>
      <c r="AE515" s="234"/>
      <c r="AF515" s="234"/>
      <c r="AG515" s="234"/>
      <c r="AH515" s="234"/>
      <c r="AI515" s="234"/>
      <c r="AJ515" s="234"/>
      <c r="AK515" s="234"/>
      <c r="AL515" s="234"/>
      <c r="AM515" s="234"/>
      <c r="AN515" s="234"/>
      <c r="AO515" s="234"/>
      <c r="AP515" s="234"/>
      <c r="AQ515" s="234"/>
      <c r="AR515" s="234"/>
      <c r="AS515" s="234"/>
      <c r="AT515" s="234"/>
      <c r="AU515" s="234"/>
      <c r="AV515" s="234"/>
      <c r="AW515" s="234"/>
      <c r="AX515" s="234"/>
      <c r="AY515" s="234"/>
      <c r="AZ515" s="234"/>
      <c r="BA515" s="234"/>
      <c r="BB515" s="234"/>
      <c r="BC515" s="234"/>
      <c r="BD515" s="234"/>
      <c r="BE515" s="234"/>
      <c r="BF515" s="234"/>
      <c r="BG515" s="234"/>
      <c r="BH515" s="234"/>
      <c r="BI515" s="234"/>
      <c r="BJ515" s="234"/>
      <c r="BK515" s="234"/>
      <c r="BL515" s="234"/>
      <c r="BM515" s="234"/>
      <c r="BN515" s="234"/>
      <c r="BO515" s="234"/>
    </row>
    <row r="516" spans="1:67" ht="24" customHeight="1" x14ac:dyDescent="0.25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  <c r="AD516" s="234"/>
      <c r="AE516" s="234"/>
      <c r="AF516" s="234"/>
      <c r="AG516" s="234"/>
      <c r="AH516" s="234"/>
      <c r="AI516" s="234"/>
      <c r="AJ516" s="234"/>
      <c r="AK516" s="234"/>
      <c r="AL516" s="234"/>
      <c r="AM516" s="234"/>
      <c r="AN516" s="234"/>
      <c r="AO516" s="234"/>
      <c r="AP516" s="234"/>
      <c r="AQ516" s="234"/>
      <c r="AR516" s="234"/>
      <c r="AS516" s="234"/>
      <c r="AT516" s="234"/>
      <c r="AU516" s="234"/>
      <c r="AV516" s="234"/>
      <c r="AW516" s="234"/>
      <c r="AX516" s="234"/>
      <c r="AY516" s="234"/>
      <c r="AZ516" s="234"/>
      <c r="BA516" s="234"/>
      <c r="BB516" s="234"/>
      <c r="BC516" s="234"/>
      <c r="BD516" s="234"/>
      <c r="BE516" s="234"/>
      <c r="BF516" s="234"/>
      <c r="BG516" s="234"/>
      <c r="BH516" s="234"/>
      <c r="BI516" s="234"/>
      <c r="BJ516" s="234"/>
      <c r="BK516" s="234"/>
      <c r="BL516" s="234"/>
      <c r="BM516" s="234"/>
      <c r="BN516" s="234"/>
      <c r="BO516" s="234"/>
    </row>
    <row r="517" spans="1:67" ht="24" customHeight="1" x14ac:dyDescent="0.25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  <c r="AD517" s="234"/>
      <c r="AE517" s="234"/>
      <c r="AF517" s="234"/>
      <c r="AG517" s="234"/>
      <c r="AH517" s="234"/>
      <c r="AI517" s="234"/>
      <c r="AJ517" s="234"/>
      <c r="AK517" s="234"/>
      <c r="AL517" s="234"/>
      <c r="AM517" s="234"/>
      <c r="AN517" s="234"/>
      <c r="AO517" s="234"/>
      <c r="AP517" s="234"/>
      <c r="AQ517" s="234"/>
      <c r="AR517" s="234"/>
      <c r="AS517" s="234"/>
      <c r="AT517" s="234"/>
      <c r="AU517" s="234"/>
      <c r="AV517" s="234"/>
      <c r="AW517" s="234"/>
      <c r="AX517" s="234"/>
      <c r="AY517" s="234"/>
      <c r="AZ517" s="234"/>
      <c r="BA517" s="234"/>
      <c r="BB517" s="234"/>
      <c r="BC517" s="234"/>
      <c r="BD517" s="234"/>
      <c r="BE517" s="234"/>
      <c r="BF517" s="234"/>
      <c r="BG517" s="234"/>
      <c r="BH517" s="234"/>
      <c r="BI517" s="234"/>
      <c r="BJ517" s="234"/>
      <c r="BK517" s="234"/>
      <c r="BL517" s="234"/>
      <c r="BM517" s="234"/>
      <c r="BN517" s="234"/>
      <c r="BO517" s="234"/>
    </row>
    <row r="518" spans="1:67" ht="24" customHeight="1" x14ac:dyDescent="0.25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  <c r="AD518" s="234"/>
      <c r="AE518" s="234"/>
      <c r="AF518" s="234"/>
      <c r="AG518" s="234"/>
      <c r="AH518" s="234"/>
      <c r="AI518" s="234"/>
      <c r="AJ518" s="234"/>
      <c r="AK518" s="234"/>
      <c r="AL518" s="234"/>
      <c r="AM518" s="234"/>
      <c r="AN518" s="234"/>
      <c r="AO518" s="234"/>
      <c r="AP518" s="234"/>
      <c r="AQ518" s="234"/>
      <c r="AR518" s="234"/>
      <c r="AS518" s="234"/>
      <c r="AT518" s="234"/>
      <c r="AU518" s="234"/>
      <c r="AV518" s="234"/>
      <c r="AW518" s="234"/>
      <c r="AX518" s="234"/>
      <c r="AY518" s="234"/>
      <c r="AZ518" s="234"/>
      <c r="BA518" s="234"/>
      <c r="BB518" s="234"/>
      <c r="BC518" s="234"/>
      <c r="BD518" s="234"/>
      <c r="BE518" s="234"/>
      <c r="BF518" s="234"/>
      <c r="BG518" s="234"/>
      <c r="BH518" s="234"/>
      <c r="BI518" s="234"/>
      <c r="BJ518" s="234"/>
      <c r="BK518" s="234"/>
      <c r="BL518" s="234"/>
      <c r="BM518" s="234"/>
      <c r="BN518" s="234"/>
      <c r="BO518" s="234"/>
    </row>
    <row r="519" spans="1:67" ht="24" customHeight="1" x14ac:dyDescent="0.25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  <c r="AD519" s="234"/>
      <c r="AE519" s="234"/>
      <c r="AF519" s="234"/>
      <c r="AG519" s="234"/>
      <c r="AH519" s="234"/>
      <c r="AI519" s="234"/>
      <c r="AJ519" s="234"/>
      <c r="AK519" s="234"/>
      <c r="AL519" s="234"/>
      <c r="AM519" s="234"/>
      <c r="AN519" s="234"/>
      <c r="AO519" s="234"/>
      <c r="AP519" s="234"/>
      <c r="AQ519" s="234"/>
      <c r="AR519" s="234"/>
      <c r="AS519" s="234"/>
      <c r="AT519" s="234"/>
      <c r="AU519" s="234"/>
      <c r="AV519" s="234"/>
      <c r="AW519" s="234"/>
      <c r="AX519" s="234"/>
      <c r="AY519" s="234"/>
      <c r="AZ519" s="234"/>
      <c r="BA519" s="234"/>
      <c r="BB519" s="234"/>
      <c r="BC519" s="234"/>
      <c r="BD519" s="234"/>
      <c r="BE519" s="234"/>
      <c r="BF519" s="234"/>
      <c r="BG519" s="234"/>
      <c r="BH519" s="234"/>
      <c r="BI519" s="234"/>
      <c r="BJ519" s="234"/>
      <c r="BK519" s="234"/>
      <c r="BL519" s="234"/>
      <c r="BM519" s="234"/>
      <c r="BN519" s="234"/>
      <c r="BO519" s="234"/>
    </row>
    <row r="520" spans="1:67" ht="24" customHeight="1" x14ac:dyDescent="0.25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  <c r="AD520" s="234"/>
      <c r="AE520" s="234"/>
      <c r="AF520" s="234"/>
      <c r="AG520" s="234"/>
      <c r="AH520" s="234"/>
      <c r="AI520" s="234"/>
      <c r="AJ520" s="234"/>
      <c r="AK520" s="234"/>
      <c r="AL520" s="234"/>
      <c r="AM520" s="234"/>
      <c r="AN520" s="234"/>
      <c r="AO520" s="234"/>
      <c r="AP520" s="234"/>
      <c r="AQ520" s="234"/>
      <c r="AR520" s="234"/>
      <c r="AS520" s="234"/>
      <c r="AT520" s="234"/>
      <c r="AU520" s="234"/>
      <c r="AV520" s="234"/>
      <c r="AW520" s="234"/>
      <c r="AX520" s="234"/>
      <c r="AY520" s="234"/>
      <c r="AZ520" s="234"/>
      <c r="BA520" s="234"/>
      <c r="BB520" s="234"/>
      <c r="BC520" s="234"/>
      <c r="BD520" s="234"/>
      <c r="BE520" s="234"/>
      <c r="BF520" s="234"/>
      <c r="BG520" s="234"/>
      <c r="BH520" s="234"/>
      <c r="BI520" s="234"/>
      <c r="BJ520" s="234"/>
      <c r="BK520" s="234"/>
      <c r="BL520" s="234"/>
      <c r="BM520" s="234"/>
      <c r="BN520" s="234"/>
      <c r="BO520" s="234"/>
    </row>
    <row r="521" spans="1:67" ht="24" customHeight="1" x14ac:dyDescent="0.25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  <c r="AB521" s="234"/>
      <c r="AC521" s="234"/>
      <c r="AD521" s="234"/>
      <c r="AE521" s="234"/>
      <c r="AF521" s="234"/>
      <c r="AG521" s="234"/>
      <c r="AH521" s="234"/>
      <c r="AI521" s="234"/>
      <c r="AJ521" s="234"/>
      <c r="AK521" s="234"/>
      <c r="AL521" s="234"/>
      <c r="AM521" s="234"/>
      <c r="AN521" s="234"/>
      <c r="AO521" s="234"/>
      <c r="AP521" s="234"/>
      <c r="AQ521" s="234"/>
      <c r="AR521" s="234"/>
      <c r="AS521" s="234"/>
      <c r="AT521" s="234"/>
      <c r="AU521" s="234"/>
      <c r="AV521" s="234"/>
      <c r="AW521" s="234"/>
      <c r="AX521" s="234"/>
      <c r="AY521" s="234"/>
      <c r="AZ521" s="234"/>
      <c r="BA521" s="234"/>
      <c r="BB521" s="234"/>
      <c r="BC521" s="234"/>
      <c r="BD521" s="234"/>
      <c r="BE521" s="234"/>
      <c r="BF521" s="234"/>
      <c r="BG521" s="234"/>
      <c r="BH521" s="234"/>
      <c r="BI521" s="234"/>
      <c r="BJ521" s="234"/>
      <c r="BK521" s="234"/>
      <c r="BL521" s="234"/>
      <c r="BM521" s="234"/>
      <c r="BN521" s="234"/>
      <c r="BO521" s="234"/>
    </row>
    <row r="522" spans="1:67" ht="24" customHeight="1" x14ac:dyDescent="0.25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  <c r="AB522" s="234"/>
      <c r="AC522" s="234"/>
      <c r="AD522" s="234"/>
      <c r="AE522" s="234"/>
      <c r="AF522" s="234"/>
      <c r="AG522" s="234"/>
      <c r="AH522" s="234"/>
      <c r="AI522" s="234"/>
      <c r="AJ522" s="234"/>
      <c r="AK522" s="234"/>
      <c r="AL522" s="234"/>
      <c r="AM522" s="234"/>
      <c r="AN522" s="234"/>
      <c r="AO522" s="234"/>
      <c r="AP522" s="234"/>
      <c r="AQ522" s="234"/>
      <c r="AR522" s="234"/>
      <c r="AS522" s="234"/>
      <c r="AT522" s="234"/>
      <c r="AU522" s="234"/>
      <c r="AV522" s="234"/>
      <c r="AW522" s="234"/>
      <c r="AX522" s="234"/>
      <c r="AY522" s="234"/>
      <c r="AZ522" s="234"/>
      <c r="BA522" s="234"/>
      <c r="BB522" s="234"/>
      <c r="BC522" s="234"/>
      <c r="BD522" s="234"/>
      <c r="BE522" s="234"/>
      <c r="BF522" s="234"/>
      <c r="BG522" s="234"/>
      <c r="BH522" s="234"/>
      <c r="BI522" s="234"/>
      <c r="BJ522" s="234"/>
      <c r="BK522" s="234"/>
      <c r="BL522" s="234"/>
      <c r="BM522" s="234"/>
      <c r="BN522" s="234"/>
      <c r="BO522" s="234"/>
    </row>
    <row r="523" spans="1:67" ht="24" customHeight="1" x14ac:dyDescent="0.25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  <c r="AB523" s="234"/>
      <c r="AC523" s="234"/>
      <c r="AD523" s="234"/>
      <c r="AE523" s="234"/>
      <c r="AF523" s="234"/>
      <c r="AG523" s="234"/>
      <c r="AH523" s="234"/>
      <c r="AI523" s="234"/>
      <c r="AJ523" s="234"/>
      <c r="AK523" s="234"/>
      <c r="AL523" s="234"/>
      <c r="AM523" s="234"/>
      <c r="AN523" s="234"/>
      <c r="AO523" s="234"/>
      <c r="AP523" s="234"/>
      <c r="AQ523" s="234"/>
      <c r="AR523" s="234"/>
      <c r="AS523" s="234"/>
      <c r="AT523" s="234"/>
      <c r="AU523" s="234"/>
      <c r="AV523" s="234"/>
      <c r="AW523" s="234"/>
      <c r="AX523" s="234"/>
      <c r="AY523" s="234"/>
      <c r="AZ523" s="234"/>
      <c r="BA523" s="234"/>
      <c r="BB523" s="234"/>
      <c r="BC523" s="234"/>
      <c r="BD523" s="234"/>
      <c r="BE523" s="234"/>
      <c r="BF523" s="234"/>
      <c r="BG523" s="234"/>
      <c r="BH523" s="234"/>
      <c r="BI523" s="234"/>
      <c r="BJ523" s="234"/>
      <c r="BK523" s="234"/>
      <c r="BL523" s="234"/>
      <c r="BM523" s="234"/>
      <c r="BN523" s="234"/>
      <c r="BO523" s="234"/>
    </row>
    <row r="524" spans="1:67" ht="24" customHeight="1" x14ac:dyDescent="0.25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  <c r="AB524" s="234"/>
      <c r="AC524" s="234"/>
      <c r="AD524" s="234"/>
      <c r="AE524" s="234"/>
      <c r="AF524" s="234"/>
      <c r="AG524" s="234"/>
      <c r="AH524" s="234"/>
      <c r="AI524" s="234"/>
      <c r="AJ524" s="234"/>
      <c r="AK524" s="234"/>
      <c r="AL524" s="234"/>
      <c r="AM524" s="234"/>
      <c r="AN524" s="234"/>
      <c r="AO524" s="234"/>
      <c r="AP524" s="234"/>
      <c r="AQ524" s="234"/>
      <c r="AR524" s="234"/>
      <c r="AS524" s="234"/>
      <c r="AT524" s="234"/>
      <c r="AU524" s="234"/>
      <c r="AV524" s="234"/>
      <c r="AW524" s="234"/>
      <c r="AX524" s="234"/>
      <c r="AY524" s="234"/>
      <c r="AZ524" s="234"/>
      <c r="BA524" s="234"/>
      <c r="BB524" s="234"/>
      <c r="BC524" s="234"/>
      <c r="BD524" s="234"/>
      <c r="BE524" s="234"/>
      <c r="BF524" s="234"/>
      <c r="BG524" s="234"/>
      <c r="BH524" s="234"/>
      <c r="BI524" s="234"/>
      <c r="BJ524" s="234"/>
      <c r="BK524" s="234"/>
      <c r="BL524" s="234"/>
      <c r="BM524" s="234"/>
      <c r="BN524" s="234"/>
      <c r="BO524" s="234"/>
    </row>
    <row r="525" spans="1:67" ht="24" customHeight="1" x14ac:dyDescent="0.2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  <c r="AB525" s="234"/>
      <c r="AC525" s="234"/>
      <c r="AD525" s="234"/>
      <c r="AE525" s="234"/>
      <c r="AF525" s="234"/>
      <c r="AG525" s="234"/>
      <c r="AH525" s="234"/>
      <c r="AI525" s="234"/>
      <c r="AJ525" s="234"/>
      <c r="AK525" s="234"/>
      <c r="AL525" s="234"/>
      <c r="AM525" s="234"/>
      <c r="AN525" s="234"/>
      <c r="AO525" s="234"/>
      <c r="AP525" s="234"/>
      <c r="AQ525" s="234"/>
      <c r="AR525" s="234"/>
      <c r="AS525" s="234"/>
      <c r="AT525" s="234"/>
      <c r="AU525" s="234"/>
      <c r="AV525" s="234"/>
      <c r="AW525" s="234"/>
      <c r="AX525" s="234"/>
      <c r="AY525" s="234"/>
      <c r="AZ525" s="234"/>
      <c r="BA525" s="234"/>
      <c r="BB525" s="234"/>
      <c r="BC525" s="234"/>
      <c r="BD525" s="234"/>
      <c r="BE525" s="234"/>
      <c r="BF525" s="234"/>
      <c r="BG525" s="234"/>
      <c r="BH525" s="234"/>
      <c r="BI525" s="234"/>
      <c r="BJ525" s="234"/>
      <c r="BK525" s="234"/>
      <c r="BL525" s="234"/>
      <c r="BM525" s="234"/>
      <c r="BN525" s="234"/>
      <c r="BO525" s="234"/>
    </row>
    <row r="526" spans="1:67" ht="24" customHeight="1" x14ac:dyDescent="0.25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  <c r="AB526" s="234"/>
      <c r="AC526" s="234"/>
      <c r="AD526" s="234"/>
      <c r="AE526" s="234"/>
      <c r="AF526" s="234"/>
      <c r="AG526" s="234"/>
      <c r="AH526" s="234"/>
      <c r="AI526" s="234"/>
      <c r="AJ526" s="234"/>
      <c r="AK526" s="234"/>
      <c r="AL526" s="234"/>
      <c r="AM526" s="234"/>
      <c r="AN526" s="234"/>
      <c r="AO526" s="234"/>
      <c r="AP526" s="234"/>
      <c r="AQ526" s="234"/>
      <c r="AR526" s="234"/>
      <c r="AS526" s="234"/>
      <c r="AT526" s="234"/>
      <c r="AU526" s="234"/>
      <c r="AV526" s="234"/>
      <c r="AW526" s="234"/>
      <c r="AX526" s="234"/>
      <c r="AY526" s="234"/>
      <c r="AZ526" s="234"/>
      <c r="BA526" s="234"/>
      <c r="BB526" s="234"/>
      <c r="BC526" s="234"/>
      <c r="BD526" s="234"/>
      <c r="BE526" s="234"/>
      <c r="BF526" s="234"/>
      <c r="BG526" s="234"/>
      <c r="BH526" s="234"/>
      <c r="BI526" s="234"/>
      <c r="BJ526" s="234"/>
      <c r="BK526" s="234"/>
      <c r="BL526" s="234"/>
      <c r="BM526" s="234"/>
      <c r="BN526" s="234"/>
      <c r="BO526" s="234"/>
    </row>
    <row r="527" spans="1:67" ht="24" customHeight="1" x14ac:dyDescent="0.25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  <c r="AC527" s="234"/>
      <c r="AD527" s="234"/>
      <c r="AE527" s="234"/>
      <c r="AF527" s="234"/>
      <c r="AG527" s="234"/>
      <c r="AH527" s="234"/>
      <c r="AI527" s="234"/>
      <c r="AJ527" s="234"/>
      <c r="AK527" s="234"/>
      <c r="AL527" s="234"/>
      <c r="AM527" s="234"/>
      <c r="AN527" s="234"/>
      <c r="AO527" s="234"/>
      <c r="AP527" s="234"/>
      <c r="AQ527" s="234"/>
      <c r="AR527" s="234"/>
      <c r="AS527" s="234"/>
      <c r="AT527" s="234"/>
      <c r="AU527" s="234"/>
      <c r="AV527" s="234"/>
      <c r="AW527" s="234"/>
      <c r="AX527" s="234"/>
      <c r="AY527" s="234"/>
      <c r="AZ527" s="234"/>
      <c r="BA527" s="234"/>
      <c r="BB527" s="234"/>
      <c r="BC527" s="234"/>
      <c r="BD527" s="234"/>
      <c r="BE527" s="234"/>
      <c r="BF527" s="234"/>
      <c r="BG527" s="234"/>
      <c r="BH527" s="234"/>
      <c r="BI527" s="234"/>
      <c r="BJ527" s="234"/>
      <c r="BK527" s="234"/>
      <c r="BL527" s="234"/>
      <c r="BM527" s="234"/>
      <c r="BN527" s="234"/>
      <c r="BO527" s="234"/>
    </row>
    <row r="528" spans="1:67" ht="24" customHeight="1" x14ac:dyDescent="0.25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  <c r="AB528" s="234"/>
      <c r="AC528" s="234"/>
      <c r="AD528" s="234"/>
      <c r="AE528" s="234"/>
      <c r="AF528" s="234"/>
      <c r="AG528" s="234"/>
      <c r="AH528" s="234"/>
      <c r="AI528" s="234"/>
      <c r="AJ528" s="234"/>
      <c r="AK528" s="234"/>
      <c r="AL528" s="234"/>
      <c r="AM528" s="234"/>
      <c r="AN528" s="234"/>
      <c r="AO528" s="234"/>
      <c r="AP528" s="234"/>
      <c r="AQ528" s="234"/>
      <c r="AR528" s="234"/>
      <c r="AS528" s="234"/>
      <c r="AT528" s="234"/>
      <c r="AU528" s="234"/>
      <c r="AV528" s="234"/>
      <c r="AW528" s="234"/>
      <c r="AX528" s="234"/>
      <c r="AY528" s="234"/>
      <c r="AZ528" s="234"/>
      <c r="BA528" s="234"/>
      <c r="BB528" s="234"/>
      <c r="BC528" s="234"/>
      <c r="BD528" s="234"/>
      <c r="BE528" s="234"/>
      <c r="BF528" s="234"/>
      <c r="BG528" s="234"/>
      <c r="BH528" s="234"/>
      <c r="BI528" s="234"/>
      <c r="BJ528" s="234"/>
      <c r="BK528" s="234"/>
      <c r="BL528" s="234"/>
      <c r="BM528" s="234"/>
      <c r="BN528" s="234"/>
      <c r="BO528" s="234"/>
    </row>
    <row r="529" spans="1:67" ht="24" customHeight="1" x14ac:dyDescent="0.25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  <c r="AB529" s="234"/>
      <c r="AC529" s="234"/>
      <c r="AD529" s="234"/>
      <c r="AE529" s="234"/>
      <c r="AF529" s="234"/>
      <c r="AG529" s="234"/>
      <c r="AH529" s="234"/>
      <c r="AI529" s="234"/>
      <c r="AJ529" s="234"/>
      <c r="AK529" s="234"/>
      <c r="AL529" s="234"/>
      <c r="AM529" s="234"/>
      <c r="AN529" s="234"/>
      <c r="AO529" s="234"/>
      <c r="AP529" s="234"/>
      <c r="AQ529" s="234"/>
      <c r="AR529" s="234"/>
      <c r="AS529" s="234"/>
      <c r="AT529" s="234"/>
      <c r="AU529" s="234"/>
      <c r="AV529" s="234"/>
      <c r="AW529" s="234"/>
      <c r="AX529" s="234"/>
      <c r="AY529" s="234"/>
      <c r="AZ529" s="234"/>
      <c r="BA529" s="234"/>
      <c r="BB529" s="234"/>
      <c r="BC529" s="234"/>
      <c r="BD529" s="234"/>
      <c r="BE529" s="234"/>
      <c r="BF529" s="234"/>
      <c r="BG529" s="234"/>
      <c r="BH529" s="234"/>
      <c r="BI529" s="234"/>
      <c r="BJ529" s="234"/>
      <c r="BK529" s="234"/>
      <c r="BL529" s="234"/>
      <c r="BM529" s="234"/>
      <c r="BN529" s="234"/>
      <c r="BO529" s="234"/>
    </row>
    <row r="530" spans="1:67" ht="24" customHeight="1" x14ac:dyDescent="0.25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  <c r="AB530" s="234"/>
      <c r="AC530" s="234"/>
      <c r="AD530" s="234"/>
      <c r="AE530" s="234"/>
      <c r="AF530" s="234"/>
      <c r="AG530" s="234"/>
      <c r="AH530" s="234"/>
      <c r="AI530" s="234"/>
      <c r="AJ530" s="234"/>
      <c r="AK530" s="234"/>
      <c r="AL530" s="234"/>
      <c r="AM530" s="234"/>
      <c r="AN530" s="234"/>
      <c r="AO530" s="234"/>
      <c r="AP530" s="234"/>
      <c r="AQ530" s="234"/>
      <c r="AR530" s="234"/>
      <c r="AS530" s="234"/>
      <c r="AT530" s="234"/>
      <c r="AU530" s="234"/>
      <c r="AV530" s="234"/>
      <c r="AW530" s="234"/>
      <c r="AX530" s="234"/>
      <c r="AY530" s="234"/>
      <c r="AZ530" s="234"/>
      <c r="BA530" s="234"/>
      <c r="BB530" s="234"/>
      <c r="BC530" s="234"/>
      <c r="BD530" s="234"/>
      <c r="BE530" s="234"/>
      <c r="BF530" s="234"/>
      <c r="BG530" s="234"/>
      <c r="BH530" s="234"/>
      <c r="BI530" s="234"/>
      <c r="BJ530" s="234"/>
      <c r="BK530" s="234"/>
      <c r="BL530" s="234"/>
      <c r="BM530" s="234"/>
      <c r="BN530" s="234"/>
      <c r="BO530" s="234"/>
    </row>
    <row r="531" spans="1:67" ht="24" customHeight="1" x14ac:dyDescent="0.25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  <c r="AB531" s="234"/>
      <c r="AC531" s="234"/>
      <c r="AD531" s="234"/>
      <c r="AE531" s="234"/>
      <c r="AF531" s="234"/>
      <c r="AG531" s="234"/>
      <c r="AH531" s="234"/>
      <c r="AI531" s="234"/>
      <c r="AJ531" s="234"/>
      <c r="AK531" s="234"/>
      <c r="AL531" s="234"/>
      <c r="AM531" s="234"/>
      <c r="AN531" s="234"/>
      <c r="AO531" s="234"/>
      <c r="AP531" s="234"/>
      <c r="AQ531" s="234"/>
      <c r="AR531" s="234"/>
      <c r="AS531" s="234"/>
      <c r="AT531" s="234"/>
      <c r="AU531" s="234"/>
      <c r="AV531" s="234"/>
      <c r="AW531" s="234"/>
      <c r="AX531" s="234"/>
      <c r="AY531" s="234"/>
      <c r="AZ531" s="234"/>
      <c r="BA531" s="234"/>
      <c r="BB531" s="234"/>
      <c r="BC531" s="234"/>
      <c r="BD531" s="234"/>
      <c r="BE531" s="234"/>
      <c r="BF531" s="234"/>
      <c r="BG531" s="234"/>
      <c r="BH531" s="234"/>
      <c r="BI531" s="234"/>
      <c r="BJ531" s="234"/>
      <c r="BK531" s="234"/>
      <c r="BL531" s="234"/>
      <c r="BM531" s="234"/>
      <c r="BN531" s="234"/>
      <c r="BO531" s="234"/>
    </row>
    <row r="532" spans="1:67" ht="24" customHeight="1" x14ac:dyDescent="0.25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  <c r="AB532" s="234"/>
      <c r="AC532" s="234"/>
      <c r="AD532" s="234"/>
      <c r="AE532" s="234"/>
      <c r="AF532" s="234"/>
      <c r="AG532" s="234"/>
      <c r="AH532" s="234"/>
      <c r="AI532" s="234"/>
      <c r="AJ532" s="234"/>
      <c r="AK532" s="234"/>
      <c r="AL532" s="234"/>
      <c r="AM532" s="234"/>
      <c r="AN532" s="234"/>
      <c r="AO532" s="234"/>
      <c r="AP532" s="234"/>
      <c r="AQ532" s="234"/>
      <c r="AR532" s="234"/>
      <c r="AS532" s="234"/>
      <c r="AT532" s="234"/>
      <c r="AU532" s="234"/>
      <c r="AV532" s="234"/>
      <c r="AW532" s="234"/>
      <c r="AX532" s="234"/>
      <c r="AY532" s="234"/>
      <c r="AZ532" s="234"/>
      <c r="BA532" s="234"/>
      <c r="BB532" s="234"/>
      <c r="BC532" s="234"/>
      <c r="BD532" s="234"/>
      <c r="BE532" s="234"/>
      <c r="BF532" s="234"/>
      <c r="BG532" s="234"/>
      <c r="BH532" s="234"/>
      <c r="BI532" s="234"/>
      <c r="BJ532" s="234"/>
      <c r="BK532" s="234"/>
      <c r="BL532" s="234"/>
      <c r="BM532" s="234"/>
      <c r="BN532" s="234"/>
      <c r="BO532" s="234"/>
    </row>
    <row r="533" spans="1:67" ht="24" customHeight="1" x14ac:dyDescent="0.25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  <c r="AB533" s="234"/>
      <c r="AC533" s="234"/>
      <c r="AD533" s="234"/>
      <c r="AE533" s="234"/>
      <c r="AF533" s="234"/>
      <c r="AG533" s="234"/>
      <c r="AH533" s="234"/>
      <c r="AI533" s="234"/>
      <c r="AJ533" s="234"/>
      <c r="AK533" s="234"/>
      <c r="AL533" s="234"/>
      <c r="AM533" s="234"/>
      <c r="AN533" s="234"/>
      <c r="AO533" s="234"/>
      <c r="AP533" s="234"/>
      <c r="AQ533" s="234"/>
      <c r="AR533" s="234"/>
      <c r="AS533" s="234"/>
      <c r="AT533" s="234"/>
      <c r="AU533" s="234"/>
      <c r="AV533" s="234"/>
      <c r="AW533" s="234"/>
      <c r="AX533" s="234"/>
      <c r="AY533" s="234"/>
      <c r="AZ533" s="234"/>
      <c r="BA533" s="234"/>
      <c r="BB533" s="234"/>
      <c r="BC533" s="234"/>
      <c r="BD533" s="234"/>
      <c r="BE533" s="234"/>
      <c r="BF533" s="234"/>
      <c r="BG533" s="234"/>
      <c r="BH533" s="234"/>
      <c r="BI533" s="234"/>
      <c r="BJ533" s="234"/>
      <c r="BK533" s="234"/>
      <c r="BL533" s="234"/>
      <c r="BM533" s="234"/>
      <c r="BN533" s="234"/>
      <c r="BO533" s="234"/>
    </row>
    <row r="534" spans="1:67" ht="24" customHeight="1" x14ac:dyDescent="0.25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  <c r="AB534" s="234"/>
      <c r="AC534" s="234"/>
      <c r="AD534" s="234"/>
      <c r="AE534" s="234"/>
      <c r="AF534" s="234"/>
      <c r="AG534" s="234"/>
      <c r="AH534" s="234"/>
      <c r="AI534" s="234"/>
      <c r="AJ534" s="234"/>
      <c r="AK534" s="234"/>
      <c r="AL534" s="234"/>
      <c r="AM534" s="234"/>
      <c r="AN534" s="234"/>
      <c r="AO534" s="234"/>
      <c r="AP534" s="234"/>
      <c r="AQ534" s="234"/>
      <c r="AR534" s="234"/>
      <c r="AS534" s="234"/>
      <c r="AT534" s="234"/>
      <c r="AU534" s="234"/>
      <c r="AV534" s="234"/>
      <c r="AW534" s="234"/>
      <c r="AX534" s="234"/>
      <c r="AY534" s="234"/>
      <c r="AZ534" s="234"/>
      <c r="BA534" s="234"/>
      <c r="BB534" s="234"/>
      <c r="BC534" s="234"/>
      <c r="BD534" s="234"/>
      <c r="BE534" s="234"/>
      <c r="BF534" s="234"/>
      <c r="BG534" s="234"/>
      <c r="BH534" s="234"/>
      <c r="BI534" s="234"/>
      <c r="BJ534" s="234"/>
      <c r="BK534" s="234"/>
      <c r="BL534" s="234"/>
      <c r="BM534" s="234"/>
      <c r="BN534" s="234"/>
      <c r="BO534" s="234"/>
    </row>
    <row r="535" spans="1:67" ht="24" customHeight="1" x14ac:dyDescent="0.2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  <c r="AB535" s="234"/>
      <c r="AC535" s="234"/>
      <c r="AD535" s="234"/>
      <c r="AE535" s="234"/>
      <c r="AF535" s="234"/>
      <c r="AG535" s="234"/>
      <c r="AH535" s="234"/>
      <c r="AI535" s="234"/>
      <c r="AJ535" s="234"/>
      <c r="AK535" s="234"/>
      <c r="AL535" s="234"/>
      <c r="AM535" s="234"/>
      <c r="AN535" s="234"/>
      <c r="AO535" s="234"/>
      <c r="AP535" s="234"/>
      <c r="AQ535" s="234"/>
      <c r="AR535" s="234"/>
      <c r="AS535" s="234"/>
      <c r="AT535" s="234"/>
      <c r="AU535" s="234"/>
      <c r="AV535" s="234"/>
      <c r="AW535" s="234"/>
      <c r="AX535" s="234"/>
      <c r="AY535" s="234"/>
      <c r="AZ535" s="234"/>
      <c r="BA535" s="234"/>
      <c r="BB535" s="234"/>
      <c r="BC535" s="234"/>
      <c r="BD535" s="234"/>
      <c r="BE535" s="234"/>
      <c r="BF535" s="234"/>
      <c r="BG535" s="234"/>
      <c r="BH535" s="234"/>
      <c r="BI535" s="234"/>
      <c r="BJ535" s="234"/>
      <c r="BK535" s="234"/>
      <c r="BL535" s="234"/>
      <c r="BM535" s="234"/>
      <c r="BN535" s="234"/>
      <c r="BO535" s="234"/>
    </row>
    <row r="536" spans="1:67" ht="24" customHeight="1" x14ac:dyDescent="0.25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  <c r="AB536" s="234"/>
      <c r="AC536" s="234"/>
      <c r="AD536" s="234"/>
      <c r="AE536" s="234"/>
      <c r="AF536" s="234"/>
      <c r="AG536" s="234"/>
      <c r="AH536" s="234"/>
      <c r="AI536" s="234"/>
      <c r="AJ536" s="234"/>
      <c r="AK536" s="234"/>
      <c r="AL536" s="234"/>
      <c r="AM536" s="234"/>
      <c r="AN536" s="234"/>
      <c r="AO536" s="234"/>
      <c r="AP536" s="234"/>
      <c r="AQ536" s="234"/>
      <c r="AR536" s="234"/>
      <c r="AS536" s="234"/>
      <c r="AT536" s="234"/>
      <c r="AU536" s="234"/>
      <c r="AV536" s="234"/>
      <c r="AW536" s="234"/>
      <c r="AX536" s="234"/>
      <c r="AY536" s="234"/>
      <c r="AZ536" s="234"/>
      <c r="BA536" s="234"/>
      <c r="BB536" s="234"/>
      <c r="BC536" s="234"/>
      <c r="BD536" s="234"/>
      <c r="BE536" s="234"/>
      <c r="BF536" s="234"/>
      <c r="BG536" s="234"/>
      <c r="BH536" s="234"/>
      <c r="BI536" s="234"/>
      <c r="BJ536" s="234"/>
      <c r="BK536" s="234"/>
      <c r="BL536" s="234"/>
      <c r="BM536" s="234"/>
      <c r="BN536" s="234"/>
      <c r="BO536" s="234"/>
    </row>
    <row r="537" spans="1:67" ht="24" customHeight="1" x14ac:dyDescent="0.25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  <c r="AB537" s="234"/>
      <c r="AC537" s="234"/>
      <c r="AD537" s="234"/>
      <c r="AE537" s="234"/>
      <c r="AF537" s="234"/>
      <c r="AG537" s="234"/>
      <c r="AH537" s="234"/>
      <c r="AI537" s="234"/>
      <c r="AJ537" s="234"/>
      <c r="AK537" s="234"/>
      <c r="AL537" s="234"/>
      <c r="AM537" s="234"/>
      <c r="AN537" s="234"/>
      <c r="AO537" s="234"/>
      <c r="AP537" s="234"/>
      <c r="AQ537" s="234"/>
      <c r="AR537" s="234"/>
      <c r="AS537" s="234"/>
      <c r="AT537" s="234"/>
      <c r="AU537" s="234"/>
      <c r="AV537" s="234"/>
      <c r="AW537" s="234"/>
      <c r="AX537" s="234"/>
      <c r="AY537" s="234"/>
      <c r="AZ537" s="234"/>
      <c r="BA537" s="234"/>
      <c r="BB537" s="234"/>
      <c r="BC537" s="234"/>
      <c r="BD537" s="234"/>
      <c r="BE537" s="234"/>
      <c r="BF537" s="234"/>
      <c r="BG537" s="234"/>
      <c r="BH537" s="234"/>
      <c r="BI537" s="234"/>
      <c r="BJ537" s="234"/>
      <c r="BK537" s="234"/>
      <c r="BL537" s="234"/>
      <c r="BM537" s="234"/>
      <c r="BN537" s="234"/>
      <c r="BO537" s="234"/>
    </row>
    <row r="538" spans="1:67" ht="24" customHeight="1" x14ac:dyDescent="0.25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  <c r="AB538" s="234"/>
      <c r="AC538" s="234"/>
      <c r="AD538" s="234"/>
      <c r="AE538" s="234"/>
      <c r="AF538" s="234"/>
      <c r="AG538" s="234"/>
      <c r="AH538" s="234"/>
      <c r="AI538" s="234"/>
      <c r="AJ538" s="234"/>
      <c r="AK538" s="234"/>
      <c r="AL538" s="234"/>
      <c r="AM538" s="234"/>
      <c r="AN538" s="234"/>
      <c r="AO538" s="234"/>
      <c r="AP538" s="234"/>
      <c r="AQ538" s="234"/>
      <c r="AR538" s="234"/>
      <c r="AS538" s="234"/>
      <c r="AT538" s="234"/>
      <c r="AU538" s="234"/>
      <c r="AV538" s="234"/>
      <c r="AW538" s="234"/>
      <c r="AX538" s="234"/>
      <c r="AY538" s="234"/>
      <c r="AZ538" s="234"/>
      <c r="BA538" s="234"/>
      <c r="BB538" s="234"/>
      <c r="BC538" s="234"/>
      <c r="BD538" s="234"/>
      <c r="BE538" s="234"/>
      <c r="BF538" s="234"/>
      <c r="BG538" s="234"/>
      <c r="BH538" s="234"/>
      <c r="BI538" s="234"/>
      <c r="BJ538" s="234"/>
      <c r="BK538" s="234"/>
      <c r="BL538" s="234"/>
      <c r="BM538" s="234"/>
      <c r="BN538" s="234"/>
      <c r="BO538" s="234"/>
    </row>
    <row r="539" spans="1:67" ht="24" customHeight="1" x14ac:dyDescent="0.25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  <c r="AB539" s="234"/>
      <c r="AC539" s="234"/>
      <c r="AD539" s="234"/>
      <c r="AE539" s="234"/>
      <c r="AF539" s="234"/>
      <c r="AG539" s="234"/>
      <c r="AH539" s="234"/>
      <c r="AI539" s="234"/>
      <c r="AJ539" s="234"/>
      <c r="AK539" s="234"/>
      <c r="AL539" s="234"/>
      <c r="AM539" s="234"/>
      <c r="AN539" s="234"/>
      <c r="AO539" s="234"/>
      <c r="AP539" s="234"/>
      <c r="AQ539" s="234"/>
      <c r="AR539" s="234"/>
      <c r="AS539" s="234"/>
      <c r="AT539" s="234"/>
      <c r="AU539" s="234"/>
      <c r="AV539" s="234"/>
      <c r="AW539" s="234"/>
      <c r="AX539" s="234"/>
      <c r="AY539" s="234"/>
      <c r="AZ539" s="234"/>
      <c r="BA539" s="234"/>
      <c r="BB539" s="234"/>
      <c r="BC539" s="234"/>
      <c r="BD539" s="234"/>
      <c r="BE539" s="234"/>
      <c r="BF539" s="234"/>
      <c r="BG539" s="234"/>
      <c r="BH539" s="234"/>
      <c r="BI539" s="234"/>
      <c r="BJ539" s="234"/>
      <c r="BK539" s="234"/>
      <c r="BL539" s="234"/>
      <c r="BM539" s="234"/>
      <c r="BN539" s="234"/>
      <c r="BO539" s="234"/>
    </row>
    <row r="540" spans="1:67" ht="24" customHeight="1" x14ac:dyDescent="0.25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  <c r="AB540" s="234"/>
      <c r="AC540" s="234"/>
      <c r="AD540" s="234"/>
      <c r="AE540" s="234"/>
      <c r="AF540" s="234"/>
      <c r="AG540" s="234"/>
      <c r="AH540" s="234"/>
      <c r="AI540" s="234"/>
      <c r="AJ540" s="234"/>
      <c r="AK540" s="234"/>
      <c r="AL540" s="234"/>
      <c r="AM540" s="234"/>
      <c r="AN540" s="234"/>
      <c r="AO540" s="234"/>
      <c r="AP540" s="234"/>
      <c r="AQ540" s="234"/>
      <c r="AR540" s="234"/>
      <c r="AS540" s="234"/>
      <c r="AT540" s="234"/>
      <c r="AU540" s="234"/>
      <c r="AV540" s="234"/>
      <c r="AW540" s="234"/>
      <c r="AX540" s="234"/>
      <c r="AY540" s="234"/>
      <c r="AZ540" s="234"/>
      <c r="BA540" s="234"/>
      <c r="BB540" s="234"/>
      <c r="BC540" s="234"/>
      <c r="BD540" s="234"/>
      <c r="BE540" s="234"/>
      <c r="BF540" s="234"/>
      <c r="BG540" s="234"/>
      <c r="BH540" s="234"/>
      <c r="BI540" s="234"/>
      <c r="BJ540" s="234"/>
      <c r="BK540" s="234"/>
      <c r="BL540" s="234"/>
      <c r="BM540" s="234"/>
      <c r="BN540" s="234"/>
      <c r="BO540" s="234"/>
    </row>
    <row r="541" spans="1:67" ht="24" customHeight="1" x14ac:dyDescent="0.25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  <c r="AB541" s="234"/>
      <c r="AC541" s="234"/>
      <c r="AD541" s="234"/>
      <c r="AE541" s="234"/>
      <c r="AF541" s="234"/>
      <c r="AG541" s="234"/>
      <c r="AH541" s="234"/>
      <c r="AI541" s="234"/>
      <c r="AJ541" s="234"/>
      <c r="AK541" s="234"/>
      <c r="AL541" s="234"/>
      <c r="AM541" s="234"/>
      <c r="AN541" s="234"/>
      <c r="AO541" s="234"/>
      <c r="AP541" s="234"/>
      <c r="AQ541" s="234"/>
      <c r="AR541" s="234"/>
      <c r="AS541" s="234"/>
      <c r="AT541" s="234"/>
      <c r="AU541" s="234"/>
      <c r="AV541" s="234"/>
      <c r="AW541" s="234"/>
      <c r="AX541" s="234"/>
      <c r="AY541" s="234"/>
      <c r="AZ541" s="234"/>
      <c r="BA541" s="234"/>
      <c r="BB541" s="234"/>
      <c r="BC541" s="234"/>
      <c r="BD541" s="234"/>
      <c r="BE541" s="234"/>
      <c r="BF541" s="234"/>
      <c r="BG541" s="234"/>
      <c r="BH541" s="234"/>
      <c r="BI541" s="234"/>
      <c r="BJ541" s="234"/>
      <c r="BK541" s="234"/>
      <c r="BL541" s="234"/>
      <c r="BM541" s="234"/>
      <c r="BN541" s="234"/>
      <c r="BO541" s="234"/>
    </row>
    <row r="542" spans="1:67" ht="24" customHeight="1" x14ac:dyDescent="0.25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  <c r="AB542" s="234"/>
      <c r="AC542" s="234"/>
      <c r="AD542" s="234"/>
      <c r="AE542" s="234"/>
      <c r="AF542" s="234"/>
      <c r="AG542" s="234"/>
      <c r="AH542" s="234"/>
      <c r="AI542" s="234"/>
      <c r="AJ542" s="234"/>
      <c r="AK542" s="234"/>
      <c r="AL542" s="234"/>
      <c r="AM542" s="234"/>
      <c r="AN542" s="234"/>
      <c r="AO542" s="234"/>
      <c r="AP542" s="234"/>
      <c r="AQ542" s="234"/>
      <c r="AR542" s="234"/>
      <c r="AS542" s="234"/>
      <c r="AT542" s="234"/>
      <c r="AU542" s="234"/>
      <c r="AV542" s="234"/>
      <c r="AW542" s="234"/>
      <c r="AX542" s="234"/>
      <c r="AY542" s="234"/>
      <c r="AZ542" s="234"/>
      <c r="BA542" s="234"/>
      <c r="BB542" s="234"/>
      <c r="BC542" s="234"/>
      <c r="BD542" s="234"/>
      <c r="BE542" s="234"/>
      <c r="BF542" s="234"/>
      <c r="BG542" s="234"/>
      <c r="BH542" s="234"/>
      <c r="BI542" s="234"/>
      <c r="BJ542" s="234"/>
      <c r="BK542" s="234"/>
      <c r="BL542" s="234"/>
      <c r="BM542" s="234"/>
      <c r="BN542" s="234"/>
      <c r="BO542" s="234"/>
    </row>
    <row r="543" spans="1:67" ht="24" customHeight="1" x14ac:dyDescent="0.25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  <c r="AB543" s="234"/>
      <c r="AC543" s="234"/>
      <c r="AD543" s="234"/>
      <c r="AE543" s="234"/>
      <c r="AF543" s="234"/>
      <c r="AG543" s="234"/>
      <c r="AH543" s="234"/>
      <c r="AI543" s="234"/>
      <c r="AJ543" s="234"/>
      <c r="AK543" s="234"/>
      <c r="AL543" s="234"/>
      <c r="AM543" s="234"/>
      <c r="AN543" s="234"/>
      <c r="AO543" s="234"/>
      <c r="AP543" s="234"/>
      <c r="AQ543" s="234"/>
      <c r="AR543" s="234"/>
      <c r="AS543" s="234"/>
      <c r="AT543" s="234"/>
      <c r="AU543" s="234"/>
      <c r="AV543" s="234"/>
      <c r="AW543" s="234"/>
      <c r="AX543" s="234"/>
      <c r="AY543" s="234"/>
      <c r="AZ543" s="234"/>
      <c r="BA543" s="234"/>
      <c r="BB543" s="234"/>
      <c r="BC543" s="234"/>
      <c r="BD543" s="234"/>
      <c r="BE543" s="234"/>
      <c r="BF543" s="234"/>
      <c r="BG543" s="234"/>
      <c r="BH543" s="234"/>
      <c r="BI543" s="234"/>
      <c r="BJ543" s="234"/>
      <c r="BK543" s="234"/>
      <c r="BL543" s="234"/>
      <c r="BM543" s="234"/>
      <c r="BN543" s="234"/>
      <c r="BO543" s="234"/>
    </row>
    <row r="544" spans="1:67" ht="24" customHeight="1" x14ac:dyDescent="0.25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  <c r="AB544" s="234"/>
      <c r="AC544" s="234"/>
      <c r="AD544" s="234"/>
      <c r="AE544" s="234"/>
      <c r="AF544" s="234"/>
      <c r="AG544" s="234"/>
      <c r="AH544" s="234"/>
      <c r="AI544" s="234"/>
      <c r="AJ544" s="234"/>
      <c r="AK544" s="234"/>
      <c r="AL544" s="234"/>
      <c r="AM544" s="234"/>
      <c r="AN544" s="234"/>
      <c r="AO544" s="234"/>
      <c r="AP544" s="234"/>
      <c r="AQ544" s="234"/>
      <c r="AR544" s="234"/>
      <c r="AS544" s="234"/>
      <c r="AT544" s="234"/>
      <c r="AU544" s="234"/>
      <c r="AV544" s="234"/>
      <c r="AW544" s="234"/>
      <c r="AX544" s="234"/>
      <c r="AY544" s="234"/>
      <c r="AZ544" s="234"/>
      <c r="BA544" s="234"/>
      <c r="BB544" s="234"/>
      <c r="BC544" s="234"/>
      <c r="BD544" s="234"/>
      <c r="BE544" s="234"/>
      <c r="BF544" s="234"/>
      <c r="BG544" s="234"/>
      <c r="BH544" s="234"/>
      <c r="BI544" s="234"/>
      <c r="BJ544" s="234"/>
      <c r="BK544" s="234"/>
      <c r="BL544" s="234"/>
      <c r="BM544" s="234"/>
      <c r="BN544" s="234"/>
      <c r="BO544" s="234"/>
    </row>
    <row r="545" spans="1:67" ht="24" customHeight="1" x14ac:dyDescent="0.2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  <c r="AB545" s="234"/>
      <c r="AC545" s="234"/>
      <c r="AD545" s="234"/>
      <c r="AE545" s="234"/>
      <c r="AF545" s="234"/>
      <c r="AG545" s="234"/>
      <c r="AH545" s="234"/>
      <c r="AI545" s="234"/>
      <c r="AJ545" s="234"/>
      <c r="AK545" s="234"/>
      <c r="AL545" s="234"/>
      <c r="AM545" s="234"/>
      <c r="AN545" s="234"/>
      <c r="AO545" s="234"/>
      <c r="AP545" s="234"/>
      <c r="AQ545" s="234"/>
      <c r="AR545" s="234"/>
      <c r="AS545" s="234"/>
      <c r="AT545" s="234"/>
      <c r="AU545" s="234"/>
      <c r="AV545" s="234"/>
      <c r="AW545" s="234"/>
      <c r="AX545" s="234"/>
      <c r="AY545" s="234"/>
      <c r="AZ545" s="234"/>
      <c r="BA545" s="234"/>
      <c r="BB545" s="234"/>
      <c r="BC545" s="234"/>
      <c r="BD545" s="234"/>
      <c r="BE545" s="234"/>
      <c r="BF545" s="234"/>
      <c r="BG545" s="234"/>
      <c r="BH545" s="234"/>
      <c r="BI545" s="234"/>
      <c r="BJ545" s="234"/>
      <c r="BK545" s="234"/>
      <c r="BL545" s="234"/>
      <c r="BM545" s="234"/>
      <c r="BN545" s="234"/>
      <c r="BO545" s="234"/>
    </row>
    <row r="546" spans="1:67" ht="24" customHeight="1" x14ac:dyDescent="0.25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  <c r="AB546" s="234"/>
      <c r="AC546" s="234"/>
      <c r="AD546" s="234"/>
      <c r="AE546" s="234"/>
      <c r="AF546" s="234"/>
      <c r="AG546" s="234"/>
      <c r="AH546" s="234"/>
      <c r="AI546" s="234"/>
      <c r="AJ546" s="234"/>
      <c r="AK546" s="234"/>
      <c r="AL546" s="234"/>
      <c r="AM546" s="234"/>
      <c r="AN546" s="234"/>
      <c r="AO546" s="234"/>
      <c r="AP546" s="234"/>
      <c r="AQ546" s="234"/>
      <c r="AR546" s="234"/>
      <c r="AS546" s="234"/>
      <c r="AT546" s="234"/>
      <c r="AU546" s="234"/>
      <c r="AV546" s="234"/>
      <c r="AW546" s="234"/>
      <c r="AX546" s="234"/>
      <c r="AY546" s="234"/>
      <c r="AZ546" s="234"/>
      <c r="BA546" s="234"/>
      <c r="BB546" s="234"/>
      <c r="BC546" s="234"/>
      <c r="BD546" s="234"/>
      <c r="BE546" s="234"/>
      <c r="BF546" s="234"/>
      <c r="BG546" s="234"/>
      <c r="BH546" s="234"/>
      <c r="BI546" s="234"/>
      <c r="BJ546" s="234"/>
      <c r="BK546" s="234"/>
      <c r="BL546" s="234"/>
      <c r="BM546" s="234"/>
      <c r="BN546" s="234"/>
      <c r="BO546" s="234"/>
    </row>
    <row r="547" spans="1:67" ht="24" customHeight="1" x14ac:dyDescent="0.25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  <c r="AB547" s="234"/>
      <c r="AC547" s="234"/>
      <c r="AD547" s="234"/>
      <c r="AE547" s="234"/>
      <c r="AF547" s="234"/>
      <c r="AG547" s="234"/>
      <c r="AH547" s="234"/>
      <c r="AI547" s="234"/>
      <c r="AJ547" s="234"/>
      <c r="AK547" s="234"/>
      <c r="AL547" s="234"/>
      <c r="AM547" s="234"/>
      <c r="AN547" s="234"/>
      <c r="AO547" s="234"/>
      <c r="AP547" s="234"/>
      <c r="AQ547" s="234"/>
      <c r="AR547" s="234"/>
      <c r="AS547" s="234"/>
      <c r="AT547" s="234"/>
      <c r="AU547" s="234"/>
      <c r="AV547" s="234"/>
      <c r="AW547" s="234"/>
      <c r="AX547" s="234"/>
      <c r="AY547" s="234"/>
      <c r="AZ547" s="234"/>
      <c r="BA547" s="234"/>
      <c r="BB547" s="234"/>
      <c r="BC547" s="234"/>
      <c r="BD547" s="234"/>
      <c r="BE547" s="234"/>
      <c r="BF547" s="234"/>
      <c r="BG547" s="234"/>
      <c r="BH547" s="234"/>
      <c r="BI547" s="234"/>
      <c r="BJ547" s="234"/>
      <c r="BK547" s="234"/>
      <c r="BL547" s="234"/>
      <c r="BM547" s="234"/>
      <c r="BN547" s="234"/>
      <c r="BO547" s="234"/>
    </row>
    <row r="548" spans="1:67" ht="24" customHeight="1" x14ac:dyDescent="0.25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  <c r="AB548" s="234"/>
      <c r="AC548" s="234"/>
      <c r="AD548" s="234"/>
      <c r="AE548" s="234"/>
      <c r="AF548" s="234"/>
      <c r="AG548" s="234"/>
      <c r="AH548" s="234"/>
      <c r="AI548" s="234"/>
      <c r="AJ548" s="234"/>
      <c r="AK548" s="234"/>
      <c r="AL548" s="234"/>
      <c r="AM548" s="234"/>
      <c r="AN548" s="234"/>
      <c r="AO548" s="234"/>
      <c r="AP548" s="234"/>
      <c r="AQ548" s="234"/>
      <c r="AR548" s="234"/>
      <c r="AS548" s="234"/>
      <c r="AT548" s="234"/>
      <c r="AU548" s="234"/>
      <c r="AV548" s="234"/>
      <c r="AW548" s="234"/>
      <c r="AX548" s="234"/>
      <c r="AY548" s="234"/>
      <c r="AZ548" s="234"/>
      <c r="BA548" s="234"/>
      <c r="BB548" s="234"/>
      <c r="BC548" s="234"/>
      <c r="BD548" s="234"/>
      <c r="BE548" s="234"/>
      <c r="BF548" s="234"/>
      <c r="BG548" s="234"/>
      <c r="BH548" s="234"/>
      <c r="BI548" s="234"/>
      <c r="BJ548" s="234"/>
      <c r="BK548" s="234"/>
      <c r="BL548" s="234"/>
      <c r="BM548" s="234"/>
      <c r="BN548" s="234"/>
      <c r="BO548" s="234"/>
    </row>
    <row r="549" spans="1:67" ht="24" customHeight="1" x14ac:dyDescent="0.25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  <c r="AB549" s="234"/>
      <c r="AC549" s="234"/>
      <c r="AD549" s="234"/>
      <c r="AE549" s="234"/>
      <c r="AF549" s="234"/>
      <c r="AG549" s="234"/>
      <c r="AH549" s="234"/>
      <c r="AI549" s="234"/>
      <c r="AJ549" s="234"/>
      <c r="AK549" s="234"/>
      <c r="AL549" s="234"/>
      <c r="AM549" s="234"/>
      <c r="AN549" s="234"/>
      <c r="AO549" s="234"/>
      <c r="AP549" s="234"/>
      <c r="AQ549" s="234"/>
      <c r="AR549" s="234"/>
      <c r="AS549" s="234"/>
      <c r="AT549" s="234"/>
      <c r="AU549" s="234"/>
      <c r="AV549" s="234"/>
      <c r="AW549" s="234"/>
      <c r="AX549" s="234"/>
      <c r="AY549" s="234"/>
      <c r="AZ549" s="234"/>
      <c r="BA549" s="234"/>
      <c r="BB549" s="234"/>
      <c r="BC549" s="234"/>
      <c r="BD549" s="234"/>
      <c r="BE549" s="234"/>
      <c r="BF549" s="234"/>
      <c r="BG549" s="234"/>
      <c r="BH549" s="234"/>
      <c r="BI549" s="234"/>
      <c r="BJ549" s="234"/>
      <c r="BK549" s="234"/>
      <c r="BL549" s="234"/>
      <c r="BM549" s="234"/>
      <c r="BN549" s="234"/>
      <c r="BO549" s="234"/>
    </row>
    <row r="550" spans="1:67" ht="24" customHeight="1" x14ac:dyDescent="0.25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  <c r="AB550" s="234"/>
      <c r="AC550" s="234"/>
      <c r="AD550" s="234"/>
      <c r="AE550" s="234"/>
      <c r="AF550" s="234"/>
      <c r="AG550" s="234"/>
      <c r="AH550" s="234"/>
      <c r="AI550" s="234"/>
      <c r="AJ550" s="234"/>
      <c r="AK550" s="234"/>
      <c r="AL550" s="234"/>
      <c r="AM550" s="234"/>
      <c r="AN550" s="234"/>
      <c r="AO550" s="234"/>
      <c r="AP550" s="234"/>
      <c r="AQ550" s="234"/>
      <c r="AR550" s="234"/>
      <c r="AS550" s="234"/>
      <c r="AT550" s="234"/>
      <c r="AU550" s="234"/>
      <c r="AV550" s="234"/>
      <c r="AW550" s="234"/>
      <c r="AX550" s="234"/>
      <c r="AY550" s="234"/>
      <c r="AZ550" s="234"/>
      <c r="BA550" s="234"/>
      <c r="BB550" s="234"/>
      <c r="BC550" s="234"/>
      <c r="BD550" s="234"/>
      <c r="BE550" s="234"/>
      <c r="BF550" s="234"/>
      <c r="BG550" s="234"/>
      <c r="BH550" s="234"/>
      <c r="BI550" s="234"/>
      <c r="BJ550" s="234"/>
      <c r="BK550" s="234"/>
      <c r="BL550" s="234"/>
      <c r="BM550" s="234"/>
      <c r="BN550" s="234"/>
      <c r="BO550" s="234"/>
    </row>
    <row r="551" spans="1:67" ht="24" customHeight="1" x14ac:dyDescent="0.25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  <c r="AB551" s="234"/>
      <c r="AC551" s="234"/>
      <c r="AD551" s="234"/>
      <c r="AE551" s="234"/>
      <c r="AF551" s="234"/>
      <c r="AG551" s="234"/>
      <c r="AH551" s="234"/>
      <c r="AI551" s="234"/>
      <c r="AJ551" s="234"/>
      <c r="AK551" s="234"/>
      <c r="AL551" s="234"/>
      <c r="AM551" s="234"/>
      <c r="AN551" s="234"/>
      <c r="AO551" s="234"/>
      <c r="AP551" s="234"/>
      <c r="AQ551" s="234"/>
      <c r="AR551" s="234"/>
      <c r="AS551" s="234"/>
      <c r="AT551" s="234"/>
      <c r="AU551" s="234"/>
      <c r="AV551" s="234"/>
      <c r="AW551" s="234"/>
      <c r="AX551" s="234"/>
      <c r="AY551" s="234"/>
      <c r="AZ551" s="234"/>
      <c r="BA551" s="234"/>
      <c r="BB551" s="234"/>
      <c r="BC551" s="234"/>
      <c r="BD551" s="234"/>
      <c r="BE551" s="234"/>
      <c r="BF551" s="234"/>
      <c r="BG551" s="234"/>
      <c r="BH551" s="234"/>
      <c r="BI551" s="234"/>
      <c r="BJ551" s="234"/>
      <c r="BK551" s="234"/>
      <c r="BL551" s="234"/>
      <c r="BM551" s="234"/>
      <c r="BN551" s="234"/>
      <c r="BO551" s="234"/>
    </row>
    <row r="552" spans="1:67" ht="24" customHeight="1" x14ac:dyDescent="0.25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  <c r="AB552" s="234"/>
      <c r="AC552" s="234"/>
      <c r="AD552" s="234"/>
      <c r="AE552" s="234"/>
      <c r="AF552" s="234"/>
      <c r="AG552" s="234"/>
      <c r="AH552" s="234"/>
      <c r="AI552" s="234"/>
      <c r="AJ552" s="234"/>
      <c r="AK552" s="234"/>
      <c r="AL552" s="234"/>
      <c r="AM552" s="234"/>
      <c r="AN552" s="234"/>
      <c r="AO552" s="234"/>
      <c r="AP552" s="234"/>
      <c r="AQ552" s="234"/>
      <c r="AR552" s="234"/>
      <c r="AS552" s="234"/>
      <c r="AT552" s="234"/>
      <c r="AU552" s="234"/>
      <c r="AV552" s="234"/>
      <c r="AW552" s="234"/>
      <c r="AX552" s="234"/>
      <c r="AY552" s="234"/>
      <c r="AZ552" s="234"/>
      <c r="BA552" s="234"/>
      <c r="BB552" s="234"/>
      <c r="BC552" s="234"/>
      <c r="BD552" s="234"/>
      <c r="BE552" s="234"/>
      <c r="BF552" s="234"/>
      <c r="BG552" s="234"/>
      <c r="BH552" s="234"/>
      <c r="BI552" s="234"/>
      <c r="BJ552" s="234"/>
      <c r="BK552" s="234"/>
      <c r="BL552" s="234"/>
      <c r="BM552" s="234"/>
      <c r="BN552" s="234"/>
      <c r="BO552" s="234"/>
    </row>
    <row r="553" spans="1:67" ht="24" customHeight="1" x14ac:dyDescent="0.25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  <c r="AB553" s="234"/>
      <c r="AC553" s="234"/>
      <c r="AD553" s="234"/>
      <c r="AE553" s="234"/>
      <c r="AF553" s="234"/>
      <c r="AG553" s="234"/>
      <c r="AH553" s="234"/>
      <c r="AI553" s="234"/>
      <c r="AJ553" s="234"/>
      <c r="AK553" s="234"/>
      <c r="AL553" s="234"/>
      <c r="AM553" s="234"/>
      <c r="AN553" s="234"/>
      <c r="AO553" s="234"/>
      <c r="AP553" s="234"/>
      <c r="AQ553" s="234"/>
      <c r="AR553" s="234"/>
      <c r="AS553" s="234"/>
      <c r="AT553" s="234"/>
      <c r="AU553" s="234"/>
      <c r="AV553" s="234"/>
      <c r="AW553" s="234"/>
      <c r="AX553" s="234"/>
      <c r="AY553" s="234"/>
      <c r="AZ553" s="234"/>
      <c r="BA553" s="234"/>
      <c r="BB553" s="234"/>
      <c r="BC553" s="234"/>
      <c r="BD553" s="234"/>
      <c r="BE553" s="234"/>
      <c r="BF553" s="234"/>
      <c r="BG553" s="234"/>
      <c r="BH553" s="234"/>
      <c r="BI553" s="234"/>
      <c r="BJ553" s="234"/>
      <c r="BK553" s="234"/>
      <c r="BL553" s="234"/>
      <c r="BM553" s="234"/>
      <c r="BN553" s="234"/>
      <c r="BO553" s="234"/>
    </row>
    <row r="554" spans="1:67" ht="24" customHeight="1" x14ac:dyDescent="0.25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  <c r="AB554" s="234"/>
      <c r="AC554" s="234"/>
      <c r="AD554" s="234"/>
      <c r="AE554" s="234"/>
      <c r="AF554" s="234"/>
      <c r="AG554" s="234"/>
      <c r="AH554" s="234"/>
      <c r="AI554" s="234"/>
      <c r="AJ554" s="234"/>
      <c r="AK554" s="234"/>
      <c r="AL554" s="234"/>
      <c r="AM554" s="234"/>
      <c r="AN554" s="234"/>
      <c r="AO554" s="234"/>
      <c r="AP554" s="234"/>
      <c r="AQ554" s="234"/>
      <c r="AR554" s="234"/>
      <c r="AS554" s="234"/>
      <c r="AT554" s="234"/>
      <c r="AU554" s="234"/>
      <c r="AV554" s="234"/>
      <c r="AW554" s="234"/>
      <c r="AX554" s="234"/>
      <c r="AY554" s="234"/>
      <c r="AZ554" s="234"/>
      <c r="BA554" s="234"/>
      <c r="BB554" s="234"/>
      <c r="BC554" s="234"/>
      <c r="BD554" s="234"/>
      <c r="BE554" s="234"/>
      <c r="BF554" s="234"/>
      <c r="BG554" s="234"/>
      <c r="BH554" s="234"/>
      <c r="BI554" s="234"/>
      <c r="BJ554" s="234"/>
      <c r="BK554" s="234"/>
      <c r="BL554" s="234"/>
      <c r="BM554" s="234"/>
      <c r="BN554" s="234"/>
      <c r="BO554" s="234"/>
    </row>
    <row r="555" spans="1:67" ht="24" customHeight="1" x14ac:dyDescent="0.2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  <c r="AB555" s="234"/>
      <c r="AC555" s="234"/>
      <c r="AD555" s="234"/>
      <c r="AE555" s="234"/>
      <c r="AF555" s="234"/>
      <c r="AG555" s="234"/>
      <c r="AH555" s="234"/>
      <c r="AI555" s="234"/>
      <c r="AJ555" s="234"/>
      <c r="AK555" s="234"/>
      <c r="AL555" s="234"/>
      <c r="AM555" s="234"/>
      <c r="AN555" s="234"/>
      <c r="AO555" s="234"/>
      <c r="AP555" s="234"/>
      <c r="AQ555" s="234"/>
      <c r="AR555" s="234"/>
      <c r="AS555" s="234"/>
      <c r="AT555" s="234"/>
      <c r="AU555" s="234"/>
      <c r="AV555" s="234"/>
      <c r="AW555" s="234"/>
      <c r="AX555" s="234"/>
      <c r="AY555" s="234"/>
      <c r="AZ555" s="234"/>
      <c r="BA555" s="234"/>
      <c r="BB555" s="234"/>
      <c r="BC555" s="234"/>
      <c r="BD555" s="234"/>
      <c r="BE555" s="234"/>
      <c r="BF555" s="234"/>
      <c r="BG555" s="234"/>
      <c r="BH555" s="234"/>
      <c r="BI555" s="234"/>
      <c r="BJ555" s="234"/>
      <c r="BK555" s="234"/>
      <c r="BL555" s="234"/>
      <c r="BM555" s="234"/>
      <c r="BN555" s="234"/>
      <c r="BO555" s="234"/>
    </row>
    <row r="556" spans="1:67" ht="24" customHeight="1" x14ac:dyDescent="0.25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  <c r="AB556" s="234"/>
      <c r="AC556" s="234"/>
      <c r="AD556" s="234"/>
      <c r="AE556" s="234"/>
      <c r="AF556" s="234"/>
      <c r="AG556" s="234"/>
      <c r="AH556" s="234"/>
      <c r="AI556" s="234"/>
      <c r="AJ556" s="234"/>
      <c r="AK556" s="234"/>
      <c r="AL556" s="234"/>
      <c r="AM556" s="234"/>
      <c r="AN556" s="234"/>
      <c r="AO556" s="234"/>
      <c r="AP556" s="234"/>
      <c r="AQ556" s="234"/>
      <c r="AR556" s="234"/>
      <c r="AS556" s="234"/>
      <c r="AT556" s="234"/>
      <c r="AU556" s="234"/>
      <c r="AV556" s="234"/>
      <c r="AW556" s="234"/>
      <c r="AX556" s="234"/>
      <c r="AY556" s="234"/>
      <c r="AZ556" s="234"/>
      <c r="BA556" s="234"/>
      <c r="BB556" s="234"/>
      <c r="BC556" s="234"/>
      <c r="BD556" s="234"/>
      <c r="BE556" s="234"/>
      <c r="BF556" s="234"/>
      <c r="BG556" s="234"/>
      <c r="BH556" s="234"/>
      <c r="BI556" s="234"/>
      <c r="BJ556" s="234"/>
      <c r="BK556" s="234"/>
      <c r="BL556" s="234"/>
      <c r="BM556" s="234"/>
      <c r="BN556" s="234"/>
      <c r="BO556" s="234"/>
    </row>
    <row r="557" spans="1:67" ht="24" customHeight="1" x14ac:dyDescent="0.25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  <c r="AC557" s="234"/>
      <c r="AD557" s="234"/>
      <c r="AE557" s="234"/>
      <c r="AF557" s="234"/>
      <c r="AG557" s="234"/>
      <c r="AH557" s="234"/>
      <c r="AI557" s="234"/>
      <c r="AJ557" s="234"/>
      <c r="AK557" s="234"/>
      <c r="AL557" s="234"/>
      <c r="AM557" s="234"/>
      <c r="AN557" s="234"/>
      <c r="AO557" s="234"/>
      <c r="AP557" s="234"/>
      <c r="AQ557" s="234"/>
      <c r="AR557" s="234"/>
      <c r="AS557" s="234"/>
      <c r="AT557" s="234"/>
      <c r="AU557" s="234"/>
      <c r="AV557" s="234"/>
      <c r="AW557" s="234"/>
      <c r="AX557" s="234"/>
      <c r="AY557" s="234"/>
      <c r="AZ557" s="234"/>
      <c r="BA557" s="234"/>
      <c r="BB557" s="234"/>
      <c r="BC557" s="234"/>
      <c r="BD557" s="234"/>
      <c r="BE557" s="234"/>
      <c r="BF557" s="234"/>
      <c r="BG557" s="234"/>
      <c r="BH557" s="234"/>
      <c r="BI557" s="234"/>
      <c r="BJ557" s="234"/>
      <c r="BK557" s="234"/>
      <c r="BL557" s="234"/>
      <c r="BM557" s="234"/>
      <c r="BN557" s="234"/>
      <c r="BO557" s="234"/>
    </row>
    <row r="558" spans="1:67" ht="24" customHeight="1" x14ac:dyDescent="0.25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  <c r="AB558" s="234"/>
      <c r="AC558" s="234"/>
      <c r="AD558" s="234"/>
      <c r="AE558" s="234"/>
      <c r="AF558" s="234"/>
      <c r="AG558" s="234"/>
      <c r="AH558" s="234"/>
      <c r="AI558" s="234"/>
      <c r="AJ558" s="234"/>
      <c r="AK558" s="234"/>
      <c r="AL558" s="234"/>
      <c r="AM558" s="234"/>
      <c r="AN558" s="234"/>
      <c r="AO558" s="234"/>
      <c r="AP558" s="234"/>
      <c r="AQ558" s="234"/>
      <c r="AR558" s="234"/>
      <c r="AS558" s="234"/>
      <c r="AT558" s="234"/>
      <c r="AU558" s="234"/>
      <c r="AV558" s="234"/>
      <c r="AW558" s="234"/>
      <c r="AX558" s="234"/>
      <c r="AY558" s="234"/>
      <c r="AZ558" s="234"/>
      <c r="BA558" s="234"/>
      <c r="BB558" s="234"/>
      <c r="BC558" s="234"/>
      <c r="BD558" s="234"/>
      <c r="BE558" s="234"/>
      <c r="BF558" s="234"/>
      <c r="BG558" s="234"/>
      <c r="BH558" s="234"/>
      <c r="BI558" s="234"/>
      <c r="BJ558" s="234"/>
      <c r="BK558" s="234"/>
      <c r="BL558" s="234"/>
      <c r="BM558" s="234"/>
      <c r="BN558" s="234"/>
      <c r="BO558" s="234"/>
    </row>
    <row r="559" spans="1:67" ht="24" customHeight="1" x14ac:dyDescent="0.25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  <c r="AB559" s="234"/>
      <c r="AC559" s="234"/>
      <c r="AD559" s="234"/>
      <c r="AE559" s="234"/>
      <c r="AF559" s="234"/>
      <c r="AG559" s="234"/>
      <c r="AH559" s="234"/>
      <c r="AI559" s="234"/>
      <c r="AJ559" s="234"/>
      <c r="AK559" s="234"/>
      <c r="AL559" s="234"/>
      <c r="AM559" s="234"/>
      <c r="AN559" s="234"/>
      <c r="AO559" s="234"/>
      <c r="AP559" s="234"/>
      <c r="AQ559" s="234"/>
      <c r="AR559" s="234"/>
      <c r="AS559" s="234"/>
      <c r="AT559" s="234"/>
      <c r="AU559" s="234"/>
      <c r="AV559" s="234"/>
      <c r="AW559" s="234"/>
      <c r="AX559" s="234"/>
      <c r="AY559" s="234"/>
      <c r="AZ559" s="234"/>
      <c r="BA559" s="234"/>
      <c r="BB559" s="234"/>
      <c r="BC559" s="234"/>
      <c r="BD559" s="234"/>
      <c r="BE559" s="234"/>
      <c r="BF559" s="234"/>
      <c r="BG559" s="234"/>
      <c r="BH559" s="234"/>
      <c r="BI559" s="234"/>
      <c r="BJ559" s="234"/>
      <c r="BK559" s="234"/>
      <c r="BL559" s="234"/>
      <c r="BM559" s="234"/>
      <c r="BN559" s="234"/>
      <c r="BO559" s="234"/>
    </row>
    <row r="560" spans="1:67" ht="24" customHeight="1" x14ac:dyDescent="0.25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  <c r="AB560" s="234"/>
      <c r="AC560" s="234"/>
      <c r="AD560" s="234"/>
      <c r="AE560" s="234"/>
      <c r="AF560" s="234"/>
      <c r="AG560" s="234"/>
      <c r="AH560" s="234"/>
      <c r="AI560" s="234"/>
      <c r="AJ560" s="234"/>
      <c r="AK560" s="234"/>
      <c r="AL560" s="234"/>
      <c r="AM560" s="234"/>
      <c r="AN560" s="234"/>
      <c r="AO560" s="234"/>
      <c r="AP560" s="234"/>
      <c r="AQ560" s="234"/>
      <c r="AR560" s="234"/>
      <c r="AS560" s="234"/>
      <c r="AT560" s="234"/>
      <c r="AU560" s="234"/>
      <c r="AV560" s="234"/>
      <c r="AW560" s="234"/>
      <c r="AX560" s="234"/>
      <c r="AY560" s="234"/>
      <c r="AZ560" s="234"/>
      <c r="BA560" s="234"/>
      <c r="BB560" s="234"/>
      <c r="BC560" s="234"/>
      <c r="BD560" s="234"/>
      <c r="BE560" s="234"/>
      <c r="BF560" s="234"/>
      <c r="BG560" s="234"/>
      <c r="BH560" s="234"/>
      <c r="BI560" s="234"/>
      <c r="BJ560" s="234"/>
      <c r="BK560" s="234"/>
      <c r="BL560" s="234"/>
      <c r="BM560" s="234"/>
      <c r="BN560" s="234"/>
      <c r="BO560" s="234"/>
    </row>
    <row r="561" spans="1:67" ht="24" customHeight="1" x14ac:dyDescent="0.25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  <c r="AB561" s="234"/>
      <c r="AC561" s="234"/>
      <c r="AD561" s="234"/>
      <c r="AE561" s="234"/>
      <c r="AF561" s="234"/>
      <c r="AG561" s="234"/>
      <c r="AH561" s="234"/>
      <c r="AI561" s="234"/>
      <c r="AJ561" s="234"/>
      <c r="AK561" s="234"/>
      <c r="AL561" s="234"/>
      <c r="AM561" s="234"/>
      <c r="AN561" s="234"/>
      <c r="AO561" s="234"/>
      <c r="AP561" s="234"/>
      <c r="AQ561" s="234"/>
      <c r="AR561" s="234"/>
      <c r="AS561" s="234"/>
      <c r="AT561" s="234"/>
      <c r="AU561" s="234"/>
      <c r="AV561" s="234"/>
      <c r="AW561" s="234"/>
      <c r="AX561" s="234"/>
      <c r="AY561" s="234"/>
      <c r="AZ561" s="234"/>
      <c r="BA561" s="234"/>
      <c r="BB561" s="234"/>
      <c r="BC561" s="234"/>
      <c r="BD561" s="234"/>
      <c r="BE561" s="234"/>
      <c r="BF561" s="234"/>
      <c r="BG561" s="234"/>
      <c r="BH561" s="234"/>
      <c r="BI561" s="234"/>
      <c r="BJ561" s="234"/>
      <c r="BK561" s="234"/>
      <c r="BL561" s="234"/>
      <c r="BM561" s="234"/>
      <c r="BN561" s="234"/>
      <c r="BO561" s="234"/>
    </row>
    <row r="562" spans="1:67" ht="24" customHeight="1" x14ac:dyDescent="0.25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  <c r="AB562" s="234"/>
      <c r="AC562" s="234"/>
      <c r="AD562" s="234"/>
      <c r="AE562" s="234"/>
      <c r="AF562" s="234"/>
      <c r="AG562" s="234"/>
      <c r="AH562" s="234"/>
      <c r="AI562" s="234"/>
      <c r="AJ562" s="234"/>
      <c r="AK562" s="234"/>
      <c r="AL562" s="234"/>
      <c r="AM562" s="234"/>
      <c r="AN562" s="234"/>
      <c r="AO562" s="234"/>
      <c r="AP562" s="234"/>
      <c r="AQ562" s="234"/>
      <c r="AR562" s="234"/>
      <c r="AS562" s="234"/>
      <c r="AT562" s="234"/>
      <c r="AU562" s="234"/>
      <c r="AV562" s="234"/>
      <c r="AW562" s="234"/>
      <c r="AX562" s="234"/>
      <c r="AY562" s="234"/>
      <c r="AZ562" s="234"/>
      <c r="BA562" s="234"/>
      <c r="BB562" s="234"/>
      <c r="BC562" s="234"/>
      <c r="BD562" s="234"/>
      <c r="BE562" s="234"/>
      <c r="BF562" s="234"/>
      <c r="BG562" s="234"/>
      <c r="BH562" s="234"/>
      <c r="BI562" s="234"/>
      <c r="BJ562" s="234"/>
      <c r="BK562" s="234"/>
      <c r="BL562" s="234"/>
      <c r="BM562" s="234"/>
      <c r="BN562" s="234"/>
      <c r="BO562" s="234"/>
    </row>
    <row r="563" spans="1:67" ht="24" customHeight="1" x14ac:dyDescent="0.25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  <c r="AB563" s="234"/>
      <c r="AC563" s="234"/>
      <c r="AD563" s="234"/>
      <c r="AE563" s="234"/>
      <c r="AF563" s="234"/>
      <c r="AG563" s="234"/>
      <c r="AH563" s="234"/>
      <c r="AI563" s="234"/>
      <c r="AJ563" s="234"/>
      <c r="AK563" s="234"/>
      <c r="AL563" s="234"/>
      <c r="AM563" s="234"/>
      <c r="AN563" s="234"/>
      <c r="AO563" s="234"/>
      <c r="AP563" s="234"/>
      <c r="AQ563" s="234"/>
      <c r="AR563" s="234"/>
      <c r="AS563" s="234"/>
      <c r="AT563" s="234"/>
      <c r="AU563" s="234"/>
      <c r="AV563" s="234"/>
      <c r="AW563" s="234"/>
      <c r="AX563" s="234"/>
      <c r="AY563" s="234"/>
      <c r="AZ563" s="234"/>
      <c r="BA563" s="234"/>
      <c r="BB563" s="234"/>
      <c r="BC563" s="234"/>
      <c r="BD563" s="234"/>
      <c r="BE563" s="234"/>
      <c r="BF563" s="234"/>
      <c r="BG563" s="234"/>
      <c r="BH563" s="234"/>
      <c r="BI563" s="234"/>
      <c r="BJ563" s="234"/>
      <c r="BK563" s="234"/>
      <c r="BL563" s="234"/>
      <c r="BM563" s="234"/>
      <c r="BN563" s="234"/>
      <c r="BO563" s="234"/>
    </row>
    <row r="564" spans="1:67" ht="24" customHeight="1" x14ac:dyDescent="0.25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  <c r="AB564" s="234"/>
      <c r="AC564" s="234"/>
      <c r="AD564" s="234"/>
      <c r="AE564" s="234"/>
      <c r="AF564" s="234"/>
      <c r="AG564" s="234"/>
      <c r="AH564" s="234"/>
      <c r="AI564" s="234"/>
      <c r="AJ564" s="234"/>
      <c r="AK564" s="234"/>
      <c r="AL564" s="234"/>
      <c r="AM564" s="234"/>
      <c r="AN564" s="234"/>
      <c r="AO564" s="234"/>
      <c r="AP564" s="234"/>
      <c r="AQ564" s="234"/>
      <c r="AR564" s="234"/>
      <c r="AS564" s="234"/>
      <c r="AT564" s="234"/>
      <c r="AU564" s="234"/>
      <c r="AV564" s="234"/>
      <c r="AW564" s="234"/>
      <c r="AX564" s="234"/>
      <c r="AY564" s="234"/>
      <c r="AZ564" s="234"/>
      <c r="BA564" s="234"/>
      <c r="BB564" s="234"/>
      <c r="BC564" s="234"/>
      <c r="BD564" s="234"/>
      <c r="BE564" s="234"/>
      <c r="BF564" s="234"/>
      <c r="BG564" s="234"/>
      <c r="BH564" s="234"/>
      <c r="BI564" s="234"/>
      <c r="BJ564" s="234"/>
      <c r="BK564" s="234"/>
      <c r="BL564" s="234"/>
      <c r="BM564" s="234"/>
      <c r="BN564" s="234"/>
      <c r="BO564" s="234"/>
    </row>
    <row r="565" spans="1:67" ht="24" customHeight="1" x14ac:dyDescent="0.2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  <c r="AB565" s="234"/>
      <c r="AC565" s="234"/>
      <c r="AD565" s="234"/>
      <c r="AE565" s="234"/>
      <c r="AF565" s="234"/>
      <c r="AG565" s="234"/>
      <c r="AH565" s="234"/>
      <c r="AI565" s="234"/>
      <c r="AJ565" s="234"/>
      <c r="AK565" s="234"/>
      <c r="AL565" s="234"/>
      <c r="AM565" s="234"/>
      <c r="AN565" s="234"/>
      <c r="AO565" s="234"/>
      <c r="AP565" s="234"/>
      <c r="AQ565" s="234"/>
      <c r="AR565" s="234"/>
      <c r="AS565" s="234"/>
      <c r="AT565" s="234"/>
      <c r="AU565" s="234"/>
      <c r="AV565" s="234"/>
      <c r="AW565" s="234"/>
      <c r="AX565" s="234"/>
      <c r="AY565" s="234"/>
      <c r="AZ565" s="234"/>
      <c r="BA565" s="234"/>
      <c r="BB565" s="234"/>
      <c r="BC565" s="234"/>
      <c r="BD565" s="234"/>
      <c r="BE565" s="234"/>
      <c r="BF565" s="234"/>
      <c r="BG565" s="234"/>
      <c r="BH565" s="234"/>
      <c r="BI565" s="234"/>
      <c r="BJ565" s="234"/>
      <c r="BK565" s="234"/>
      <c r="BL565" s="234"/>
      <c r="BM565" s="234"/>
      <c r="BN565" s="234"/>
      <c r="BO565" s="234"/>
    </row>
    <row r="566" spans="1:67" ht="24" customHeight="1" x14ac:dyDescent="0.25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  <c r="AB566" s="234"/>
      <c r="AC566" s="234"/>
      <c r="AD566" s="234"/>
      <c r="AE566" s="234"/>
      <c r="AF566" s="234"/>
      <c r="AG566" s="234"/>
      <c r="AH566" s="234"/>
      <c r="AI566" s="234"/>
      <c r="AJ566" s="234"/>
      <c r="AK566" s="234"/>
      <c r="AL566" s="234"/>
      <c r="AM566" s="234"/>
      <c r="AN566" s="234"/>
      <c r="AO566" s="234"/>
      <c r="AP566" s="234"/>
      <c r="AQ566" s="234"/>
      <c r="AR566" s="234"/>
      <c r="AS566" s="234"/>
      <c r="AT566" s="234"/>
      <c r="AU566" s="234"/>
      <c r="AV566" s="234"/>
      <c r="AW566" s="234"/>
      <c r="AX566" s="234"/>
      <c r="AY566" s="234"/>
      <c r="AZ566" s="234"/>
      <c r="BA566" s="234"/>
      <c r="BB566" s="234"/>
      <c r="BC566" s="234"/>
      <c r="BD566" s="234"/>
      <c r="BE566" s="234"/>
      <c r="BF566" s="234"/>
      <c r="BG566" s="234"/>
      <c r="BH566" s="234"/>
      <c r="BI566" s="234"/>
      <c r="BJ566" s="234"/>
      <c r="BK566" s="234"/>
      <c r="BL566" s="234"/>
      <c r="BM566" s="234"/>
      <c r="BN566" s="234"/>
      <c r="BO566" s="234"/>
    </row>
    <row r="567" spans="1:67" ht="24" customHeight="1" x14ac:dyDescent="0.25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  <c r="AB567" s="234"/>
      <c r="AC567" s="234"/>
      <c r="AD567" s="234"/>
      <c r="AE567" s="234"/>
      <c r="AF567" s="234"/>
      <c r="AG567" s="234"/>
      <c r="AH567" s="234"/>
      <c r="AI567" s="234"/>
      <c r="AJ567" s="234"/>
      <c r="AK567" s="234"/>
      <c r="AL567" s="234"/>
      <c r="AM567" s="234"/>
      <c r="AN567" s="234"/>
      <c r="AO567" s="234"/>
      <c r="AP567" s="234"/>
      <c r="AQ567" s="234"/>
      <c r="AR567" s="234"/>
      <c r="AS567" s="234"/>
      <c r="AT567" s="234"/>
      <c r="AU567" s="234"/>
      <c r="AV567" s="234"/>
      <c r="AW567" s="234"/>
      <c r="AX567" s="234"/>
      <c r="AY567" s="234"/>
      <c r="AZ567" s="234"/>
      <c r="BA567" s="234"/>
      <c r="BB567" s="234"/>
      <c r="BC567" s="234"/>
      <c r="BD567" s="234"/>
      <c r="BE567" s="234"/>
      <c r="BF567" s="234"/>
      <c r="BG567" s="234"/>
      <c r="BH567" s="234"/>
      <c r="BI567" s="234"/>
      <c r="BJ567" s="234"/>
      <c r="BK567" s="234"/>
      <c r="BL567" s="234"/>
      <c r="BM567" s="234"/>
      <c r="BN567" s="234"/>
      <c r="BO567" s="234"/>
    </row>
    <row r="568" spans="1:67" ht="24" customHeight="1" x14ac:dyDescent="0.25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  <c r="AB568" s="234"/>
      <c r="AC568" s="234"/>
      <c r="AD568" s="234"/>
      <c r="AE568" s="234"/>
      <c r="AF568" s="234"/>
      <c r="AG568" s="234"/>
      <c r="AH568" s="234"/>
      <c r="AI568" s="234"/>
      <c r="AJ568" s="234"/>
      <c r="AK568" s="234"/>
      <c r="AL568" s="234"/>
      <c r="AM568" s="234"/>
      <c r="AN568" s="234"/>
      <c r="AO568" s="234"/>
      <c r="AP568" s="234"/>
      <c r="AQ568" s="234"/>
      <c r="AR568" s="234"/>
      <c r="AS568" s="234"/>
      <c r="AT568" s="234"/>
      <c r="AU568" s="234"/>
      <c r="AV568" s="234"/>
      <c r="AW568" s="234"/>
      <c r="AX568" s="234"/>
      <c r="AY568" s="234"/>
      <c r="AZ568" s="234"/>
      <c r="BA568" s="234"/>
      <c r="BB568" s="234"/>
      <c r="BC568" s="234"/>
      <c r="BD568" s="234"/>
      <c r="BE568" s="234"/>
      <c r="BF568" s="234"/>
      <c r="BG568" s="234"/>
      <c r="BH568" s="234"/>
      <c r="BI568" s="234"/>
      <c r="BJ568" s="234"/>
      <c r="BK568" s="234"/>
      <c r="BL568" s="234"/>
      <c r="BM568" s="234"/>
      <c r="BN568" s="234"/>
      <c r="BO568" s="234"/>
    </row>
    <row r="569" spans="1:67" ht="24" customHeight="1" x14ac:dyDescent="0.25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  <c r="AB569" s="234"/>
      <c r="AC569" s="234"/>
      <c r="AD569" s="234"/>
      <c r="AE569" s="234"/>
      <c r="AF569" s="234"/>
      <c r="AG569" s="234"/>
      <c r="AH569" s="234"/>
      <c r="AI569" s="234"/>
      <c r="AJ569" s="234"/>
      <c r="AK569" s="234"/>
      <c r="AL569" s="234"/>
      <c r="AM569" s="234"/>
      <c r="AN569" s="234"/>
      <c r="AO569" s="234"/>
      <c r="AP569" s="234"/>
      <c r="AQ569" s="234"/>
      <c r="AR569" s="234"/>
      <c r="AS569" s="234"/>
      <c r="AT569" s="234"/>
      <c r="AU569" s="234"/>
      <c r="AV569" s="234"/>
      <c r="AW569" s="234"/>
      <c r="AX569" s="234"/>
      <c r="AY569" s="234"/>
      <c r="AZ569" s="234"/>
      <c r="BA569" s="234"/>
      <c r="BB569" s="234"/>
      <c r="BC569" s="234"/>
      <c r="BD569" s="234"/>
      <c r="BE569" s="234"/>
      <c r="BF569" s="234"/>
      <c r="BG569" s="234"/>
      <c r="BH569" s="234"/>
      <c r="BI569" s="234"/>
      <c r="BJ569" s="234"/>
      <c r="BK569" s="234"/>
      <c r="BL569" s="234"/>
      <c r="BM569" s="234"/>
      <c r="BN569" s="234"/>
      <c r="BO569" s="234"/>
    </row>
    <row r="570" spans="1:67" ht="24" customHeight="1" x14ac:dyDescent="0.25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  <c r="AB570" s="234"/>
      <c r="AC570" s="234"/>
      <c r="AD570" s="234"/>
      <c r="AE570" s="234"/>
      <c r="AF570" s="234"/>
      <c r="AG570" s="234"/>
      <c r="AH570" s="234"/>
      <c r="AI570" s="234"/>
      <c r="AJ570" s="234"/>
      <c r="AK570" s="234"/>
      <c r="AL570" s="234"/>
      <c r="AM570" s="234"/>
      <c r="AN570" s="234"/>
      <c r="AO570" s="234"/>
      <c r="AP570" s="234"/>
      <c r="AQ570" s="234"/>
      <c r="AR570" s="234"/>
      <c r="AS570" s="234"/>
      <c r="AT570" s="234"/>
      <c r="AU570" s="234"/>
      <c r="AV570" s="234"/>
      <c r="AW570" s="234"/>
      <c r="AX570" s="234"/>
      <c r="AY570" s="234"/>
      <c r="AZ570" s="234"/>
      <c r="BA570" s="234"/>
      <c r="BB570" s="234"/>
      <c r="BC570" s="234"/>
      <c r="BD570" s="234"/>
      <c r="BE570" s="234"/>
      <c r="BF570" s="234"/>
      <c r="BG570" s="234"/>
      <c r="BH570" s="234"/>
      <c r="BI570" s="234"/>
      <c r="BJ570" s="234"/>
      <c r="BK570" s="234"/>
      <c r="BL570" s="234"/>
      <c r="BM570" s="234"/>
      <c r="BN570" s="234"/>
      <c r="BO570" s="234"/>
    </row>
    <row r="571" spans="1:67" ht="24" customHeight="1" x14ac:dyDescent="0.25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  <c r="AC571" s="234"/>
      <c r="AD571" s="234"/>
      <c r="AE571" s="234"/>
      <c r="AF571" s="234"/>
      <c r="AG571" s="234"/>
      <c r="AH571" s="234"/>
      <c r="AI571" s="234"/>
      <c r="AJ571" s="234"/>
      <c r="AK571" s="234"/>
      <c r="AL571" s="234"/>
      <c r="AM571" s="234"/>
      <c r="AN571" s="234"/>
      <c r="AO571" s="234"/>
      <c r="AP571" s="234"/>
      <c r="AQ571" s="234"/>
      <c r="AR571" s="234"/>
      <c r="AS571" s="234"/>
      <c r="AT571" s="234"/>
      <c r="AU571" s="234"/>
      <c r="AV571" s="234"/>
      <c r="AW571" s="234"/>
      <c r="AX571" s="234"/>
      <c r="AY571" s="234"/>
      <c r="AZ571" s="234"/>
      <c r="BA571" s="234"/>
      <c r="BB571" s="234"/>
      <c r="BC571" s="234"/>
      <c r="BD571" s="234"/>
      <c r="BE571" s="234"/>
      <c r="BF571" s="234"/>
      <c r="BG571" s="234"/>
      <c r="BH571" s="234"/>
      <c r="BI571" s="234"/>
      <c r="BJ571" s="234"/>
      <c r="BK571" s="234"/>
      <c r="BL571" s="234"/>
      <c r="BM571" s="234"/>
      <c r="BN571" s="234"/>
      <c r="BO571" s="234"/>
    </row>
    <row r="572" spans="1:67" ht="24" customHeight="1" x14ac:dyDescent="0.25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  <c r="AB572" s="234"/>
      <c r="AC572" s="234"/>
      <c r="AD572" s="234"/>
      <c r="AE572" s="234"/>
      <c r="AF572" s="234"/>
      <c r="AG572" s="234"/>
      <c r="AH572" s="234"/>
      <c r="AI572" s="234"/>
      <c r="AJ572" s="234"/>
      <c r="AK572" s="234"/>
      <c r="AL572" s="234"/>
      <c r="AM572" s="234"/>
      <c r="AN572" s="234"/>
      <c r="AO572" s="234"/>
      <c r="AP572" s="234"/>
      <c r="AQ572" s="234"/>
      <c r="AR572" s="234"/>
      <c r="AS572" s="234"/>
      <c r="AT572" s="234"/>
      <c r="AU572" s="234"/>
      <c r="AV572" s="234"/>
      <c r="AW572" s="234"/>
      <c r="AX572" s="234"/>
      <c r="AY572" s="234"/>
      <c r="AZ572" s="234"/>
      <c r="BA572" s="234"/>
      <c r="BB572" s="234"/>
      <c r="BC572" s="234"/>
      <c r="BD572" s="234"/>
      <c r="BE572" s="234"/>
      <c r="BF572" s="234"/>
      <c r="BG572" s="234"/>
      <c r="BH572" s="234"/>
      <c r="BI572" s="234"/>
      <c r="BJ572" s="234"/>
      <c r="BK572" s="234"/>
      <c r="BL572" s="234"/>
      <c r="BM572" s="234"/>
      <c r="BN572" s="234"/>
      <c r="BO572" s="234"/>
    </row>
    <row r="573" spans="1:67" ht="24" customHeight="1" x14ac:dyDescent="0.25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  <c r="AB573" s="234"/>
      <c r="AC573" s="234"/>
      <c r="AD573" s="234"/>
      <c r="AE573" s="234"/>
      <c r="AF573" s="234"/>
      <c r="AG573" s="234"/>
      <c r="AH573" s="234"/>
      <c r="AI573" s="234"/>
      <c r="AJ573" s="234"/>
      <c r="AK573" s="234"/>
      <c r="AL573" s="234"/>
      <c r="AM573" s="234"/>
      <c r="AN573" s="234"/>
      <c r="AO573" s="234"/>
      <c r="AP573" s="234"/>
      <c r="AQ573" s="234"/>
      <c r="AR573" s="234"/>
      <c r="AS573" s="234"/>
      <c r="AT573" s="234"/>
      <c r="AU573" s="234"/>
      <c r="AV573" s="234"/>
      <c r="AW573" s="234"/>
      <c r="AX573" s="234"/>
      <c r="AY573" s="234"/>
      <c r="AZ573" s="234"/>
      <c r="BA573" s="234"/>
      <c r="BB573" s="234"/>
      <c r="BC573" s="234"/>
      <c r="BD573" s="234"/>
      <c r="BE573" s="234"/>
      <c r="BF573" s="234"/>
      <c r="BG573" s="234"/>
      <c r="BH573" s="234"/>
      <c r="BI573" s="234"/>
      <c r="BJ573" s="234"/>
      <c r="BK573" s="234"/>
      <c r="BL573" s="234"/>
      <c r="BM573" s="234"/>
      <c r="BN573" s="234"/>
      <c r="BO573" s="234"/>
    </row>
    <row r="574" spans="1:67" ht="24" customHeight="1" x14ac:dyDescent="0.25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  <c r="AB574" s="234"/>
      <c r="AC574" s="234"/>
      <c r="AD574" s="234"/>
      <c r="AE574" s="234"/>
      <c r="AF574" s="234"/>
      <c r="AG574" s="234"/>
      <c r="AH574" s="234"/>
      <c r="AI574" s="234"/>
      <c r="AJ574" s="234"/>
      <c r="AK574" s="234"/>
      <c r="AL574" s="234"/>
      <c r="AM574" s="234"/>
      <c r="AN574" s="234"/>
      <c r="AO574" s="234"/>
      <c r="AP574" s="234"/>
      <c r="AQ574" s="234"/>
      <c r="AR574" s="234"/>
      <c r="AS574" s="234"/>
      <c r="AT574" s="234"/>
      <c r="AU574" s="234"/>
      <c r="AV574" s="234"/>
      <c r="AW574" s="234"/>
      <c r="AX574" s="234"/>
      <c r="AY574" s="234"/>
      <c r="AZ574" s="234"/>
      <c r="BA574" s="234"/>
      <c r="BB574" s="234"/>
      <c r="BC574" s="234"/>
      <c r="BD574" s="234"/>
      <c r="BE574" s="234"/>
      <c r="BF574" s="234"/>
      <c r="BG574" s="234"/>
      <c r="BH574" s="234"/>
      <c r="BI574" s="234"/>
      <c r="BJ574" s="234"/>
      <c r="BK574" s="234"/>
      <c r="BL574" s="234"/>
      <c r="BM574" s="234"/>
      <c r="BN574" s="234"/>
      <c r="BO574" s="234"/>
    </row>
    <row r="575" spans="1:67" ht="24" customHeight="1" x14ac:dyDescent="0.2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  <c r="AB575" s="234"/>
      <c r="AC575" s="234"/>
      <c r="AD575" s="234"/>
      <c r="AE575" s="234"/>
      <c r="AF575" s="234"/>
      <c r="AG575" s="234"/>
      <c r="AH575" s="234"/>
      <c r="AI575" s="234"/>
      <c r="AJ575" s="234"/>
      <c r="AK575" s="234"/>
      <c r="AL575" s="234"/>
      <c r="AM575" s="234"/>
      <c r="AN575" s="234"/>
      <c r="AO575" s="234"/>
      <c r="AP575" s="234"/>
      <c r="AQ575" s="234"/>
      <c r="AR575" s="234"/>
      <c r="AS575" s="234"/>
      <c r="AT575" s="234"/>
      <c r="AU575" s="234"/>
      <c r="AV575" s="234"/>
      <c r="AW575" s="234"/>
      <c r="AX575" s="234"/>
      <c r="AY575" s="234"/>
      <c r="AZ575" s="234"/>
      <c r="BA575" s="234"/>
      <c r="BB575" s="234"/>
      <c r="BC575" s="234"/>
      <c r="BD575" s="234"/>
      <c r="BE575" s="234"/>
      <c r="BF575" s="234"/>
      <c r="BG575" s="234"/>
      <c r="BH575" s="234"/>
      <c r="BI575" s="234"/>
      <c r="BJ575" s="234"/>
      <c r="BK575" s="234"/>
      <c r="BL575" s="234"/>
      <c r="BM575" s="234"/>
      <c r="BN575" s="234"/>
      <c r="BO575" s="234"/>
    </row>
    <row r="576" spans="1:67" ht="24" customHeight="1" x14ac:dyDescent="0.25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  <c r="AB576" s="234"/>
      <c r="AC576" s="234"/>
      <c r="AD576" s="234"/>
      <c r="AE576" s="234"/>
      <c r="AF576" s="234"/>
      <c r="AG576" s="234"/>
      <c r="AH576" s="234"/>
      <c r="AI576" s="234"/>
      <c r="AJ576" s="234"/>
      <c r="AK576" s="234"/>
      <c r="AL576" s="234"/>
      <c r="AM576" s="234"/>
      <c r="AN576" s="234"/>
      <c r="AO576" s="234"/>
      <c r="AP576" s="234"/>
      <c r="AQ576" s="234"/>
      <c r="AR576" s="234"/>
      <c r="AS576" s="234"/>
      <c r="AT576" s="234"/>
      <c r="AU576" s="234"/>
      <c r="AV576" s="234"/>
      <c r="AW576" s="234"/>
      <c r="AX576" s="234"/>
      <c r="AY576" s="234"/>
      <c r="AZ576" s="234"/>
      <c r="BA576" s="234"/>
      <c r="BB576" s="234"/>
      <c r="BC576" s="234"/>
      <c r="BD576" s="234"/>
      <c r="BE576" s="234"/>
      <c r="BF576" s="234"/>
      <c r="BG576" s="234"/>
      <c r="BH576" s="234"/>
      <c r="BI576" s="234"/>
      <c r="BJ576" s="234"/>
      <c r="BK576" s="234"/>
      <c r="BL576" s="234"/>
      <c r="BM576" s="234"/>
      <c r="BN576" s="234"/>
      <c r="BO576" s="234"/>
    </row>
    <row r="577" spans="1:67" ht="24" customHeight="1" x14ac:dyDescent="0.25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  <c r="AB577" s="234"/>
      <c r="AC577" s="234"/>
      <c r="AD577" s="234"/>
      <c r="AE577" s="234"/>
      <c r="AF577" s="234"/>
      <c r="AG577" s="234"/>
      <c r="AH577" s="234"/>
      <c r="AI577" s="234"/>
      <c r="AJ577" s="234"/>
      <c r="AK577" s="234"/>
      <c r="AL577" s="234"/>
      <c r="AM577" s="234"/>
      <c r="AN577" s="234"/>
      <c r="AO577" s="234"/>
      <c r="AP577" s="234"/>
      <c r="AQ577" s="234"/>
      <c r="AR577" s="234"/>
      <c r="AS577" s="234"/>
      <c r="AT577" s="234"/>
      <c r="AU577" s="234"/>
      <c r="AV577" s="234"/>
      <c r="AW577" s="234"/>
      <c r="AX577" s="234"/>
      <c r="AY577" s="234"/>
      <c r="AZ577" s="234"/>
      <c r="BA577" s="234"/>
      <c r="BB577" s="234"/>
      <c r="BC577" s="234"/>
      <c r="BD577" s="234"/>
      <c r="BE577" s="234"/>
      <c r="BF577" s="234"/>
      <c r="BG577" s="234"/>
      <c r="BH577" s="234"/>
      <c r="BI577" s="234"/>
      <c r="BJ577" s="234"/>
      <c r="BK577" s="234"/>
      <c r="BL577" s="234"/>
      <c r="BM577" s="234"/>
      <c r="BN577" s="234"/>
      <c r="BO577" s="234"/>
    </row>
    <row r="578" spans="1:67" ht="24" customHeight="1" x14ac:dyDescent="0.25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  <c r="AB578" s="234"/>
      <c r="AC578" s="234"/>
      <c r="AD578" s="234"/>
      <c r="AE578" s="234"/>
      <c r="AF578" s="234"/>
      <c r="AG578" s="234"/>
      <c r="AH578" s="234"/>
      <c r="AI578" s="234"/>
      <c r="AJ578" s="234"/>
      <c r="AK578" s="234"/>
      <c r="AL578" s="234"/>
      <c r="AM578" s="234"/>
      <c r="AN578" s="234"/>
      <c r="AO578" s="234"/>
      <c r="AP578" s="234"/>
      <c r="AQ578" s="234"/>
      <c r="AR578" s="234"/>
      <c r="AS578" s="234"/>
      <c r="AT578" s="234"/>
      <c r="AU578" s="234"/>
      <c r="AV578" s="234"/>
      <c r="AW578" s="234"/>
      <c r="AX578" s="234"/>
      <c r="AY578" s="234"/>
      <c r="AZ578" s="234"/>
      <c r="BA578" s="234"/>
      <c r="BB578" s="234"/>
      <c r="BC578" s="234"/>
      <c r="BD578" s="234"/>
      <c r="BE578" s="234"/>
      <c r="BF578" s="234"/>
      <c r="BG578" s="234"/>
      <c r="BH578" s="234"/>
      <c r="BI578" s="234"/>
      <c r="BJ578" s="234"/>
      <c r="BK578" s="234"/>
      <c r="BL578" s="234"/>
      <c r="BM578" s="234"/>
      <c r="BN578" s="234"/>
      <c r="BO578" s="234"/>
    </row>
    <row r="579" spans="1:67" ht="24" customHeight="1" x14ac:dyDescent="0.25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  <c r="AB579" s="234"/>
      <c r="AC579" s="234"/>
      <c r="AD579" s="234"/>
      <c r="AE579" s="234"/>
      <c r="AF579" s="234"/>
      <c r="AG579" s="234"/>
      <c r="AH579" s="234"/>
      <c r="AI579" s="234"/>
      <c r="AJ579" s="234"/>
      <c r="AK579" s="234"/>
      <c r="AL579" s="234"/>
      <c r="AM579" s="234"/>
      <c r="AN579" s="234"/>
      <c r="AO579" s="234"/>
      <c r="AP579" s="234"/>
      <c r="AQ579" s="234"/>
      <c r="AR579" s="234"/>
      <c r="AS579" s="234"/>
      <c r="AT579" s="234"/>
      <c r="AU579" s="234"/>
      <c r="AV579" s="234"/>
      <c r="AW579" s="234"/>
      <c r="AX579" s="234"/>
      <c r="AY579" s="234"/>
      <c r="AZ579" s="234"/>
      <c r="BA579" s="234"/>
      <c r="BB579" s="234"/>
      <c r="BC579" s="234"/>
      <c r="BD579" s="234"/>
      <c r="BE579" s="234"/>
      <c r="BF579" s="234"/>
      <c r="BG579" s="234"/>
      <c r="BH579" s="234"/>
      <c r="BI579" s="234"/>
      <c r="BJ579" s="234"/>
      <c r="BK579" s="234"/>
      <c r="BL579" s="234"/>
      <c r="BM579" s="234"/>
      <c r="BN579" s="234"/>
      <c r="BO579" s="234"/>
    </row>
    <row r="580" spans="1:67" ht="24" customHeight="1" x14ac:dyDescent="0.25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  <c r="AB580" s="234"/>
      <c r="AC580" s="234"/>
      <c r="AD580" s="234"/>
      <c r="AE580" s="234"/>
      <c r="AF580" s="234"/>
      <c r="AG580" s="234"/>
      <c r="AH580" s="234"/>
      <c r="AI580" s="234"/>
      <c r="AJ580" s="234"/>
      <c r="AK580" s="234"/>
      <c r="AL580" s="234"/>
      <c r="AM580" s="234"/>
      <c r="AN580" s="234"/>
      <c r="AO580" s="234"/>
      <c r="AP580" s="234"/>
      <c r="AQ580" s="234"/>
      <c r="AR580" s="234"/>
      <c r="AS580" s="234"/>
      <c r="AT580" s="234"/>
      <c r="AU580" s="234"/>
      <c r="AV580" s="234"/>
      <c r="AW580" s="234"/>
      <c r="AX580" s="234"/>
      <c r="AY580" s="234"/>
      <c r="AZ580" s="234"/>
      <c r="BA580" s="234"/>
      <c r="BB580" s="234"/>
      <c r="BC580" s="234"/>
      <c r="BD580" s="234"/>
      <c r="BE580" s="234"/>
      <c r="BF580" s="234"/>
      <c r="BG580" s="234"/>
      <c r="BH580" s="234"/>
      <c r="BI580" s="234"/>
      <c r="BJ580" s="234"/>
      <c r="BK580" s="234"/>
      <c r="BL580" s="234"/>
      <c r="BM580" s="234"/>
      <c r="BN580" s="234"/>
      <c r="BO580" s="234"/>
    </row>
    <row r="581" spans="1:67" ht="24" customHeight="1" x14ac:dyDescent="0.25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  <c r="AB581" s="234"/>
      <c r="AC581" s="234"/>
      <c r="AD581" s="234"/>
      <c r="AE581" s="234"/>
      <c r="AF581" s="234"/>
      <c r="AG581" s="234"/>
      <c r="AH581" s="234"/>
      <c r="AI581" s="234"/>
      <c r="AJ581" s="234"/>
      <c r="AK581" s="234"/>
      <c r="AL581" s="234"/>
      <c r="AM581" s="234"/>
      <c r="AN581" s="234"/>
      <c r="AO581" s="234"/>
      <c r="AP581" s="234"/>
      <c r="AQ581" s="234"/>
      <c r="AR581" s="234"/>
      <c r="AS581" s="234"/>
      <c r="AT581" s="234"/>
      <c r="AU581" s="234"/>
      <c r="AV581" s="234"/>
      <c r="AW581" s="234"/>
      <c r="AX581" s="234"/>
      <c r="AY581" s="234"/>
      <c r="AZ581" s="234"/>
      <c r="BA581" s="234"/>
      <c r="BB581" s="234"/>
      <c r="BC581" s="234"/>
      <c r="BD581" s="234"/>
      <c r="BE581" s="234"/>
      <c r="BF581" s="234"/>
      <c r="BG581" s="234"/>
      <c r="BH581" s="234"/>
      <c r="BI581" s="234"/>
      <c r="BJ581" s="234"/>
      <c r="BK581" s="234"/>
      <c r="BL581" s="234"/>
      <c r="BM581" s="234"/>
      <c r="BN581" s="234"/>
      <c r="BO581" s="234"/>
    </row>
    <row r="582" spans="1:67" ht="24" customHeight="1" x14ac:dyDescent="0.25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  <c r="AB582" s="234"/>
      <c r="AC582" s="234"/>
      <c r="AD582" s="234"/>
      <c r="AE582" s="234"/>
      <c r="AF582" s="234"/>
      <c r="AG582" s="234"/>
      <c r="AH582" s="234"/>
      <c r="AI582" s="234"/>
      <c r="AJ582" s="234"/>
      <c r="AK582" s="234"/>
      <c r="AL582" s="234"/>
      <c r="AM582" s="234"/>
      <c r="AN582" s="234"/>
      <c r="AO582" s="234"/>
      <c r="AP582" s="234"/>
      <c r="AQ582" s="234"/>
      <c r="AR582" s="234"/>
      <c r="AS582" s="234"/>
      <c r="AT582" s="234"/>
      <c r="AU582" s="234"/>
      <c r="AV582" s="234"/>
      <c r="AW582" s="234"/>
      <c r="AX582" s="234"/>
      <c r="AY582" s="234"/>
      <c r="AZ582" s="234"/>
      <c r="BA582" s="234"/>
      <c r="BB582" s="234"/>
      <c r="BC582" s="234"/>
      <c r="BD582" s="234"/>
      <c r="BE582" s="234"/>
      <c r="BF582" s="234"/>
      <c r="BG582" s="234"/>
      <c r="BH582" s="234"/>
      <c r="BI582" s="234"/>
      <c r="BJ582" s="234"/>
      <c r="BK582" s="234"/>
      <c r="BL582" s="234"/>
      <c r="BM582" s="234"/>
      <c r="BN582" s="234"/>
      <c r="BO582" s="234"/>
    </row>
    <row r="583" spans="1:67" ht="24" customHeight="1" x14ac:dyDescent="0.25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  <c r="AB583" s="234"/>
      <c r="AC583" s="234"/>
      <c r="AD583" s="234"/>
      <c r="AE583" s="234"/>
      <c r="AF583" s="234"/>
      <c r="AG583" s="234"/>
      <c r="AH583" s="234"/>
      <c r="AI583" s="234"/>
      <c r="AJ583" s="234"/>
      <c r="AK583" s="234"/>
      <c r="AL583" s="234"/>
      <c r="AM583" s="234"/>
      <c r="AN583" s="234"/>
      <c r="AO583" s="234"/>
      <c r="AP583" s="234"/>
      <c r="AQ583" s="234"/>
      <c r="AR583" s="234"/>
      <c r="AS583" s="234"/>
      <c r="AT583" s="234"/>
      <c r="AU583" s="234"/>
      <c r="AV583" s="234"/>
      <c r="AW583" s="234"/>
      <c r="AX583" s="234"/>
      <c r="AY583" s="234"/>
      <c r="AZ583" s="234"/>
      <c r="BA583" s="234"/>
      <c r="BB583" s="234"/>
      <c r="BC583" s="234"/>
      <c r="BD583" s="234"/>
      <c r="BE583" s="234"/>
      <c r="BF583" s="234"/>
      <c r="BG583" s="234"/>
      <c r="BH583" s="234"/>
      <c r="BI583" s="234"/>
      <c r="BJ583" s="234"/>
      <c r="BK583" s="234"/>
      <c r="BL583" s="234"/>
      <c r="BM583" s="234"/>
      <c r="BN583" s="234"/>
      <c r="BO583" s="234"/>
    </row>
    <row r="584" spans="1:67" ht="24" customHeight="1" x14ac:dyDescent="0.25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  <c r="AB584" s="234"/>
      <c r="AC584" s="234"/>
      <c r="AD584" s="234"/>
      <c r="AE584" s="234"/>
      <c r="AF584" s="234"/>
      <c r="AG584" s="234"/>
      <c r="AH584" s="234"/>
      <c r="AI584" s="234"/>
      <c r="AJ584" s="234"/>
      <c r="AK584" s="234"/>
      <c r="AL584" s="234"/>
      <c r="AM584" s="234"/>
      <c r="AN584" s="234"/>
      <c r="AO584" s="234"/>
      <c r="AP584" s="234"/>
      <c r="AQ584" s="234"/>
      <c r="AR584" s="234"/>
      <c r="AS584" s="234"/>
      <c r="AT584" s="234"/>
      <c r="AU584" s="234"/>
      <c r="AV584" s="234"/>
      <c r="AW584" s="234"/>
      <c r="AX584" s="234"/>
      <c r="AY584" s="234"/>
      <c r="AZ584" s="234"/>
      <c r="BA584" s="234"/>
      <c r="BB584" s="234"/>
      <c r="BC584" s="234"/>
      <c r="BD584" s="234"/>
      <c r="BE584" s="234"/>
      <c r="BF584" s="234"/>
      <c r="BG584" s="234"/>
      <c r="BH584" s="234"/>
      <c r="BI584" s="234"/>
      <c r="BJ584" s="234"/>
      <c r="BK584" s="234"/>
      <c r="BL584" s="234"/>
      <c r="BM584" s="234"/>
      <c r="BN584" s="234"/>
      <c r="BO584" s="234"/>
    </row>
    <row r="585" spans="1:67" ht="24" customHeight="1" x14ac:dyDescent="0.2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  <c r="AB585" s="234"/>
      <c r="AC585" s="234"/>
      <c r="AD585" s="234"/>
      <c r="AE585" s="234"/>
      <c r="AF585" s="234"/>
      <c r="AG585" s="234"/>
      <c r="AH585" s="234"/>
      <c r="AI585" s="234"/>
      <c r="AJ585" s="234"/>
      <c r="AK585" s="234"/>
      <c r="AL585" s="234"/>
      <c r="AM585" s="234"/>
      <c r="AN585" s="234"/>
      <c r="AO585" s="234"/>
      <c r="AP585" s="234"/>
      <c r="AQ585" s="234"/>
      <c r="AR585" s="234"/>
      <c r="AS585" s="234"/>
      <c r="AT585" s="234"/>
      <c r="AU585" s="234"/>
      <c r="AV585" s="234"/>
      <c r="AW585" s="234"/>
      <c r="AX585" s="234"/>
      <c r="AY585" s="234"/>
      <c r="AZ585" s="234"/>
      <c r="BA585" s="234"/>
      <c r="BB585" s="234"/>
      <c r="BC585" s="234"/>
      <c r="BD585" s="234"/>
      <c r="BE585" s="234"/>
      <c r="BF585" s="234"/>
      <c r="BG585" s="234"/>
      <c r="BH585" s="234"/>
      <c r="BI585" s="234"/>
      <c r="BJ585" s="234"/>
      <c r="BK585" s="234"/>
      <c r="BL585" s="234"/>
      <c r="BM585" s="234"/>
      <c r="BN585" s="234"/>
      <c r="BO585" s="234"/>
    </row>
    <row r="586" spans="1:67" ht="24" customHeight="1" x14ac:dyDescent="0.25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  <c r="AB586" s="234"/>
      <c r="AC586" s="234"/>
      <c r="AD586" s="234"/>
      <c r="AE586" s="234"/>
      <c r="AF586" s="234"/>
      <c r="AG586" s="234"/>
      <c r="AH586" s="234"/>
      <c r="AI586" s="234"/>
      <c r="AJ586" s="234"/>
      <c r="AK586" s="234"/>
      <c r="AL586" s="234"/>
      <c r="AM586" s="234"/>
      <c r="AN586" s="234"/>
      <c r="AO586" s="234"/>
      <c r="AP586" s="234"/>
      <c r="AQ586" s="234"/>
      <c r="AR586" s="234"/>
      <c r="AS586" s="234"/>
      <c r="AT586" s="234"/>
      <c r="AU586" s="234"/>
      <c r="AV586" s="234"/>
      <c r="AW586" s="234"/>
      <c r="AX586" s="234"/>
      <c r="AY586" s="234"/>
      <c r="AZ586" s="234"/>
      <c r="BA586" s="234"/>
      <c r="BB586" s="234"/>
      <c r="BC586" s="234"/>
      <c r="BD586" s="234"/>
      <c r="BE586" s="234"/>
      <c r="BF586" s="234"/>
      <c r="BG586" s="234"/>
      <c r="BH586" s="234"/>
      <c r="BI586" s="234"/>
      <c r="BJ586" s="234"/>
      <c r="BK586" s="234"/>
      <c r="BL586" s="234"/>
      <c r="BM586" s="234"/>
      <c r="BN586" s="234"/>
      <c r="BO586" s="234"/>
    </row>
    <row r="587" spans="1:67" ht="24" customHeight="1" x14ac:dyDescent="0.25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  <c r="AB587" s="234"/>
      <c r="AC587" s="234"/>
      <c r="AD587" s="234"/>
      <c r="AE587" s="234"/>
      <c r="AF587" s="234"/>
      <c r="AG587" s="234"/>
      <c r="AH587" s="234"/>
      <c r="AI587" s="234"/>
      <c r="AJ587" s="234"/>
      <c r="AK587" s="234"/>
      <c r="AL587" s="234"/>
      <c r="AM587" s="234"/>
      <c r="AN587" s="234"/>
      <c r="AO587" s="234"/>
      <c r="AP587" s="234"/>
      <c r="AQ587" s="234"/>
      <c r="AR587" s="234"/>
      <c r="AS587" s="234"/>
      <c r="AT587" s="234"/>
      <c r="AU587" s="234"/>
      <c r="AV587" s="234"/>
      <c r="AW587" s="234"/>
      <c r="AX587" s="234"/>
      <c r="AY587" s="234"/>
      <c r="AZ587" s="234"/>
      <c r="BA587" s="234"/>
      <c r="BB587" s="234"/>
      <c r="BC587" s="234"/>
      <c r="BD587" s="234"/>
      <c r="BE587" s="234"/>
      <c r="BF587" s="234"/>
      <c r="BG587" s="234"/>
      <c r="BH587" s="234"/>
      <c r="BI587" s="234"/>
      <c r="BJ587" s="234"/>
      <c r="BK587" s="234"/>
      <c r="BL587" s="234"/>
      <c r="BM587" s="234"/>
      <c r="BN587" s="234"/>
      <c r="BO587" s="234"/>
    </row>
    <row r="588" spans="1:67" ht="24" customHeight="1" x14ac:dyDescent="0.25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  <c r="AB588" s="234"/>
      <c r="AC588" s="234"/>
      <c r="AD588" s="234"/>
      <c r="AE588" s="234"/>
      <c r="AF588" s="234"/>
      <c r="AG588" s="234"/>
      <c r="AH588" s="234"/>
      <c r="AI588" s="234"/>
      <c r="AJ588" s="234"/>
      <c r="AK588" s="234"/>
      <c r="AL588" s="234"/>
      <c r="AM588" s="234"/>
      <c r="AN588" s="234"/>
      <c r="AO588" s="234"/>
      <c r="AP588" s="234"/>
      <c r="AQ588" s="234"/>
      <c r="AR588" s="234"/>
      <c r="AS588" s="234"/>
      <c r="AT588" s="234"/>
      <c r="AU588" s="234"/>
      <c r="AV588" s="234"/>
      <c r="AW588" s="234"/>
      <c r="AX588" s="234"/>
      <c r="AY588" s="234"/>
      <c r="AZ588" s="234"/>
      <c r="BA588" s="234"/>
      <c r="BB588" s="234"/>
      <c r="BC588" s="234"/>
      <c r="BD588" s="234"/>
      <c r="BE588" s="234"/>
      <c r="BF588" s="234"/>
      <c r="BG588" s="234"/>
      <c r="BH588" s="234"/>
      <c r="BI588" s="234"/>
      <c r="BJ588" s="234"/>
      <c r="BK588" s="234"/>
      <c r="BL588" s="234"/>
      <c r="BM588" s="234"/>
      <c r="BN588" s="234"/>
      <c r="BO588" s="234"/>
    </row>
    <row r="589" spans="1:67" ht="24" customHeight="1" x14ac:dyDescent="0.25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  <c r="AB589" s="234"/>
      <c r="AC589" s="234"/>
      <c r="AD589" s="234"/>
      <c r="AE589" s="234"/>
      <c r="AF589" s="234"/>
      <c r="AG589" s="234"/>
      <c r="AH589" s="234"/>
      <c r="AI589" s="234"/>
      <c r="AJ589" s="234"/>
      <c r="AK589" s="234"/>
      <c r="AL589" s="234"/>
      <c r="AM589" s="234"/>
      <c r="AN589" s="234"/>
      <c r="AO589" s="234"/>
      <c r="AP589" s="234"/>
      <c r="AQ589" s="234"/>
      <c r="AR589" s="234"/>
      <c r="AS589" s="234"/>
      <c r="AT589" s="234"/>
      <c r="AU589" s="234"/>
      <c r="AV589" s="234"/>
      <c r="AW589" s="234"/>
      <c r="AX589" s="234"/>
      <c r="AY589" s="234"/>
      <c r="AZ589" s="234"/>
      <c r="BA589" s="234"/>
      <c r="BB589" s="234"/>
      <c r="BC589" s="234"/>
      <c r="BD589" s="234"/>
      <c r="BE589" s="234"/>
      <c r="BF589" s="234"/>
      <c r="BG589" s="234"/>
      <c r="BH589" s="234"/>
      <c r="BI589" s="234"/>
      <c r="BJ589" s="234"/>
      <c r="BK589" s="234"/>
      <c r="BL589" s="234"/>
      <c r="BM589" s="234"/>
      <c r="BN589" s="234"/>
      <c r="BO589" s="234"/>
    </row>
    <row r="590" spans="1:67" ht="24" customHeight="1" x14ac:dyDescent="0.25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  <c r="AB590" s="234"/>
      <c r="AC590" s="234"/>
      <c r="AD590" s="234"/>
      <c r="AE590" s="234"/>
      <c r="AF590" s="234"/>
      <c r="AG590" s="234"/>
      <c r="AH590" s="234"/>
      <c r="AI590" s="234"/>
      <c r="AJ590" s="234"/>
      <c r="AK590" s="234"/>
      <c r="AL590" s="234"/>
      <c r="AM590" s="234"/>
      <c r="AN590" s="234"/>
      <c r="AO590" s="234"/>
      <c r="AP590" s="234"/>
      <c r="AQ590" s="234"/>
      <c r="AR590" s="234"/>
      <c r="AS590" s="234"/>
      <c r="AT590" s="234"/>
      <c r="AU590" s="234"/>
      <c r="AV590" s="234"/>
      <c r="AW590" s="234"/>
      <c r="AX590" s="234"/>
      <c r="AY590" s="234"/>
      <c r="AZ590" s="234"/>
      <c r="BA590" s="234"/>
      <c r="BB590" s="234"/>
      <c r="BC590" s="234"/>
      <c r="BD590" s="234"/>
      <c r="BE590" s="234"/>
      <c r="BF590" s="234"/>
      <c r="BG590" s="234"/>
      <c r="BH590" s="234"/>
      <c r="BI590" s="234"/>
      <c r="BJ590" s="234"/>
      <c r="BK590" s="234"/>
      <c r="BL590" s="234"/>
      <c r="BM590" s="234"/>
      <c r="BN590" s="234"/>
      <c r="BO590" s="234"/>
    </row>
    <row r="591" spans="1:67" ht="24" customHeight="1" x14ac:dyDescent="0.25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  <c r="AB591" s="234"/>
      <c r="AC591" s="234"/>
      <c r="AD591" s="234"/>
      <c r="AE591" s="234"/>
      <c r="AF591" s="234"/>
      <c r="AG591" s="234"/>
      <c r="AH591" s="234"/>
      <c r="AI591" s="234"/>
      <c r="AJ591" s="234"/>
      <c r="AK591" s="234"/>
      <c r="AL591" s="234"/>
      <c r="AM591" s="234"/>
      <c r="AN591" s="234"/>
      <c r="AO591" s="234"/>
      <c r="AP591" s="234"/>
      <c r="AQ591" s="234"/>
      <c r="AR591" s="234"/>
      <c r="AS591" s="234"/>
      <c r="AT591" s="234"/>
      <c r="AU591" s="234"/>
      <c r="AV591" s="234"/>
      <c r="AW591" s="234"/>
      <c r="AX591" s="234"/>
      <c r="AY591" s="234"/>
      <c r="AZ591" s="234"/>
      <c r="BA591" s="234"/>
      <c r="BB591" s="234"/>
      <c r="BC591" s="234"/>
      <c r="BD591" s="234"/>
      <c r="BE591" s="234"/>
      <c r="BF591" s="234"/>
      <c r="BG591" s="234"/>
      <c r="BH591" s="234"/>
      <c r="BI591" s="234"/>
      <c r="BJ591" s="234"/>
      <c r="BK591" s="234"/>
      <c r="BL591" s="234"/>
      <c r="BM591" s="234"/>
      <c r="BN591" s="234"/>
      <c r="BO591" s="234"/>
    </row>
    <row r="592" spans="1:67" ht="24" customHeight="1" x14ac:dyDescent="0.25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  <c r="AB592" s="234"/>
      <c r="AC592" s="234"/>
      <c r="AD592" s="234"/>
      <c r="AE592" s="234"/>
      <c r="AF592" s="234"/>
      <c r="AG592" s="234"/>
      <c r="AH592" s="234"/>
      <c r="AI592" s="234"/>
      <c r="AJ592" s="234"/>
      <c r="AK592" s="234"/>
      <c r="AL592" s="234"/>
      <c r="AM592" s="234"/>
      <c r="AN592" s="234"/>
      <c r="AO592" s="234"/>
      <c r="AP592" s="234"/>
      <c r="AQ592" s="234"/>
      <c r="AR592" s="234"/>
      <c r="AS592" s="234"/>
      <c r="AT592" s="234"/>
      <c r="AU592" s="234"/>
      <c r="AV592" s="234"/>
      <c r="AW592" s="234"/>
      <c r="AX592" s="234"/>
      <c r="AY592" s="234"/>
      <c r="AZ592" s="234"/>
      <c r="BA592" s="234"/>
      <c r="BB592" s="234"/>
      <c r="BC592" s="234"/>
      <c r="BD592" s="234"/>
      <c r="BE592" s="234"/>
      <c r="BF592" s="234"/>
      <c r="BG592" s="234"/>
      <c r="BH592" s="234"/>
      <c r="BI592" s="234"/>
      <c r="BJ592" s="234"/>
      <c r="BK592" s="234"/>
      <c r="BL592" s="234"/>
      <c r="BM592" s="234"/>
      <c r="BN592" s="234"/>
      <c r="BO592" s="234"/>
    </row>
    <row r="593" spans="1:67" ht="24" customHeight="1" x14ac:dyDescent="0.25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  <c r="AB593" s="234"/>
      <c r="AC593" s="234"/>
      <c r="AD593" s="234"/>
      <c r="AE593" s="234"/>
      <c r="AF593" s="234"/>
      <c r="AG593" s="234"/>
      <c r="AH593" s="234"/>
      <c r="AI593" s="234"/>
      <c r="AJ593" s="234"/>
      <c r="AK593" s="234"/>
      <c r="AL593" s="234"/>
      <c r="AM593" s="234"/>
      <c r="AN593" s="234"/>
      <c r="AO593" s="234"/>
      <c r="AP593" s="234"/>
      <c r="AQ593" s="234"/>
      <c r="AR593" s="234"/>
      <c r="AS593" s="234"/>
      <c r="AT593" s="234"/>
      <c r="AU593" s="234"/>
      <c r="AV593" s="234"/>
      <c r="AW593" s="234"/>
      <c r="AX593" s="234"/>
      <c r="AY593" s="234"/>
      <c r="AZ593" s="234"/>
      <c r="BA593" s="234"/>
      <c r="BB593" s="234"/>
      <c r="BC593" s="234"/>
      <c r="BD593" s="234"/>
      <c r="BE593" s="234"/>
      <c r="BF593" s="234"/>
      <c r="BG593" s="234"/>
      <c r="BH593" s="234"/>
      <c r="BI593" s="234"/>
      <c r="BJ593" s="234"/>
      <c r="BK593" s="234"/>
      <c r="BL593" s="234"/>
      <c r="BM593" s="234"/>
      <c r="BN593" s="234"/>
      <c r="BO593" s="234"/>
    </row>
    <row r="594" spans="1:67" ht="24" customHeight="1" x14ac:dyDescent="0.25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  <c r="AB594" s="234"/>
      <c r="AC594" s="234"/>
      <c r="AD594" s="234"/>
      <c r="AE594" s="234"/>
      <c r="AF594" s="234"/>
      <c r="AG594" s="234"/>
      <c r="AH594" s="234"/>
      <c r="AI594" s="234"/>
      <c r="AJ594" s="234"/>
      <c r="AK594" s="234"/>
      <c r="AL594" s="234"/>
      <c r="AM594" s="234"/>
      <c r="AN594" s="234"/>
      <c r="AO594" s="234"/>
      <c r="AP594" s="234"/>
      <c r="AQ594" s="234"/>
      <c r="AR594" s="234"/>
      <c r="AS594" s="234"/>
      <c r="AT594" s="234"/>
      <c r="AU594" s="234"/>
      <c r="AV594" s="234"/>
      <c r="AW594" s="234"/>
      <c r="AX594" s="234"/>
      <c r="AY594" s="234"/>
      <c r="AZ594" s="234"/>
      <c r="BA594" s="234"/>
      <c r="BB594" s="234"/>
      <c r="BC594" s="234"/>
      <c r="BD594" s="234"/>
      <c r="BE594" s="234"/>
      <c r="BF594" s="234"/>
      <c r="BG594" s="234"/>
      <c r="BH594" s="234"/>
      <c r="BI594" s="234"/>
      <c r="BJ594" s="234"/>
      <c r="BK594" s="234"/>
      <c r="BL594" s="234"/>
      <c r="BM594" s="234"/>
      <c r="BN594" s="234"/>
      <c r="BO594" s="234"/>
    </row>
    <row r="595" spans="1:67" ht="24" customHeight="1" x14ac:dyDescent="0.2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  <c r="AB595" s="234"/>
      <c r="AC595" s="234"/>
      <c r="AD595" s="234"/>
      <c r="AE595" s="234"/>
      <c r="AF595" s="234"/>
      <c r="AG595" s="234"/>
      <c r="AH595" s="234"/>
      <c r="AI595" s="234"/>
      <c r="AJ595" s="234"/>
      <c r="AK595" s="234"/>
      <c r="AL595" s="234"/>
      <c r="AM595" s="234"/>
      <c r="AN595" s="234"/>
      <c r="AO595" s="234"/>
      <c r="AP595" s="234"/>
      <c r="AQ595" s="234"/>
      <c r="AR595" s="234"/>
      <c r="AS595" s="234"/>
      <c r="AT595" s="234"/>
      <c r="AU595" s="234"/>
      <c r="AV595" s="234"/>
      <c r="AW595" s="234"/>
      <c r="AX595" s="234"/>
      <c r="AY595" s="234"/>
      <c r="AZ595" s="234"/>
      <c r="BA595" s="234"/>
      <c r="BB595" s="234"/>
      <c r="BC595" s="234"/>
      <c r="BD595" s="234"/>
      <c r="BE595" s="234"/>
      <c r="BF595" s="234"/>
      <c r="BG595" s="234"/>
      <c r="BH595" s="234"/>
      <c r="BI595" s="234"/>
      <c r="BJ595" s="234"/>
      <c r="BK595" s="234"/>
      <c r="BL595" s="234"/>
      <c r="BM595" s="234"/>
      <c r="BN595" s="234"/>
      <c r="BO595" s="234"/>
    </row>
    <row r="596" spans="1:67" ht="24" customHeight="1" x14ac:dyDescent="0.25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  <c r="AB596" s="234"/>
      <c r="AC596" s="234"/>
      <c r="AD596" s="234"/>
      <c r="AE596" s="234"/>
      <c r="AF596" s="234"/>
      <c r="AG596" s="234"/>
      <c r="AH596" s="234"/>
      <c r="AI596" s="234"/>
      <c r="AJ596" s="234"/>
      <c r="AK596" s="234"/>
      <c r="AL596" s="234"/>
      <c r="AM596" s="234"/>
      <c r="AN596" s="234"/>
      <c r="AO596" s="234"/>
      <c r="AP596" s="234"/>
      <c r="AQ596" s="234"/>
      <c r="AR596" s="234"/>
      <c r="AS596" s="234"/>
      <c r="AT596" s="234"/>
      <c r="AU596" s="234"/>
      <c r="AV596" s="234"/>
      <c r="AW596" s="234"/>
      <c r="AX596" s="234"/>
      <c r="AY596" s="234"/>
      <c r="AZ596" s="234"/>
      <c r="BA596" s="234"/>
      <c r="BB596" s="234"/>
      <c r="BC596" s="234"/>
      <c r="BD596" s="234"/>
      <c r="BE596" s="234"/>
      <c r="BF596" s="234"/>
      <c r="BG596" s="234"/>
      <c r="BH596" s="234"/>
      <c r="BI596" s="234"/>
      <c r="BJ596" s="234"/>
      <c r="BK596" s="234"/>
      <c r="BL596" s="234"/>
      <c r="BM596" s="234"/>
      <c r="BN596" s="234"/>
      <c r="BO596" s="234"/>
    </row>
    <row r="597" spans="1:67" ht="24" customHeight="1" x14ac:dyDescent="0.25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  <c r="AB597" s="234"/>
      <c r="AC597" s="234"/>
      <c r="AD597" s="234"/>
      <c r="AE597" s="234"/>
      <c r="AF597" s="234"/>
      <c r="AG597" s="234"/>
      <c r="AH597" s="234"/>
      <c r="AI597" s="234"/>
      <c r="AJ597" s="234"/>
      <c r="AK597" s="234"/>
      <c r="AL597" s="234"/>
      <c r="AM597" s="234"/>
      <c r="AN597" s="234"/>
      <c r="AO597" s="234"/>
      <c r="AP597" s="234"/>
      <c r="AQ597" s="234"/>
      <c r="AR597" s="234"/>
      <c r="AS597" s="234"/>
      <c r="AT597" s="234"/>
      <c r="AU597" s="234"/>
      <c r="AV597" s="234"/>
      <c r="AW597" s="234"/>
      <c r="AX597" s="234"/>
      <c r="AY597" s="234"/>
      <c r="AZ597" s="234"/>
      <c r="BA597" s="234"/>
      <c r="BB597" s="234"/>
      <c r="BC597" s="234"/>
      <c r="BD597" s="234"/>
      <c r="BE597" s="234"/>
      <c r="BF597" s="234"/>
      <c r="BG597" s="234"/>
      <c r="BH597" s="234"/>
      <c r="BI597" s="234"/>
      <c r="BJ597" s="234"/>
      <c r="BK597" s="234"/>
      <c r="BL597" s="234"/>
      <c r="BM597" s="234"/>
      <c r="BN597" s="234"/>
      <c r="BO597" s="234"/>
    </row>
    <row r="598" spans="1:67" ht="24" customHeight="1" x14ac:dyDescent="0.25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  <c r="AB598" s="234"/>
      <c r="AC598" s="234"/>
      <c r="AD598" s="234"/>
      <c r="AE598" s="234"/>
      <c r="AF598" s="234"/>
      <c r="AG598" s="234"/>
      <c r="AH598" s="234"/>
      <c r="AI598" s="234"/>
      <c r="AJ598" s="234"/>
      <c r="AK598" s="234"/>
      <c r="AL598" s="234"/>
      <c r="AM598" s="234"/>
      <c r="AN598" s="234"/>
      <c r="AO598" s="234"/>
      <c r="AP598" s="234"/>
      <c r="AQ598" s="234"/>
      <c r="AR598" s="234"/>
      <c r="AS598" s="234"/>
      <c r="AT598" s="234"/>
      <c r="AU598" s="234"/>
      <c r="AV598" s="234"/>
      <c r="AW598" s="234"/>
      <c r="AX598" s="234"/>
      <c r="AY598" s="234"/>
      <c r="AZ598" s="234"/>
      <c r="BA598" s="234"/>
      <c r="BB598" s="234"/>
      <c r="BC598" s="234"/>
      <c r="BD598" s="234"/>
      <c r="BE598" s="234"/>
      <c r="BF598" s="234"/>
      <c r="BG598" s="234"/>
      <c r="BH598" s="234"/>
      <c r="BI598" s="234"/>
      <c r="BJ598" s="234"/>
      <c r="BK598" s="234"/>
      <c r="BL598" s="234"/>
      <c r="BM598" s="234"/>
      <c r="BN598" s="234"/>
      <c r="BO598" s="234"/>
    </row>
    <row r="599" spans="1:67" ht="24" customHeight="1" x14ac:dyDescent="0.25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  <c r="AB599" s="234"/>
      <c r="AC599" s="234"/>
      <c r="AD599" s="234"/>
      <c r="AE599" s="234"/>
      <c r="AF599" s="234"/>
      <c r="AG599" s="234"/>
      <c r="AH599" s="234"/>
      <c r="AI599" s="234"/>
      <c r="AJ599" s="234"/>
      <c r="AK599" s="234"/>
      <c r="AL599" s="234"/>
      <c r="AM599" s="234"/>
      <c r="AN599" s="234"/>
      <c r="AO599" s="234"/>
      <c r="AP599" s="234"/>
      <c r="AQ599" s="234"/>
      <c r="AR599" s="234"/>
      <c r="AS599" s="234"/>
      <c r="AT599" s="234"/>
      <c r="AU599" s="234"/>
      <c r="AV599" s="234"/>
      <c r="AW599" s="234"/>
      <c r="AX599" s="234"/>
      <c r="AY599" s="234"/>
      <c r="AZ599" s="234"/>
      <c r="BA599" s="234"/>
      <c r="BB599" s="234"/>
      <c r="BC599" s="234"/>
      <c r="BD599" s="234"/>
      <c r="BE599" s="234"/>
      <c r="BF599" s="234"/>
      <c r="BG599" s="234"/>
      <c r="BH599" s="234"/>
      <c r="BI599" s="234"/>
      <c r="BJ599" s="234"/>
      <c r="BK599" s="234"/>
      <c r="BL599" s="234"/>
      <c r="BM599" s="234"/>
      <c r="BN599" s="234"/>
      <c r="BO599" s="234"/>
    </row>
    <row r="600" spans="1:67" ht="24" customHeight="1" x14ac:dyDescent="0.25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  <c r="AB600" s="234"/>
      <c r="AC600" s="234"/>
      <c r="AD600" s="234"/>
      <c r="AE600" s="234"/>
      <c r="AF600" s="234"/>
      <c r="AG600" s="234"/>
      <c r="AH600" s="234"/>
      <c r="AI600" s="234"/>
      <c r="AJ600" s="234"/>
      <c r="AK600" s="234"/>
      <c r="AL600" s="234"/>
      <c r="AM600" s="234"/>
      <c r="AN600" s="234"/>
      <c r="AO600" s="234"/>
      <c r="AP600" s="234"/>
      <c r="AQ600" s="234"/>
      <c r="AR600" s="234"/>
      <c r="AS600" s="234"/>
      <c r="AT600" s="234"/>
      <c r="AU600" s="234"/>
      <c r="AV600" s="234"/>
      <c r="AW600" s="234"/>
      <c r="AX600" s="234"/>
      <c r="AY600" s="234"/>
      <c r="AZ600" s="234"/>
      <c r="BA600" s="234"/>
      <c r="BB600" s="234"/>
      <c r="BC600" s="234"/>
      <c r="BD600" s="234"/>
      <c r="BE600" s="234"/>
      <c r="BF600" s="234"/>
      <c r="BG600" s="234"/>
      <c r="BH600" s="234"/>
      <c r="BI600" s="234"/>
      <c r="BJ600" s="234"/>
      <c r="BK600" s="234"/>
      <c r="BL600" s="234"/>
      <c r="BM600" s="234"/>
      <c r="BN600" s="234"/>
      <c r="BO600" s="234"/>
    </row>
    <row r="601" spans="1:67" ht="24" customHeight="1" x14ac:dyDescent="0.25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  <c r="AB601" s="234"/>
      <c r="AC601" s="234"/>
      <c r="AD601" s="234"/>
      <c r="AE601" s="234"/>
      <c r="AF601" s="234"/>
      <c r="AG601" s="234"/>
      <c r="AH601" s="234"/>
      <c r="AI601" s="234"/>
      <c r="AJ601" s="234"/>
      <c r="AK601" s="234"/>
      <c r="AL601" s="234"/>
      <c r="AM601" s="234"/>
      <c r="AN601" s="234"/>
      <c r="AO601" s="234"/>
      <c r="AP601" s="234"/>
      <c r="AQ601" s="234"/>
      <c r="AR601" s="234"/>
      <c r="AS601" s="234"/>
      <c r="AT601" s="234"/>
      <c r="AU601" s="234"/>
      <c r="AV601" s="234"/>
      <c r="AW601" s="234"/>
      <c r="AX601" s="234"/>
      <c r="AY601" s="234"/>
      <c r="AZ601" s="234"/>
      <c r="BA601" s="234"/>
      <c r="BB601" s="234"/>
      <c r="BC601" s="234"/>
      <c r="BD601" s="234"/>
      <c r="BE601" s="234"/>
      <c r="BF601" s="234"/>
      <c r="BG601" s="234"/>
      <c r="BH601" s="234"/>
      <c r="BI601" s="234"/>
      <c r="BJ601" s="234"/>
      <c r="BK601" s="234"/>
      <c r="BL601" s="234"/>
      <c r="BM601" s="234"/>
      <c r="BN601" s="234"/>
      <c r="BO601" s="234"/>
    </row>
    <row r="602" spans="1:67" ht="24" customHeight="1" x14ac:dyDescent="0.25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  <c r="AB602" s="234"/>
      <c r="AC602" s="234"/>
      <c r="AD602" s="234"/>
      <c r="AE602" s="234"/>
      <c r="AF602" s="234"/>
      <c r="AG602" s="234"/>
      <c r="AH602" s="234"/>
      <c r="AI602" s="234"/>
      <c r="AJ602" s="234"/>
      <c r="AK602" s="234"/>
      <c r="AL602" s="234"/>
      <c r="AM602" s="234"/>
      <c r="AN602" s="234"/>
      <c r="AO602" s="234"/>
      <c r="AP602" s="234"/>
      <c r="AQ602" s="234"/>
      <c r="AR602" s="234"/>
      <c r="AS602" s="234"/>
      <c r="AT602" s="234"/>
      <c r="AU602" s="234"/>
      <c r="AV602" s="234"/>
      <c r="AW602" s="234"/>
      <c r="AX602" s="234"/>
      <c r="AY602" s="234"/>
      <c r="AZ602" s="234"/>
      <c r="BA602" s="234"/>
      <c r="BB602" s="234"/>
      <c r="BC602" s="234"/>
      <c r="BD602" s="234"/>
      <c r="BE602" s="234"/>
      <c r="BF602" s="234"/>
      <c r="BG602" s="234"/>
      <c r="BH602" s="234"/>
      <c r="BI602" s="234"/>
      <c r="BJ602" s="234"/>
      <c r="BK602" s="234"/>
      <c r="BL602" s="234"/>
      <c r="BM602" s="234"/>
      <c r="BN602" s="234"/>
      <c r="BO602" s="234"/>
    </row>
    <row r="603" spans="1:67" ht="24" customHeight="1" x14ac:dyDescent="0.25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  <c r="AB603" s="234"/>
      <c r="AC603" s="234"/>
      <c r="AD603" s="234"/>
      <c r="AE603" s="234"/>
      <c r="AF603" s="234"/>
      <c r="AG603" s="234"/>
      <c r="AH603" s="234"/>
      <c r="AI603" s="234"/>
      <c r="AJ603" s="234"/>
      <c r="AK603" s="234"/>
      <c r="AL603" s="234"/>
      <c r="AM603" s="234"/>
      <c r="AN603" s="234"/>
      <c r="AO603" s="234"/>
      <c r="AP603" s="234"/>
      <c r="AQ603" s="234"/>
      <c r="AR603" s="234"/>
      <c r="AS603" s="234"/>
      <c r="AT603" s="234"/>
      <c r="AU603" s="234"/>
      <c r="AV603" s="234"/>
      <c r="AW603" s="234"/>
      <c r="AX603" s="234"/>
      <c r="AY603" s="234"/>
      <c r="AZ603" s="234"/>
      <c r="BA603" s="234"/>
      <c r="BB603" s="234"/>
      <c r="BC603" s="234"/>
      <c r="BD603" s="234"/>
      <c r="BE603" s="234"/>
      <c r="BF603" s="234"/>
      <c r="BG603" s="234"/>
      <c r="BH603" s="234"/>
      <c r="BI603" s="234"/>
      <c r="BJ603" s="234"/>
      <c r="BK603" s="234"/>
      <c r="BL603" s="234"/>
      <c r="BM603" s="234"/>
      <c r="BN603" s="234"/>
      <c r="BO603" s="234"/>
    </row>
    <row r="604" spans="1:67" ht="24" customHeight="1" x14ac:dyDescent="0.25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  <c r="AB604" s="234"/>
      <c r="AC604" s="234"/>
      <c r="AD604" s="234"/>
      <c r="AE604" s="234"/>
      <c r="AF604" s="234"/>
      <c r="AG604" s="234"/>
      <c r="AH604" s="234"/>
      <c r="AI604" s="234"/>
      <c r="AJ604" s="234"/>
      <c r="AK604" s="234"/>
      <c r="AL604" s="234"/>
      <c r="AM604" s="234"/>
      <c r="AN604" s="234"/>
      <c r="AO604" s="234"/>
      <c r="AP604" s="234"/>
      <c r="AQ604" s="234"/>
      <c r="AR604" s="234"/>
      <c r="AS604" s="234"/>
      <c r="AT604" s="234"/>
      <c r="AU604" s="234"/>
      <c r="AV604" s="234"/>
      <c r="AW604" s="234"/>
      <c r="AX604" s="234"/>
      <c r="AY604" s="234"/>
      <c r="AZ604" s="234"/>
      <c r="BA604" s="234"/>
      <c r="BB604" s="234"/>
      <c r="BC604" s="234"/>
      <c r="BD604" s="234"/>
      <c r="BE604" s="234"/>
      <c r="BF604" s="234"/>
      <c r="BG604" s="234"/>
      <c r="BH604" s="234"/>
      <c r="BI604" s="234"/>
      <c r="BJ604" s="234"/>
      <c r="BK604" s="234"/>
      <c r="BL604" s="234"/>
      <c r="BM604" s="234"/>
      <c r="BN604" s="234"/>
      <c r="BO604" s="234"/>
    </row>
    <row r="605" spans="1:67" ht="24" customHeight="1" x14ac:dyDescent="0.2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  <c r="AB605" s="234"/>
      <c r="AC605" s="234"/>
      <c r="AD605" s="234"/>
      <c r="AE605" s="234"/>
      <c r="AF605" s="234"/>
      <c r="AG605" s="234"/>
      <c r="AH605" s="234"/>
      <c r="AI605" s="234"/>
      <c r="AJ605" s="234"/>
      <c r="AK605" s="234"/>
      <c r="AL605" s="234"/>
      <c r="AM605" s="234"/>
      <c r="AN605" s="234"/>
      <c r="AO605" s="234"/>
      <c r="AP605" s="234"/>
      <c r="AQ605" s="234"/>
      <c r="AR605" s="234"/>
      <c r="AS605" s="234"/>
      <c r="AT605" s="234"/>
      <c r="AU605" s="234"/>
      <c r="AV605" s="234"/>
      <c r="AW605" s="234"/>
      <c r="AX605" s="234"/>
      <c r="AY605" s="234"/>
      <c r="AZ605" s="234"/>
      <c r="BA605" s="234"/>
      <c r="BB605" s="234"/>
      <c r="BC605" s="234"/>
      <c r="BD605" s="234"/>
      <c r="BE605" s="234"/>
      <c r="BF605" s="234"/>
      <c r="BG605" s="234"/>
      <c r="BH605" s="234"/>
      <c r="BI605" s="234"/>
      <c r="BJ605" s="234"/>
      <c r="BK605" s="234"/>
      <c r="BL605" s="234"/>
      <c r="BM605" s="234"/>
      <c r="BN605" s="234"/>
      <c r="BO605" s="234"/>
    </row>
    <row r="606" spans="1:67" ht="24" customHeight="1" x14ac:dyDescent="0.25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  <c r="AB606" s="234"/>
      <c r="AC606" s="234"/>
      <c r="AD606" s="234"/>
      <c r="AE606" s="234"/>
      <c r="AF606" s="234"/>
      <c r="AG606" s="234"/>
      <c r="AH606" s="234"/>
      <c r="AI606" s="234"/>
      <c r="AJ606" s="234"/>
      <c r="AK606" s="234"/>
      <c r="AL606" s="234"/>
      <c r="AM606" s="234"/>
      <c r="AN606" s="234"/>
      <c r="AO606" s="234"/>
      <c r="AP606" s="234"/>
      <c r="AQ606" s="234"/>
      <c r="AR606" s="234"/>
      <c r="AS606" s="234"/>
      <c r="AT606" s="234"/>
      <c r="AU606" s="234"/>
      <c r="AV606" s="234"/>
      <c r="AW606" s="234"/>
      <c r="AX606" s="234"/>
      <c r="AY606" s="234"/>
      <c r="AZ606" s="234"/>
      <c r="BA606" s="234"/>
      <c r="BB606" s="234"/>
      <c r="BC606" s="234"/>
      <c r="BD606" s="234"/>
      <c r="BE606" s="234"/>
      <c r="BF606" s="234"/>
      <c r="BG606" s="234"/>
      <c r="BH606" s="234"/>
      <c r="BI606" s="234"/>
      <c r="BJ606" s="234"/>
      <c r="BK606" s="234"/>
      <c r="BL606" s="234"/>
      <c r="BM606" s="234"/>
      <c r="BN606" s="234"/>
      <c r="BO606" s="234"/>
    </row>
    <row r="607" spans="1:67" ht="24" customHeight="1" x14ac:dyDescent="0.25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  <c r="AB607" s="234"/>
      <c r="AC607" s="234"/>
      <c r="AD607" s="234"/>
      <c r="AE607" s="234"/>
      <c r="AF607" s="234"/>
      <c r="AG607" s="234"/>
      <c r="AH607" s="234"/>
      <c r="AI607" s="234"/>
      <c r="AJ607" s="234"/>
      <c r="AK607" s="234"/>
      <c r="AL607" s="234"/>
      <c r="AM607" s="234"/>
      <c r="AN607" s="234"/>
      <c r="AO607" s="234"/>
      <c r="AP607" s="234"/>
      <c r="AQ607" s="234"/>
      <c r="AR607" s="234"/>
      <c r="AS607" s="234"/>
      <c r="AT607" s="234"/>
      <c r="AU607" s="234"/>
      <c r="AV607" s="234"/>
      <c r="AW607" s="234"/>
      <c r="AX607" s="234"/>
      <c r="AY607" s="234"/>
      <c r="AZ607" s="234"/>
      <c r="BA607" s="234"/>
      <c r="BB607" s="234"/>
      <c r="BC607" s="234"/>
      <c r="BD607" s="234"/>
      <c r="BE607" s="234"/>
      <c r="BF607" s="234"/>
      <c r="BG607" s="234"/>
      <c r="BH607" s="234"/>
      <c r="BI607" s="234"/>
      <c r="BJ607" s="234"/>
      <c r="BK607" s="234"/>
      <c r="BL607" s="234"/>
      <c r="BM607" s="234"/>
      <c r="BN607" s="234"/>
      <c r="BO607" s="234"/>
    </row>
    <row r="608" spans="1:67" ht="24" customHeight="1" x14ac:dyDescent="0.25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  <c r="AB608" s="234"/>
      <c r="AC608" s="234"/>
      <c r="AD608" s="234"/>
      <c r="AE608" s="234"/>
      <c r="AF608" s="234"/>
      <c r="AG608" s="234"/>
      <c r="AH608" s="234"/>
      <c r="AI608" s="234"/>
      <c r="AJ608" s="234"/>
      <c r="AK608" s="234"/>
      <c r="AL608" s="234"/>
      <c r="AM608" s="234"/>
      <c r="AN608" s="234"/>
      <c r="AO608" s="234"/>
      <c r="AP608" s="234"/>
      <c r="AQ608" s="234"/>
      <c r="AR608" s="234"/>
      <c r="AS608" s="234"/>
      <c r="AT608" s="234"/>
      <c r="AU608" s="234"/>
      <c r="AV608" s="234"/>
      <c r="AW608" s="234"/>
      <c r="AX608" s="234"/>
      <c r="AY608" s="234"/>
      <c r="AZ608" s="234"/>
      <c r="BA608" s="234"/>
      <c r="BB608" s="234"/>
      <c r="BC608" s="234"/>
      <c r="BD608" s="234"/>
      <c r="BE608" s="234"/>
      <c r="BF608" s="234"/>
      <c r="BG608" s="234"/>
      <c r="BH608" s="234"/>
      <c r="BI608" s="234"/>
      <c r="BJ608" s="234"/>
      <c r="BK608" s="234"/>
      <c r="BL608" s="234"/>
      <c r="BM608" s="234"/>
      <c r="BN608" s="234"/>
      <c r="BO608" s="234"/>
    </row>
    <row r="609" spans="1:67" ht="24" customHeight="1" x14ac:dyDescent="0.25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  <c r="AB609" s="234"/>
      <c r="AC609" s="234"/>
      <c r="AD609" s="234"/>
      <c r="AE609" s="234"/>
      <c r="AF609" s="234"/>
      <c r="AG609" s="234"/>
      <c r="AH609" s="234"/>
      <c r="AI609" s="234"/>
      <c r="AJ609" s="234"/>
      <c r="AK609" s="234"/>
      <c r="AL609" s="234"/>
      <c r="AM609" s="234"/>
      <c r="AN609" s="234"/>
      <c r="AO609" s="234"/>
      <c r="AP609" s="234"/>
      <c r="AQ609" s="234"/>
      <c r="AR609" s="234"/>
      <c r="AS609" s="234"/>
      <c r="AT609" s="234"/>
      <c r="AU609" s="234"/>
      <c r="AV609" s="234"/>
      <c r="AW609" s="234"/>
      <c r="AX609" s="234"/>
      <c r="AY609" s="234"/>
      <c r="AZ609" s="234"/>
      <c r="BA609" s="234"/>
      <c r="BB609" s="234"/>
      <c r="BC609" s="234"/>
      <c r="BD609" s="234"/>
      <c r="BE609" s="234"/>
      <c r="BF609" s="234"/>
      <c r="BG609" s="234"/>
      <c r="BH609" s="234"/>
      <c r="BI609" s="234"/>
      <c r="BJ609" s="234"/>
      <c r="BK609" s="234"/>
      <c r="BL609" s="234"/>
      <c r="BM609" s="234"/>
      <c r="BN609" s="234"/>
      <c r="BO609" s="234"/>
    </row>
    <row r="610" spans="1:67" ht="24" customHeight="1" x14ac:dyDescent="0.25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  <c r="AB610" s="234"/>
      <c r="AC610" s="234"/>
      <c r="AD610" s="234"/>
      <c r="AE610" s="234"/>
      <c r="AF610" s="234"/>
      <c r="AG610" s="234"/>
      <c r="AH610" s="234"/>
      <c r="AI610" s="234"/>
      <c r="AJ610" s="234"/>
      <c r="AK610" s="234"/>
      <c r="AL610" s="234"/>
      <c r="AM610" s="234"/>
      <c r="AN610" s="234"/>
      <c r="AO610" s="234"/>
      <c r="AP610" s="234"/>
      <c r="AQ610" s="234"/>
      <c r="AR610" s="234"/>
      <c r="AS610" s="234"/>
      <c r="AT610" s="234"/>
      <c r="AU610" s="234"/>
      <c r="AV610" s="234"/>
      <c r="AW610" s="234"/>
      <c r="AX610" s="234"/>
      <c r="AY610" s="234"/>
      <c r="AZ610" s="234"/>
      <c r="BA610" s="234"/>
      <c r="BB610" s="234"/>
      <c r="BC610" s="234"/>
      <c r="BD610" s="234"/>
      <c r="BE610" s="234"/>
      <c r="BF610" s="234"/>
      <c r="BG610" s="234"/>
      <c r="BH610" s="234"/>
      <c r="BI610" s="234"/>
      <c r="BJ610" s="234"/>
      <c r="BK610" s="234"/>
      <c r="BL610" s="234"/>
      <c r="BM610" s="234"/>
      <c r="BN610" s="234"/>
      <c r="BO610" s="234"/>
    </row>
    <row r="611" spans="1:67" ht="24" customHeight="1" x14ac:dyDescent="0.25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  <c r="AB611" s="234"/>
      <c r="AC611" s="234"/>
      <c r="AD611" s="234"/>
      <c r="AE611" s="234"/>
      <c r="AF611" s="234"/>
      <c r="AG611" s="234"/>
      <c r="AH611" s="234"/>
      <c r="AI611" s="234"/>
      <c r="AJ611" s="234"/>
      <c r="AK611" s="234"/>
      <c r="AL611" s="234"/>
      <c r="AM611" s="234"/>
      <c r="AN611" s="234"/>
      <c r="AO611" s="234"/>
      <c r="AP611" s="234"/>
      <c r="AQ611" s="234"/>
      <c r="AR611" s="234"/>
      <c r="AS611" s="234"/>
      <c r="AT611" s="234"/>
      <c r="AU611" s="234"/>
      <c r="AV611" s="234"/>
      <c r="AW611" s="234"/>
      <c r="AX611" s="234"/>
      <c r="AY611" s="234"/>
      <c r="AZ611" s="234"/>
      <c r="BA611" s="234"/>
      <c r="BB611" s="234"/>
      <c r="BC611" s="234"/>
      <c r="BD611" s="234"/>
      <c r="BE611" s="234"/>
      <c r="BF611" s="234"/>
      <c r="BG611" s="234"/>
      <c r="BH611" s="234"/>
      <c r="BI611" s="234"/>
      <c r="BJ611" s="234"/>
      <c r="BK611" s="234"/>
      <c r="BL611" s="234"/>
      <c r="BM611" s="234"/>
      <c r="BN611" s="234"/>
      <c r="BO611" s="234"/>
    </row>
    <row r="612" spans="1:67" ht="24" customHeight="1" x14ac:dyDescent="0.25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  <c r="AC612" s="234"/>
      <c r="AD612" s="234"/>
      <c r="AE612" s="234"/>
      <c r="AF612" s="234"/>
      <c r="AG612" s="234"/>
      <c r="AH612" s="234"/>
      <c r="AI612" s="234"/>
      <c r="AJ612" s="234"/>
      <c r="AK612" s="234"/>
      <c r="AL612" s="234"/>
      <c r="AM612" s="234"/>
      <c r="AN612" s="234"/>
      <c r="AO612" s="234"/>
      <c r="AP612" s="234"/>
      <c r="AQ612" s="234"/>
      <c r="AR612" s="234"/>
      <c r="AS612" s="234"/>
      <c r="AT612" s="234"/>
      <c r="AU612" s="234"/>
      <c r="AV612" s="234"/>
      <c r="AW612" s="234"/>
      <c r="AX612" s="234"/>
      <c r="AY612" s="234"/>
      <c r="AZ612" s="234"/>
      <c r="BA612" s="234"/>
      <c r="BB612" s="234"/>
      <c r="BC612" s="234"/>
      <c r="BD612" s="234"/>
      <c r="BE612" s="234"/>
      <c r="BF612" s="234"/>
      <c r="BG612" s="234"/>
      <c r="BH612" s="234"/>
      <c r="BI612" s="234"/>
      <c r="BJ612" s="234"/>
      <c r="BK612" s="234"/>
      <c r="BL612" s="234"/>
      <c r="BM612" s="234"/>
      <c r="BN612" s="234"/>
      <c r="BO612" s="234"/>
    </row>
    <row r="613" spans="1:67" ht="24" customHeight="1" x14ac:dyDescent="0.25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  <c r="AB613" s="234"/>
      <c r="AC613" s="234"/>
      <c r="AD613" s="234"/>
      <c r="AE613" s="234"/>
      <c r="AF613" s="234"/>
      <c r="AG613" s="234"/>
      <c r="AH613" s="234"/>
      <c r="AI613" s="234"/>
      <c r="AJ613" s="234"/>
      <c r="AK613" s="234"/>
      <c r="AL613" s="234"/>
      <c r="AM613" s="234"/>
      <c r="AN613" s="234"/>
      <c r="AO613" s="234"/>
      <c r="AP613" s="234"/>
      <c r="AQ613" s="234"/>
      <c r="AR613" s="234"/>
      <c r="AS613" s="234"/>
      <c r="AT613" s="234"/>
      <c r="AU613" s="234"/>
      <c r="AV613" s="234"/>
      <c r="AW613" s="234"/>
      <c r="AX613" s="234"/>
      <c r="AY613" s="234"/>
      <c r="AZ613" s="234"/>
      <c r="BA613" s="234"/>
      <c r="BB613" s="234"/>
      <c r="BC613" s="234"/>
      <c r="BD613" s="234"/>
      <c r="BE613" s="234"/>
      <c r="BF613" s="234"/>
      <c r="BG613" s="234"/>
      <c r="BH613" s="234"/>
      <c r="BI613" s="234"/>
      <c r="BJ613" s="234"/>
      <c r="BK613" s="234"/>
      <c r="BL613" s="234"/>
      <c r="BM613" s="234"/>
      <c r="BN613" s="234"/>
      <c r="BO613" s="234"/>
    </row>
    <row r="614" spans="1:67" ht="24" customHeight="1" x14ac:dyDescent="0.25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  <c r="AC614" s="234"/>
      <c r="AD614" s="234"/>
      <c r="AE614" s="234"/>
      <c r="AF614" s="234"/>
      <c r="AG614" s="234"/>
      <c r="AH614" s="234"/>
      <c r="AI614" s="234"/>
      <c r="AJ614" s="234"/>
      <c r="AK614" s="234"/>
      <c r="AL614" s="234"/>
      <c r="AM614" s="234"/>
      <c r="AN614" s="234"/>
      <c r="AO614" s="234"/>
      <c r="AP614" s="234"/>
      <c r="AQ614" s="234"/>
      <c r="AR614" s="234"/>
      <c r="AS614" s="234"/>
      <c r="AT614" s="234"/>
      <c r="AU614" s="234"/>
      <c r="AV614" s="234"/>
      <c r="AW614" s="234"/>
      <c r="AX614" s="234"/>
      <c r="AY614" s="234"/>
      <c r="AZ614" s="234"/>
      <c r="BA614" s="234"/>
      <c r="BB614" s="234"/>
      <c r="BC614" s="234"/>
      <c r="BD614" s="234"/>
      <c r="BE614" s="234"/>
      <c r="BF614" s="234"/>
      <c r="BG614" s="234"/>
      <c r="BH614" s="234"/>
      <c r="BI614" s="234"/>
      <c r="BJ614" s="234"/>
      <c r="BK614" s="234"/>
      <c r="BL614" s="234"/>
      <c r="BM614" s="234"/>
      <c r="BN614" s="234"/>
      <c r="BO614" s="234"/>
    </row>
    <row r="615" spans="1:67" ht="24" customHeight="1" x14ac:dyDescent="0.2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  <c r="AC615" s="234"/>
      <c r="AD615" s="234"/>
      <c r="AE615" s="234"/>
      <c r="AF615" s="234"/>
      <c r="AG615" s="234"/>
      <c r="AH615" s="234"/>
      <c r="AI615" s="234"/>
      <c r="AJ615" s="234"/>
      <c r="AK615" s="234"/>
      <c r="AL615" s="234"/>
      <c r="AM615" s="234"/>
      <c r="AN615" s="234"/>
      <c r="AO615" s="234"/>
      <c r="AP615" s="234"/>
      <c r="AQ615" s="234"/>
      <c r="AR615" s="234"/>
      <c r="AS615" s="234"/>
      <c r="AT615" s="234"/>
      <c r="AU615" s="234"/>
      <c r="AV615" s="234"/>
      <c r="AW615" s="234"/>
      <c r="AX615" s="234"/>
      <c r="AY615" s="234"/>
      <c r="AZ615" s="234"/>
      <c r="BA615" s="234"/>
      <c r="BB615" s="234"/>
      <c r="BC615" s="234"/>
      <c r="BD615" s="234"/>
      <c r="BE615" s="234"/>
      <c r="BF615" s="234"/>
      <c r="BG615" s="234"/>
      <c r="BH615" s="234"/>
      <c r="BI615" s="234"/>
      <c r="BJ615" s="234"/>
      <c r="BK615" s="234"/>
      <c r="BL615" s="234"/>
      <c r="BM615" s="234"/>
      <c r="BN615" s="234"/>
      <c r="BO615" s="234"/>
    </row>
    <row r="616" spans="1:67" ht="24" customHeight="1" x14ac:dyDescent="0.25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  <c r="AC616" s="234"/>
      <c r="AD616" s="234"/>
      <c r="AE616" s="234"/>
      <c r="AF616" s="234"/>
      <c r="AG616" s="234"/>
      <c r="AH616" s="234"/>
      <c r="AI616" s="234"/>
      <c r="AJ616" s="234"/>
      <c r="AK616" s="234"/>
      <c r="AL616" s="234"/>
      <c r="AM616" s="234"/>
      <c r="AN616" s="234"/>
      <c r="AO616" s="234"/>
      <c r="AP616" s="234"/>
      <c r="AQ616" s="234"/>
      <c r="AR616" s="234"/>
      <c r="AS616" s="234"/>
      <c r="AT616" s="234"/>
      <c r="AU616" s="234"/>
      <c r="AV616" s="234"/>
      <c r="AW616" s="234"/>
      <c r="AX616" s="234"/>
      <c r="AY616" s="234"/>
      <c r="AZ616" s="234"/>
      <c r="BA616" s="234"/>
      <c r="BB616" s="234"/>
      <c r="BC616" s="234"/>
      <c r="BD616" s="234"/>
      <c r="BE616" s="234"/>
      <c r="BF616" s="234"/>
      <c r="BG616" s="234"/>
      <c r="BH616" s="234"/>
      <c r="BI616" s="234"/>
      <c r="BJ616" s="234"/>
      <c r="BK616" s="234"/>
      <c r="BL616" s="234"/>
      <c r="BM616" s="234"/>
      <c r="BN616" s="234"/>
      <c r="BO616" s="234"/>
    </row>
    <row r="617" spans="1:67" ht="24" customHeight="1" x14ac:dyDescent="0.25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  <c r="AB617" s="234"/>
      <c r="AC617" s="234"/>
      <c r="AD617" s="234"/>
      <c r="AE617" s="234"/>
      <c r="AF617" s="234"/>
      <c r="AG617" s="234"/>
      <c r="AH617" s="234"/>
      <c r="AI617" s="234"/>
      <c r="AJ617" s="234"/>
      <c r="AK617" s="234"/>
      <c r="AL617" s="234"/>
      <c r="AM617" s="234"/>
      <c r="AN617" s="234"/>
      <c r="AO617" s="234"/>
      <c r="AP617" s="234"/>
      <c r="AQ617" s="234"/>
      <c r="AR617" s="234"/>
      <c r="AS617" s="234"/>
      <c r="AT617" s="234"/>
      <c r="AU617" s="234"/>
      <c r="AV617" s="234"/>
      <c r="AW617" s="234"/>
      <c r="AX617" s="234"/>
      <c r="AY617" s="234"/>
      <c r="AZ617" s="234"/>
      <c r="BA617" s="234"/>
      <c r="BB617" s="234"/>
      <c r="BC617" s="234"/>
      <c r="BD617" s="234"/>
      <c r="BE617" s="234"/>
      <c r="BF617" s="234"/>
      <c r="BG617" s="234"/>
      <c r="BH617" s="234"/>
      <c r="BI617" s="234"/>
      <c r="BJ617" s="234"/>
      <c r="BK617" s="234"/>
      <c r="BL617" s="234"/>
      <c r="BM617" s="234"/>
      <c r="BN617" s="234"/>
      <c r="BO617" s="234"/>
    </row>
    <row r="618" spans="1:67" ht="24" customHeight="1" x14ac:dyDescent="0.25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  <c r="AB618" s="234"/>
      <c r="AC618" s="234"/>
      <c r="AD618" s="234"/>
      <c r="AE618" s="234"/>
      <c r="AF618" s="234"/>
      <c r="AG618" s="234"/>
      <c r="AH618" s="234"/>
      <c r="AI618" s="234"/>
      <c r="AJ618" s="234"/>
      <c r="AK618" s="234"/>
      <c r="AL618" s="234"/>
      <c r="AM618" s="234"/>
      <c r="AN618" s="234"/>
      <c r="AO618" s="234"/>
      <c r="AP618" s="234"/>
      <c r="AQ618" s="234"/>
      <c r="AR618" s="234"/>
      <c r="AS618" s="234"/>
      <c r="AT618" s="234"/>
      <c r="AU618" s="234"/>
      <c r="AV618" s="234"/>
      <c r="AW618" s="234"/>
      <c r="AX618" s="234"/>
      <c r="AY618" s="234"/>
      <c r="AZ618" s="234"/>
      <c r="BA618" s="234"/>
      <c r="BB618" s="234"/>
      <c r="BC618" s="234"/>
      <c r="BD618" s="234"/>
      <c r="BE618" s="234"/>
      <c r="BF618" s="234"/>
      <c r="BG618" s="234"/>
      <c r="BH618" s="234"/>
      <c r="BI618" s="234"/>
      <c r="BJ618" s="234"/>
      <c r="BK618" s="234"/>
      <c r="BL618" s="234"/>
      <c r="BM618" s="234"/>
      <c r="BN618" s="234"/>
      <c r="BO618" s="234"/>
    </row>
    <row r="619" spans="1:67" ht="24" customHeight="1" x14ac:dyDescent="0.25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  <c r="AC619" s="234"/>
      <c r="AD619" s="234"/>
      <c r="AE619" s="234"/>
      <c r="AF619" s="234"/>
      <c r="AG619" s="234"/>
      <c r="AH619" s="234"/>
      <c r="AI619" s="234"/>
      <c r="AJ619" s="234"/>
      <c r="AK619" s="234"/>
      <c r="AL619" s="234"/>
      <c r="AM619" s="234"/>
      <c r="AN619" s="234"/>
      <c r="AO619" s="234"/>
      <c r="AP619" s="234"/>
      <c r="AQ619" s="234"/>
      <c r="AR619" s="234"/>
      <c r="AS619" s="234"/>
      <c r="AT619" s="234"/>
      <c r="AU619" s="234"/>
      <c r="AV619" s="234"/>
      <c r="AW619" s="234"/>
      <c r="AX619" s="234"/>
      <c r="AY619" s="234"/>
      <c r="AZ619" s="234"/>
      <c r="BA619" s="234"/>
      <c r="BB619" s="234"/>
      <c r="BC619" s="234"/>
      <c r="BD619" s="234"/>
      <c r="BE619" s="234"/>
      <c r="BF619" s="234"/>
      <c r="BG619" s="234"/>
      <c r="BH619" s="234"/>
      <c r="BI619" s="234"/>
      <c r="BJ619" s="234"/>
      <c r="BK619" s="234"/>
      <c r="BL619" s="234"/>
      <c r="BM619" s="234"/>
      <c r="BN619" s="234"/>
      <c r="BO619" s="234"/>
    </row>
    <row r="620" spans="1:67" ht="24" customHeight="1" x14ac:dyDescent="0.25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  <c r="AB620" s="234"/>
      <c r="AC620" s="234"/>
      <c r="AD620" s="234"/>
      <c r="AE620" s="234"/>
      <c r="AF620" s="234"/>
      <c r="AG620" s="234"/>
      <c r="AH620" s="234"/>
      <c r="AI620" s="234"/>
      <c r="AJ620" s="234"/>
      <c r="AK620" s="234"/>
      <c r="AL620" s="234"/>
      <c r="AM620" s="234"/>
      <c r="AN620" s="234"/>
      <c r="AO620" s="234"/>
      <c r="AP620" s="234"/>
      <c r="AQ620" s="234"/>
      <c r="AR620" s="234"/>
      <c r="AS620" s="234"/>
      <c r="AT620" s="234"/>
      <c r="AU620" s="234"/>
      <c r="AV620" s="234"/>
      <c r="AW620" s="234"/>
      <c r="AX620" s="234"/>
      <c r="AY620" s="234"/>
      <c r="AZ620" s="234"/>
      <c r="BA620" s="234"/>
      <c r="BB620" s="234"/>
      <c r="BC620" s="234"/>
      <c r="BD620" s="234"/>
      <c r="BE620" s="234"/>
      <c r="BF620" s="234"/>
      <c r="BG620" s="234"/>
      <c r="BH620" s="234"/>
      <c r="BI620" s="234"/>
      <c r="BJ620" s="234"/>
      <c r="BK620" s="234"/>
      <c r="BL620" s="234"/>
      <c r="BM620" s="234"/>
      <c r="BN620" s="234"/>
      <c r="BO620" s="234"/>
    </row>
    <row r="621" spans="1:67" ht="24" customHeight="1" x14ac:dyDescent="0.25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  <c r="AB621" s="234"/>
      <c r="AC621" s="234"/>
      <c r="AD621" s="234"/>
      <c r="AE621" s="234"/>
      <c r="AF621" s="234"/>
      <c r="AG621" s="234"/>
      <c r="AH621" s="234"/>
      <c r="AI621" s="234"/>
      <c r="AJ621" s="234"/>
      <c r="AK621" s="234"/>
      <c r="AL621" s="234"/>
      <c r="AM621" s="234"/>
      <c r="AN621" s="234"/>
      <c r="AO621" s="234"/>
      <c r="AP621" s="234"/>
      <c r="AQ621" s="234"/>
      <c r="AR621" s="234"/>
      <c r="AS621" s="234"/>
      <c r="AT621" s="234"/>
      <c r="AU621" s="234"/>
      <c r="AV621" s="234"/>
      <c r="AW621" s="234"/>
      <c r="AX621" s="234"/>
      <c r="AY621" s="234"/>
      <c r="AZ621" s="234"/>
      <c r="BA621" s="234"/>
      <c r="BB621" s="234"/>
      <c r="BC621" s="234"/>
      <c r="BD621" s="234"/>
      <c r="BE621" s="234"/>
      <c r="BF621" s="234"/>
      <c r="BG621" s="234"/>
      <c r="BH621" s="234"/>
      <c r="BI621" s="234"/>
      <c r="BJ621" s="234"/>
      <c r="BK621" s="234"/>
      <c r="BL621" s="234"/>
      <c r="BM621" s="234"/>
      <c r="BN621" s="234"/>
      <c r="BO621" s="234"/>
    </row>
    <row r="622" spans="1:67" ht="24" customHeight="1" x14ac:dyDescent="0.25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  <c r="AB622" s="234"/>
      <c r="AC622" s="234"/>
      <c r="AD622" s="234"/>
      <c r="AE622" s="234"/>
      <c r="AF622" s="234"/>
      <c r="AG622" s="234"/>
      <c r="AH622" s="234"/>
      <c r="AI622" s="234"/>
      <c r="AJ622" s="234"/>
      <c r="AK622" s="234"/>
      <c r="AL622" s="234"/>
      <c r="AM622" s="234"/>
      <c r="AN622" s="234"/>
      <c r="AO622" s="234"/>
      <c r="AP622" s="234"/>
      <c r="AQ622" s="234"/>
      <c r="AR622" s="234"/>
      <c r="AS622" s="234"/>
      <c r="AT622" s="234"/>
      <c r="AU622" s="234"/>
      <c r="AV622" s="234"/>
      <c r="AW622" s="234"/>
      <c r="AX622" s="234"/>
      <c r="AY622" s="234"/>
      <c r="AZ622" s="234"/>
      <c r="BA622" s="234"/>
      <c r="BB622" s="234"/>
      <c r="BC622" s="234"/>
      <c r="BD622" s="234"/>
      <c r="BE622" s="234"/>
      <c r="BF622" s="234"/>
      <c r="BG622" s="234"/>
      <c r="BH622" s="234"/>
      <c r="BI622" s="234"/>
      <c r="BJ622" s="234"/>
      <c r="BK622" s="234"/>
      <c r="BL622" s="234"/>
      <c r="BM622" s="234"/>
      <c r="BN622" s="234"/>
      <c r="BO622" s="234"/>
    </row>
    <row r="623" spans="1:67" ht="24" customHeight="1" x14ac:dyDescent="0.25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  <c r="AB623" s="234"/>
      <c r="AC623" s="234"/>
      <c r="AD623" s="234"/>
      <c r="AE623" s="234"/>
      <c r="AF623" s="234"/>
      <c r="AG623" s="234"/>
      <c r="AH623" s="234"/>
      <c r="AI623" s="234"/>
      <c r="AJ623" s="234"/>
      <c r="AK623" s="234"/>
      <c r="AL623" s="234"/>
      <c r="AM623" s="234"/>
      <c r="AN623" s="234"/>
      <c r="AO623" s="234"/>
      <c r="AP623" s="234"/>
      <c r="AQ623" s="234"/>
      <c r="AR623" s="234"/>
      <c r="AS623" s="234"/>
      <c r="AT623" s="234"/>
      <c r="AU623" s="234"/>
      <c r="AV623" s="234"/>
      <c r="AW623" s="234"/>
      <c r="AX623" s="234"/>
      <c r="AY623" s="234"/>
      <c r="AZ623" s="234"/>
      <c r="BA623" s="234"/>
      <c r="BB623" s="234"/>
      <c r="BC623" s="234"/>
      <c r="BD623" s="234"/>
      <c r="BE623" s="234"/>
      <c r="BF623" s="234"/>
      <c r="BG623" s="234"/>
      <c r="BH623" s="234"/>
      <c r="BI623" s="234"/>
      <c r="BJ623" s="234"/>
      <c r="BK623" s="234"/>
      <c r="BL623" s="234"/>
      <c r="BM623" s="234"/>
      <c r="BN623" s="234"/>
      <c r="BO623" s="234"/>
    </row>
    <row r="624" spans="1:67" ht="24" customHeight="1" x14ac:dyDescent="0.25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  <c r="AB624" s="234"/>
      <c r="AC624" s="234"/>
      <c r="AD624" s="234"/>
      <c r="AE624" s="234"/>
      <c r="AF624" s="234"/>
      <c r="AG624" s="234"/>
      <c r="AH624" s="234"/>
      <c r="AI624" s="234"/>
      <c r="AJ624" s="234"/>
      <c r="AK624" s="234"/>
      <c r="AL624" s="234"/>
      <c r="AM624" s="234"/>
      <c r="AN624" s="234"/>
      <c r="AO624" s="234"/>
      <c r="AP624" s="234"/>
      <c r="AQ624" s="234"/>
      <c r="AR624" s="234"/>
      <c r="AS624" s="234"/>
      <c r="AT624" s="234"/>
      <c r="AU624" s="234"/>
      <c r="AV624" s="234"/>
      <c r="AW624" s="234"/>
      <c r="AX624" s="234"/>
      <c r="AY624" s="234"/>
      <c r="AZ624" s="234"/>
      <c r="BA624" s="234"/>
      <c r="BB624" s="234"/>
      <c r="BC624" s="234"/>
      <c r="BD624" s="234"/>
      <c r="BE624" s="234"/>
      <c r="BF624" s="234"/>
      <c r="BG624" s="234"/>
      <c r="BH624" s="234"/>
      <c r="BI624" s="234"/>
      <c r="BJ624" s="234"/>
      <c r="BK624" s="234"/>
      <c r="BL624" s="234"/>
      <c r="BM624" s="234"/>
      <c r="BN624" s="234"/>
      <c r="BO624" s="234"/>
    </row>
    <row r="625" spans="1:67" ht="24" customHeight="1" x14ac:dyDescent="0.2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  <c r="AB625" s="234"/>
      <c r="AC625" s="234"/>
      <c r="AD625" s="234"/>
      <c r="AE625" s="234"/>
      <c r="AF625" s="234"/>
      <c r="AG625" s="234"/>
      <c r="AH625" s="234"/>
      <c r="AI625" s="234"/>
      <c r="AJ625" s="234"/>
      <c r="AK625" s="234"/>
      <c r="AL625" s="234"/>
      <c r="AM625" s="234"/>
      <c r="AN625" s="234"/>
      <c r="AO625" s="234"/>
      <c r="AP625" s="234"/>
      <c r="AQ625" s="234"/>
      <c r="AR625" s="234"/>
      <c r="AS625" s="234"/>
      <c r="AT625" s="234"/>
      <c r="AU625" s="234"/>
      <c r="AV625" s="234"/>
      <c r="AW625" s="234"/>
      <c r="AX625" s="234"/>
      <c r="AY625" s="234"/>
      <c r="AZ625" s="234"/>
      <c r="BA625" s="234"/>
      <c r="BB625" s="234"/>
      <c r="BC625" s="234"/>
      <c r="BD625" s="234"/>
      <c r="BE625" s="234"/>
      <c r="BF625" s="234"/>
      <c r="BG625" s="234"/>
      <c r="BH625" s="234"/>
      <c r="BI625" s="234"/>
      <c r="BJ625" s="234"/>
      <c r="BK625" s="234"/>
      <c r="BL625" s="234"/>
      <c r="BM625" s="234"/>
      <c r="BN625" s="234"/>
      <c r="BO625" s="234"/>
    </row>
    <row r="626" spans="1:67" ht="24" customHeight="1" x14ac:dyDescent="0.25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  <c r="AB626" s="234"/>
      <c r="AC626" s="234"/>
      <c r="AD626" s="234"/>
      <c r="AE626" s="234"/>
      <c r="AF626" s="234"/>
      <c r="AG626" s="234"/>
      <c r="AH626" s="234"/>
      <c r="AI626" s="234"/>
      <c r="AJ626" s="234"/>
      <c r="AK626" s="234"/>
      <c r="AL626" s="234"/>
      <c r="AM626" s="234"/>
      <c r="AN626" s="234"/>
      <c r="AO626" s="234"/>
      <c r="AP626" s="234"/>
      <c r="AQ626" s="234"/>
      <c r="AR626" s="234"/>
      <c r="AS626" s="234"/>
      <c r="AT626" s="234"/>
      <c r="AU626" s="234"/>
      <c r="AV626" s="234"/>
      <c r="AW626" s="234"/>
      <c r="AX626" s="234"/>
      <c r="AY626" s="234"/>
      <c r="AZ626" s="234"/>
      <c r="BA626" s="234"/>
      <c r="BB626" s="234"/>
      <c r="BC626" s="234"/>
      <c r="BD626" s="234"/>
      <c r="BE626" s="234"/>
      <c r="BF626" s="234"/>
      <c r="BG626" s="234"/>
      <c r="BH626" s="234"/>
      <c r="BI626" s="234"/>
      <c r="BJ626" s="234"/>
      <c r="BK626" s="234"/>
      <c r="BL626" s="234"/>
      <c r="BM626" s="234"/>
      <c r="BN626" s="234"/>
      <c r="BO626" s="234"/>
    </row>
    <row r="627" spans="1:67" ht="24" customHeight="1" x14ac:dyDescent="0.25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  <c r="AB627" s="234"/>
      <c r="AC627" s="234"/>
      <c r="AD627" s="234"/>
      <c r="AE627" s="234"/>
      <c r="AF627" s="234"/>
      <c r="AG627" s="234"/>
      <c r="AH627" s="234"/>
      <c r="AI627" s="234"/>
      <c r="AJ627" s="234"/>
      <c r="AK627" s="234"/>
      <c r="AL627" s="234"/>
      <c r="AM627" s="234"/>
      <c r="AN627" s="234"/>
      <c r="AO627" s="234"/>
      <c r="AP627" s="234"/>
      <c r="AQ627" s="234"/>
      <c r="AR627" s="234"/>
      <c r="AS627" s="234"/>
      <c r="AT627" s="234"/>
      <c r="AU627" s="234"/>
      <c r="AV627" s="234"/>
      <c r="AW627" s="234"/>
      <c r="AX627" s="234"/>
      <c r="AY627" s="234"/>
      <c r="AZ627" s="234"/>
      <c r="BA627" s="234"/>
      <c r="BB627" s="234"/>
      <c r="BC627" s="234"/>
      <c r="BD627" s="234"/>
      <c r="BE627" s="234"/>
      <c r="BF627" s="234"/>
      <c r="BG627" s="234"/>
      <c r="BH627" s="234"/>
      <c r="BI627" s="234"/>
      <c r="BJ627" s="234"/>
      <c r="BK627" s="234"/>
      <c r="BL627" s="234"/>
      <c r="BM627" s="234"/>
      <c r="BN627" s="234"/>
      <c r="BO627" s="234"/>
    </row>
    <row r="628" spans="1:67" ht="24" customHeight="1" x14ac:dyDescent="0.25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  <c r="AB628" s="234"/>
      <c r="AC628" s="234"/>
      <c r="AD628" s="234"/>
      <c r="AE628" s="234"/>
      <c r="AF628" s="234"/>
      <c r="AG628" s="234"/>
      <c r="AH628" s="234"/>
      <c r="AI628" s="234"/>
      <c r="AJ628" s="234"/>
      <c r="AK628" s="234"/>
      <c r="AL628" s="234"/>
      <c r="AM628" s="234"/>
      <c r="AN628" s="234"/>
      <c r="AO628" s="234"/>
      <c r="AP628" s="234"/>
      <c r="AQ628" s="234"/>
      <c r="AR628" s="234"/>
      <c r="AS628" s="234"/>
      <c r="AT628" s="234"/>
      <c r="AU628" s="234"/>
      <c r="AV628" s="234"/>
      <c r="AW628" s="234"/>
      <c r="AX628" s="234"/>
      <c r="AY628" s="234"/>
      <c r="AZ628" s="234"/>
      <c r="BA628" s="234"/>
      <c r="BB628" s="234"/>
      <c r="BC628" s="234"/>
      <c r="BD628" s="234"/>
      <c r="BE628" s="234"/>
      <c r="BF628" s="234"/>
      <c r="BG628" s="234"/>
      <c r="BH628" s="234"/>
      <c r="BI628" s="234"/>
      <c r="BJ628" s="234"/>
      <c r="BK628" s="234"/>
      <c r="BL628" s="234"/>
      <c r="BM628" s="234"/>
      <c r="BN628" s="234"/>
      <c r="BO628" s="234"/>
    </row>
    <row r="629" spans="1:67" ht="24" customHeight="1" x14ac:dyDescent="0.25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  <c r="AB629" s="234"/>
      <c r="AC629" s="234"/>
      <c r="AD629" s="234"/>
      <c r="AE629" s="234"/>
      <c r="AF629" s="234"/>
      <c r="AG629" s="234"/>
      <c r="AH629" s="234"/>
      <c r="AI629" s="234"/>
      <c r="AJ629" s="234"/>
      <c r="AK629" s="234"/>
      <c r="AL629" s="234"/>
      <c r="AM629" s="234"/>
      <c r="AN629" s="234"/>
      <c r="AO629" s="234"/>
      <c r="AP629" s="234"/>
      <c r="AQ629" s="234"/>
      <c r="AR629" s="234"/>
      <c r="AS629" s="234"/>
      <c r="AT629" s="234"/>
      <c r="AU629" s="234"/>
      <c r="AV629" s="234"/>
      <c r="AW629" s="234"/>
      <c r="AX629" s="234"/>
      <c r="AY629" s="234"/>
      <c r="AZ629" s="234"/>
      <c r="BA629" s="234"/>
      <c r="BB629" s="234"/>
      <c r="BC629" s="234"/>
      <c r="BD629" s="234"/>
      <c r="BE629" s="234"/>
      <c r="BF629" s="234"/>
      <c r="BG629" s="234"/>
      <c r="BH629" s="234"/>
      <c r="BI629" s="234"/>
      <c r="BJ629" s="234"/>
      <c r="BK629" s="234"/>
      <c r="BL629" s="234"/>
      <c r="BM629" s="234"/>
      <c r="BN629" s="234"/>
      <c r="BO629" s="234"/>
    </row>
    <row r="630" spans="1:67" ht="24" customHeight="1" x14ac:dyDescent="0.25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  <c r="AB630" s="234"/>
      <c r="AC630" s="234"/>
      <c r="AD630" s="234"/>
      <c r="AE630" s="234"/>
      <c r="AF630" s="234"/>
      <c r="AG630" s="234"/>
      <c r="AH630" s="234"/>
      <c r="AI630" s="234"/>
      <c r="AJ630" s="234"/>
      <c r="AK630" s="234"/>
      <c r="AL630" s="234"/>
      <c r="AM630" s="234"/>
      <c r="AN630" s="234"/>
      <c r="AO630" s="234"/>
      <c r="AP630" s="234"/>
      <c r="AQ630" s="234"/>
      <c r="AR630" s="234"/>
      <c r="AS630" s="234"/>
      <c r="AT630" s="234"/>
      <c r="AU630" s="234"/>
      <c r="AV630" s="234"/>
      <c r="AW630" s="234"/>
      <c r="AX630" s="234"/>
      <c r="AY630" s="234"/>
      <c r="AZ630" s="234"/>
      <c r="BA630" s="234"/>
      <c r="BB630" s="234"/>
      <c r="BC630" s="234"/>
      <c r="BD630" s="234"/>
      <c r="BE630" s="234"/>
      <c r="BF630" s="234"/>
      <c r="BG630" s="234"/>
      <c r="BH630" s="234"/>
      <c r="BI630" s="234"/>
      <c r="BJ630" s="234"/>
      <c r="BK630" s="234"/>
      <c r="BL630" s="234"/>
      <c r="BM630" s="234"/>
      <c r="BN630" s="234"/>
      <c r="BO630" s="234"/>
    </row>
    <row r="631" spans="1:67" ht="24" customHeight="1" x14ac:dyDescent="0.25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  <c r="AB631" s="234"/>
      <c r="AC631" s="234"/>
      <c r="AD631" s="234"/>
      <c r="AE631" s="234"/>
      <c r="AF631" s="234"/>
      <c r="AG631" s="234"/>
      <c r="AH631" s="234"/>
      <c r="AI631" s="234"/>
      <c r="AJ631" s="234"/>
      <c r="AK631" s="234"/>
      <c r="AL631" s="234"/>
      <c r="AM631" s="234"/>
      <c r="AN631" s="234"/>
      <c r="AO631" s="234"/>
      <c r="AP631" s="234"/>
      <c r="AQ631" s="234"/>
      <c r="AR631" s="234"/>
      <c r="AS631" s="234"/>
      <c r="AT631" s="234"/>
      <c r="AU631" s="234"/>
      <c r="AV631" s="234"/>
      <c r="AW631" s="234"/>
      <c r="AX631" s="234"/>
      <c r="AY631" s="234"/>
      <c r="AZ631" s="234"/>
      <c r="BA631" s="234"/>
      <c r="BB631" s="234"/>
      <c r="BC631" s="234"/>
      <c r="BD631" s="234"/>
      <c r="BE631" s="234"/>
      <c r="BF631" s="234"/>
      <c r="BG631" s="234"/>
      <c r="BH631" s="234"/>
      <c r="BI631" s="234"/>
      <c r="BJ631" s="234"/>
      <c r="BK631" s="234"/>
      <c r="BL631" s="234"/>
      <c r="BM631" s="234"/>
      <c r="BN631" s="234"/>
      <c r="BO631" s="234"/>
    </row>
    <row r="632" spans="1:67" ht="24" customHeight="1" x14ac:dyDescent="0.25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  <c r="AB632" s="234"/>
      <c r="AC632" s="234"/>
      <c r="AD632" s="234"/>
      <c r="AE632" s="234"/>
      <c r="AF632" s="234"/>
      <c r="AG632" s="234"/>
      <c r="AH632" s="234"/>
      <c r="AI632" s="234"/>
      <c r="AJ632" s="234"/>
      <c r="AK632" s="234"/>
      <c r="AL632" s="234"/>
      <c r="AM632" s="234"/>
      <c r="AN632" s="234"/>
      <c r="AO632" s="234"/>
      <c r="AP632" s="234"/>
      <c r="AQ632" s="234"/>
      <c r="AR632" s="234"/>
      <c r="AS632" s="234"/>
      <c r="AT632" s="234"/>
      <c r="AU632" s="234"/>
      <c r="AV632" s="234"/>
      <c r="AW632" s="234"/>
      <c r="AX632" s="234"/>
      <c r="AY632" s="234"/>
      <c r="AZ632" s="234"/>
      <c r="BA632" s="234"/>
      <c r="BB632" s="234"/>
      <c r="BC632" s="234"/>
      <c r="BD632" s="234"/>
      <c r="BE632" s="234"/>
      <c r="BF632" s="234"/>
      <c r="BG632" s="234"/>
      <c r="BH632" s="234"/>
      <c r="BI632" s="234"/>
      <c r="BJ632" s="234"/>
      <c r="BK632" s="234"/>
      <c r="BL632" s="234"/>
      <c r="BM632" s="234"/>
      <c r="BN632" s="234"/>
      <c r="BO632" s="234"/>
    </row>
    <row r="633" spans="1:67" ht="24" customHeight="1" x14ac:dyDescent="0.25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  <c r="AB633" s="234"/>
      <c r="AC633" s="234"/>
      <c r="AD633" s="234"/>
      <c r="AE633" s="234"/>
      <c r="AF633" s="234"/>
      <c r="AG633" s="234"/>
      <c r="AH633" s="234"/>
      <c r="AI633" s="234"/>
      <c r="AJ633" s="234"/>
      <c r="AK633" s="234"/>
      <c r="AL633" s="234"/>
      <c r="AM633" s="234"/>
      <c r="AN633" s="234"/>
      <c r="AO633" s="234"/>
      <c r="AP633" s="234"/>
      <c r="AQ633" s="234"/>
      <c r="AR633" s="234"/>
      <c r="AS633" s="234"/>
      <c r="AT633" s="234"/>
      <c r="AU633" s="234"/>
      <c r="AV633" s="234"/>
      <c r="AW633" s="234"/>
      <c r="AX633" s="234"/>
      <c r="AY633" s="234"/>
      <c r="AZ633" s="234"/>
      <c r="BA633" s="234"/>
      <c r="BB633" s="234"/>
      <c r="BC633" s="234"/>
      <c r="BD633" s="234"/>
      <c r="BE633" s="234"/>
      <c r="BF633" s="234"/>
      <c r="BG633" s="234"/>
      <c r="BH633" s="234"/>
      <c r="BI633" s="234"/>
      <c r="BJ633" s="234"/>
      <c r="BK633" s="234"/>
      <c r="BL633" s="234"/>
      <c r="BM633" s="234"/>
      <c r="BN633" s="234"/>
      <c r="BO633" s="234"/>
    </row>
    <row r="634" spans="1:67" ht="24" customHeight="1" x14ac:dyDescent="0.25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  <c r="AB634" s="234"/>
      <c r="AC634" s="234"/>
      <c r="AD634" s="234"/>
      <c r="AE634" s="234"/>
      <c r="AF634" s="234"/>
      <c r="AG634" s="234"/>
      <c r="AH634" s="234"/>
      <c r="AI634" s="234"/>
      <c r="AJ634" s="234"/>
      <c r="AK634" s="234"/>
      <c r="AL634" s="234"/>
      <c r="AM634" s="234"/>
      <c r="AN634" s="234"/>
      <c r="AO634" s="234"/>
      <c r="AP634" s="234"/>
      <c r="AQ634" s="234"/>
      <c r="AR634" s="234"/>
      <c r="AS634" s="234"/>
      <c r="AT634" s="234"/>
      <c r="AU634" s="234"/>
      <c r="AV634" s="234"/>
      <c r="AW634" s="234"/>
      <c r="AX634" s="234"/>
      <c r="AY634" s="234"/>
      <c r="AZ634" s="234"/>
      <c r="BA634" s="234"/>
      <c r="BB634" s="234"/>
      <c r="BC634" s="234"/>
      <c r="BD634" s="234"/>
      <c r="BE634" s="234"/>
      <c r="BF634" s="234"/>
      <c r="BG634" s="234"/>
      <c r="BH634" s="234"/>
      <c r="BI634" s="234"/>
      <c r="BJ634" s="234"/>
      <c r="BK634" s="234"/>
      <c r="BL634" s="234"/>
      <c r="BM634" s="234"/>
      <c r="BN634" s="234"/>
      <c r="BO634" s="234"/>
    </row>
    <row r="635" spans="1:67" ht="24" customHeight="1" x14ac:dyDescent="0.2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  <c r="AB635" s="234"/>
      <c r="AC635" s="234"/>
      <c r="AD635" s="234"/>
      <c r="AE635" s="234"/>
      <c r="AF635" s="234"/>
      <c r="AG635" s="234"/>
      <c r="AH635" s="234"/>
      <c r="AI635" s="234"/>
      <c r="AJ635" s="234"/>
      <c r="AK635" s="234"/>
      <c r="AL635" s="234"/>
      <c r="AM635" s="234"/>
      <c r="AN635" s="234"/>
      <c r="AO635" s="234"/>
      <c r="AP635" s="234"/>
      <c r="AQ635" s="234"/>
      <c r="AR635" s="234"/>
      <c r="AS635" s="234"/>
      <c r="AT635" s="234"/>
      <c r="AU635" s="234"/>
      <c r="AV635" s="234"/>
      <c r="AW635" s="234"/>
      <c r="AX635" s="234"/>
      <c r="AY635" s="234"/>
      <c r="AZ635" s="234"/>
      <c r="BA635" s="234"/>
      <c r="BB635" s="234"/>
      <c r="BC635" s="234"/>
      <c r="BD635" s="234"/>
      <c r="BE635" s="234"/>
      <c r="BF635" s="234"/>
      <c r="BG635" s="234"/>
      <c r="BH635" s="234"/>
      <c r="BI635" s="234"/>
      <c r="BJ635" s="234"/>
      <c r="BK635" s="234"/>
      <c r="BL635" s="234"/>
      <c r="BM635" s="234"/>
      <c r="BN635" s="234"/>
      <c r="BO635" s="234"/>
    </row>
    <row r="636" spans="1:67" ht="24" customHeight="1" x14ac:dyDescent="0.25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  <c r="AB636" s="234"/>
      <c r="AC636" s="234"/>
      <c r="AD636" s="234"/>
      <c r="AE636" s="234"/>
      <c r="AF636" s="234"/>
      <c r="AG636" s="234"/>
      <c r="AH636" s="234"/>
      <c r="AI636" s="234"/>
      <c r="AJ636" s="234"/>
      <c r="AK636" s="234"/>
      <c r="AL636" s="234"/>
      <c r="AM636" s="234"/>
      <c r="AN636" s="234"/>
      <c r="AO636" s="234"/>
      <c r="AP636" s="234"/>
      <c r="AQ636" s="234"/>
      <c r="AR636" s="234"/>
      <c r="AS636" s="234"/>
      <c r="AT636" s="234"/>
      <c r="AU636" s="234"/>
      <c r="AV636" s="234"/>
      <c r="AW636" s="234"/>
      <c r="AX636" s="234"/>
      <c r="AY636" s="234"/>
      <c r="AZ636" s="234"/>
      <c r="BA636" s="234"/>
      <c r="BB636" s="234"/>
      <c r="BC636" s="234"/>
      <c r="BD636" s="234"/>
      <c r="BE636" s="234"/>
      <c r="BF636" s="234"/>
      <c r="BG636" s="234"/>
      <c r="BH636" s="234"/>
      <c r="BI636" s="234"/>
      <c r="BJ636" s="234"/>
      <c r="BK636" s="234"/>
      <c r="BL636" s="234"/>
      <c r="BM636" s="234"/>
      <c r="BN636" s="234"/>
      <c r="BO636" s="234"/>
    </row>
    <row r="637" spans="1:67" ht="24" customHeight="1" x14ac:dyDescent="0.25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  <c r="AB637" s="234"/>
      <c r="AC637" s="234"/>
      <c r="AD637" s="234"/>
      <c r="AE637" s="234"/>
      <c r="AF637" s="234"/>
      <c r="AG637" s="234"/>
      <c r="AH637" s="234"/>
      <c r="AI637" s="234"/>
      <c r="AJ637" s="234"/>
      <c r="AK637" s="234"/>
      <c r="AL637" s="234"/>
      <c r="AM637" s="234"/>
      <c r="AN637" s="234"/>
      <c r="AO637" s="234"/>
      <c r="AP637" s="234"/>
      <c r="AQ637" s="234"/>
      <c r="AR637" s="234"/>
      <c r="AS637" s="234"/>
      <c r="AT637" s="234"/>
      <c r="AU637" s="234"/>
      <c r="AV637" s="234"/>
      <c r="AW637" s="234"/>
      <c r="AX637" s="234"/>
      <c r="AY637" s="234"/>
      <c r="AZ637" s="234"/>
      <c r="BA637" s="234"/>
      <c r="BB637" s="234"/>
      <c r="BC637" s="234"/>
      <c r="BD637" s="234"/>
      <c r="BE637" s="234"/>
      <c r="BF637" s="234"/>
      <c r="BG637" s="234"/>
      <c r="BH637" s="234"/>
      <c r="BI637" s="234"/>
      <c r="BJ637" s="234"/>
      <c r="BK637" s="234"/>
      <c r="BL637" s="234"/>
      <c r="BM637" s="234"/>
      <c r="BN637" s="234"/>
      <c r="BO637" s="234"/>
    </row>
    <row r="638" spans="1:67" ht="24" customHeight="1" x14ac:dyDescent="0.25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  <c r="AB638" s="234"/>
      <c r="AC638" s="234"/>
      <c r="AD638" s="234"/>
      <c r="AE638" s="234"/>
      <c r="AF638" s="234"/>
      <c r="AG638" s="234"/>
      <c r="AH638" s="234"/>
      <c r="AI638" s="234"/>
      <c r="AJ638" s="234"/>
      <c r="AK638" s="234"/>
      <c r="AL638" s="234"/>
      <c r="AM638" s="234"/>
      <c r="AN638" s="234"/>
      <c r="AO638" s="234"/>
      <c r="AP638" s="234"/>
      <c r="AQ638" s="234"/>
      <c r="AR638" s="234"/>
      <c r="AS638" s="234"/>
      <c r="AT638" s="234"/>
      <c r="AU638" s="234"/>
      <c r="AV638" s="234"/>
      <c r="AW638" s="234"/>
      <c r="AX638" s="234"/>
      <c r="AY638" s="234"/>
      <c r="AZ638" s="234"/>
      <c r="BA638" s="234"/>
      <c r="BB638" s="234"/>
      <c r="BC638" s="234"/>
      <c r="BD638" s="234"/>
      <c r="BE638" s="234"/>
      <c r="BF638" s="234"/>
      <c r="BG638" s="234"/>
      <c r="BH638" s="234"/>
      <c r="BI638" s="234"/>
      <c r="BJ638" s="234"/>
      <c r="BK638" s="234"/>
      <c r="BL638" s="234"/>
      <c r="BM638" s="234"/>
      <c r="BN638" s="234"/>
      <c r="BO638" s="234"/>
    </row>
    <row r="639" spans="1:67" ht="24" customHeight="1" x14ac:dyDescent="0.25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  <c r="AB639" s="234"/>
      <c r="AC639" s="234"/>
      <c r="AD639" s="234"/>
      <c r="AE639" s="234"/>
      <c r="AF639" s="234"/>
      <c r="AG639" s="234"/>
      <c r="AH639" s="234"/>
      <c r="AI639" s="234"/>
      <c r="AJ639" s="234"/>
      <c r="AK639" s="234"/>
      <c r="AL639" s="234"/>
      <c r="AM639" s="234"/>
      <c r="AN639" s="234"/>
      <c r="AO639" s="234"/>
      <c r="AP639" s="234"/>
      <c r="AQ639" s="234"/>
      <c r="AR639" s="234"/>
      <c r="AS639" s="234"/>
      <c r="AT639" s="234"/>
      <c r="AU639" s="234"/>
      <c r="AV639" s="234"/>
      <c r="AW639" s="234"/>
      <c r="AX639" s="234"/>
      <c r="AY639" s="234"/>
      <c r="AZ639" s="234"/>
      <c r="BA639" s="234"/>
      <c r="BB639" s="234"/>
      <c r="BC639" s="234"/>
      <c r="BD639" s="234"/>
      <c r="BE639" s="234"/>
      <c r="BF639" s="234"/>
      <c r="BG639" s="234"/>
      <c r="BH639" s="234"/>
      <c r="BI639" s="234"/>
      <c r="BJ639" s="234"/>
      <c r="BK639" s="234"/>
      <c r="BL639" s="234"/>
      <c r="BM639" s="234"/>
      <c r="BN639" s="234"/>
      <c r="BO639" s="234"/>
    </row>
    <row r="640" spans="1:67" ht="24" customHeight="1" x14ac:dyDescent="0.25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  <c r="AB640" s="234"/>
      <c r="AC640" s="234"/>
      <c r="AD640" s="234"/>
      <c r="AE640" s="234"/>
      <c r="AF640" s="234"/>
      <c r="AG640" s="234"/>
      <c r="AH640" s="234"/>
      <c r="AI640" s="234"/>
      <c r="AJ640" s="234"/>
      <c r="AK640" s="234"/>
      <c r="AL640" s="234"/>
      <c r="AM640" s="234"/>
      <c r="AN640" s="234"/>
      <c r="AO640" s="234"/>
      <c r="AP640" s="234"/>
      <c r="AQ640" s="234"/>
      <c r="AR640" s="234"/>
      <c r="AS640" s="234"/>
      <c r="AT640" s="234"/>
      <c r="AU640" s="234"/>
      <c r="AV640" s="234"/>
      <c r="AW640" s="234"/>
      <c r="AX640" s="234"/>
      <c r="AY640" s="234"/>
      <c r="AZ640" s="234"/>
      <c r="BA640" s="234"/>
      <c r="BB640" s="234"/>
      <c r="BC640" s="234"/>
      <c r="BD640" s="234"/>
      <c r="BE640" s="234"/>
      <c r="BF640" s="234"/>
      <c r="BG640" s="234"/>
      <c r="BH640" s="234"/>
      <c r="BI640" s="234"/>
      <c r="BJ640" s="234"/>
      <c r="BK640" s="234"/>
      <c r="BL640" s="234"/>
      <c r="BM640" s="234"/>
      <c r="BN640" s="234"/>
      <c r="BO640" s="234"/>
    </row>
    <row r="641" spans="1:67" ht="24" customHeight="1" x14ac:dyDescent="0.25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  <c r="AB641" s="234"/>
      <c r="AC641" s="234"/>
      <c r="AD641" s="234"/>
      <c r="AE641" s="234"/>
      <c r="AF641" s="234"/>
      <c r="AG641" s="234"/>
      <c r="AH641" s="234"/>
      <c r="AI641" s="234"/>
      <c r="AJ641" s="234"/>
      <c r="AK641" s="234"/>
      <c r="AL641" s="234"/>
      <c r="AM641" s="234"/>
      <c r="AN641" s="234"/>
      <c r="AO641" s="234"/>
      <c r="AP641" s="234"/>
      <c r="AQ641" s="234"/>
      <c r="AR641" s="234"/>
      <c r="AS641" s="234"/>
      <c r="AT641" s="234"/>
      <c r="AU641" s="234"/>
      <c r="AV641" s="234"/>
      <c r="AW641" s="234"/>
      <c r="AX641" s="234"/>
      <c r="AY641" s="234"/>
      <c r="AZ641" s="234"/>
      <c r="BA641" s="234"/>
      <c r="BB641" s="234"/>
      <c r="BC641" s="234"/>
      <c r="BD641" s="234"/>
      <c r="BE641" s="234"/>
      <c r="BF641" s="234"/>
      <c r="BG641" s="234"/>
      <c r="BH641" s="234"/>
      <c r="BI641" s="234"/>
      <c r="BJ641" s="234"/>
      <c r="BK641" s="234"/>
      <c r="BL641" s="234"/>
      <c r="BM641" s="234"/>
      <c r="BN641" s="234"/>
      <c r="BO641" s="234"/>
    </row>
    <row r="642" spans="1:67" ht="24" customHeight="1" x14ac:dyDescent="0.25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  <c r="AB642" s="234"/>
      <c r="AC642" s="234"/>
      <c r="AD642" s="234"/>
      <c r="AE642" s="234"/>
      <c r="AF642" s="234"/>
      <c r="AG642" s="234"/>
      <c r="AH642" s="234"/>
      <c r="AI642" s="234"/>
      <c r="AJ642" s="234"/>
      <c r="AK642" s="234"/>
      <c r="AL642" s="234"/>
      <c r="AM642" s="234"/>
      <c r="AN642" s="234"/>
      <c r="AO642" s="234"/>
      <c r="AP642" s="234"/>
      <c r="AQ642" s="234"/>
      <c r="AR642" s="234"/>
      <c r="AS642" s="234"/>
      <c r="AT642" s="234"/>
      <c r="AU642" s="234"/>
      <c r="AV642" s="234"/>
      <c r="AW642" s="234"/>
      <c r="AX642" s="234"/>
      <c r="AY642" s="234"/>
      <c r="AZ642" s="234"/>
      <c r="BA642" s="234"/>
      <c r="BB642" s="234"/>
      <c r="BC642" s="234"/>
      <c r="BD642" s="234"/>
      <c r="BE642" s="234"/>
      <c r="BF642" s="234"/>
      <c r="BG642" s="234"/>
      <c r="BH642" s="234"/>
      <c r="BI642" s="234"/>
      <c r="BJ642" s="234"/>
      <c r="BK642" s="234"/>
      <c r="BL642" s="234"/>
      <c r="BM642" s="234"/>
      <c r="BN642" s="234"/>
      <c r="BO642" s="234"/>
    </row>
    <row r="643" spans="1:67" ht="24" customHeight="1" x14ac:dyDescent="0.25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  <c r="AB643" s="234"/>
      <c r="AC643" s="234"/>
      <c r="AD643" s="234"/>
      <c r="AE643" s="234"/>
      <c r="AF643" s="234"/>
      <c r="AG643" s="234"/>
      <c r="AH643" s="234"/>
      <c r="AI643" s="234"/>
      <c r="AJ643" s="234"/>
      <c r="AK643" s="234"/>
      <c r="AL643" s="234"/>
      <c r="AM643" s="234"/>
      <c r="AN643" s="234"/>
      <c r="AO643" s="234"/>
      <c r="AP643" s="234"/>
      <c r="AQ643" s="234"/>
      <c r="AR643" s="234"/>
      <c r="AS643" s="234"/>
      <c r="AT643" s="234"/>
      <c r="AU643" s="234"/>
      <c r="AV643" s="234"/>
      <c r="AW643" s="234"/>
      <c r="AX643" s="234"/>
      <c r="AY643" s="234"/>
      <c r="AZ643" s="234"/>
      <c r="BA643" s="234"/>
      <c r="BB643" s="234"/>
      <c r="BC643" s="234"/>
      <c r="BD643" s="234"/>
      <c r="BE643" s="234"/>
      <c r="BF643" s="234"/>
      <c r="BG643" s="234"/>
      <c r="BH643" s="234"/>
      <c r="BI643" s="234"/>
      <c r="BJ643" s="234"/>
      <c r="BK643" s="234"/>
      <c r="BL643" s="234"/>
      <c r="BM643" s="234"/>
      <c r="BN643" s="234"/>
      <c r="BO643" s="234"/>
    </row>
    <row r="644" spans="1:67" ht="24" customHeight="1" x14ac:dyDescent="0.25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  <c r="AB644" s="234"/>
      <c r="AC644" s="234"/>
      <c r="AD644" s="234"/>
      <c r="AE644" s="234"/>
      <c r="AF644" s="234"/>
      <c r="AG644" s="234"/>
      <c r="AH644" s="234"/>
      <c r="AI644" s="234"/>
      <c r="AJ644" s="234"/>
      <c r="AK644" s="234"/>
      <c r="AL644" s="234"/>
      <c r="AM644" s="234"/>
      <c r="AN644" s="234"/>
      <c r="AO644" s="234"/>
      <c r="AP644" s="234"/>
      <c r="AQ644" s="234"/>
      <c r="AR644" s="234"/>
      <c r="AS644" s="234"/>
      <c r="AT644" s="234"/>
      <c r="AU644" s="234"/>
      <c r="AV644" s="234"/>
      <c r="AW644" s="234"/>
      <c r="AX644" s="234"/>
      <c r="AY644" s="234"/>
      <c r="AZ644" s="234"/>
      <c r="BA644" s="234"/>
      <c r="BB644" s="234"/>
      <c r="BC644" s="234"/>
      <c r="BD644" s="234"/>
      <c r="BE644" s="234"/>
      <c r="BF644" s="234"/>
      <c r="BG644" s="234"/>
      <c r="BH644" s="234"/>
      <c r="BI644" s="234"/>
      <c r="BJ644" s="234"/>
      <c r="BK644" s="234"/>
      <c r="BL644" s="234"/>
      <c r="BM644" s="234"/>
      <c r="BN644" s="234"/>
      <c r="BO644" s="234"/>
    </row>
    <row r="645" spans="1:67" ht="24" customHeight="1" x14ac:dyDescent="0.2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  <c r="AB645" s="234"/>
      <c r="AC645" s="234"/>
      <c r="AD645" s="234"/>
      <c r="AE645" s="234"/>
      <c r="AF645" s="234"/>
      <c r="AG645" s="234"/>
      <c r="AH645" s="234"/>
      <c r="AI645" s="234"/>
      <c r="AJ645" s="234"/>
      <c r="AK645" s="234"/>
      <c r="AL645" s="234"/>
      <c r="AM645" s="234"/>
      <c r="AN645" s="234"/>
      <c r="AO645" s="234"/>
      <c r="AP645" s="234"/>
      <c r="AQ645" s="234"/>
      <c r="AR645" s="234"/>
      <c r="AS645" s="234"/>
      <c r="AT645" s="234"/>
      <c r="AU645" s="234"/>
      <c r="AV645" s="234"/>
      <c r="AW645" s="234"/>
      <c r="AX645" s="234"/>
      <c r="AY645" s="234"/>
      <c r="AZ645" s="234"/>
      <c r="BA645" s="234"/>
      <c r="BB645" s="234"/>
      <c r="BC645" s="234"/>
      <c r="BD645" s="234"/>
      <c r="BE645" s="234"/>
      <c r="BF645" s="234"/>
      <c r="BG645" s="234"/>
      <c r="BH645" s="234"/>
      <c r="BI645" s="234"/>
      <c r="BJ645" s="234"/>
      <c r="BK645" s="234"/>
      <c r="BL645" s="234"/>
      <c r="BM645" s="234"/>
      <c r="BN645" s="234"/>
      <c r="BO645" s="234"/>
    </row>
    <row r="646" spans="1:67" ht="24" customHeight="1" x14ac:dyDescent="0.25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  <c r="AB646" s="234"/>
      <c r="AC646" s="234"/>
      <c r="AD646" s="234"/>
      <c r="AE646" s="234"/>
      <c r="AF646" s="234"/>
      <c r="AG646" s="234"/>
      <c r="AH646" s="234"/>
      <c r="AI646" s="234"/>
      <c r="AJ646" s="234"/>
      <c r="AK646" s="234"/>
      <c r="AL646" s="234"/>
      <c r="AM646" s="234"/>
      <c r="AN646" s="234"/>
      <c r="AO646" s="234"/>
      <c r="AP646" s="234"/>
      <c r="AQ646" s="234"/>
      <c r="AR646" s="234"/>
      <c r="AS646" s="234"/>
      <c r="AT646" s="234"/>
      <c r="AU646" s="234"/>
      <c r="AV646" s="234"/>
      <c r="AW646" s="234"/>
      <c r="AX646" s="234"/>
      <c r="AY646" s="234"/>
      <c r="AZ646" s="234"/>
      <c r="BA646" s="234"/>
      <c r="BB646" s="234"/>
      <c r="BC646" s="234"/>
      <c r="BD646" s="234"/>
      <c r="BE646" s="234"/>
      <c r="BF646" s="234"/>
      <c r="BG646" s="234"/>
      <c r="BH646" s="234"/>
      <c r="BI646" s="234"/>
      <c r="BJ646" s="234"/>
      <c r="BK646" s="234"/>
      <c r="BL646" s="234"/>
      <c r="BM646" s="234"/>
      <c r="BN646" s="234"/>
      <c r="BO646" s="234"/>
    </row>
    <row r="647" spans="1:67" ht="24" customHeight="1" x14ac:dyDescent="0.25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  <c r="AB647" s="234"/>
      <c r="AC647" s="234"/>
      <c r="AD647" s="234"/>
      <c r="AE647" s="234"/>
      <c r="AF647" s="234"/>
      <c r="AG647" s="234"/>
      <c r="AH647" s="234"/>
      <c r="AI647" s="234"/>
      <c r="AJ647" s="234"/>
      <c r="AK647" s="234"/>
      <c r="AL647" s="234"/>
      <c r="AM647" s="234"/>
      <c r="AN647" s="234"/>
      <c r="AO647" s="234"/>
      <c r="AP647" s="234"/>
      <c r="AQ647" s="234"/>
      <c r="AR647" s="234"/>
      <c r="AS647" s="234"/>
      <c r="AT647" s="234"/>
      <c r="AU647" s="234"/>
      <c r="AV647" s="234"/>
      <c r="AW647" s="234"/>
      <c r="AX647" s="234"/>
      <c r="AY647" s="234"/>
      <c r="AZ647" s="234"/>
      <c r="BA647" s="234"/>
      <c r="BB647" s="234"/>
      <c r="BC647" s="234"/>
      <c r="BD647" s="234"/>
      <c r="BE647" s="234"/>
      <c r="BF647" s="234"/>
      <c r="BG647" s="234"/>
      <c r="BH647" s="234"/>
      <c r="BI647" s="234"/>
      <c r="BJ647" s="234"/>
      <c r="BK647" s="234"/>
      <c r="BL647" s="234"/>
      <c r="BM647" s="234"/>
      <c r="BN647" s="234"/>
      <c r="BO647" s="234"/>
    </row>
    <row r="648" spans="1:67" ht="24" customHeight="1" x14ac:dyDescent="0.25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  <c r="AB648" s="234"/>
      <c r="AC648" s="234"/>
      <c r="AD648" s="234"/>
      <c r="AE648" s="234"/>
      <c r="AF648" s="234"/>
      <c r="AG648" s="234"/>
      <c r="AH648" s="234"/>
      <c r="AI648" s="234"/>
      <c r="AJ648" s="234"/>
      <c r="AK648" s="234"/>
      <c r="AL648" s="234"/>
      <c r="AM648" s="234"/>
      <c r="AN648" s="234"/>
      <c r="AO648" s="234"/>
      <c r="AP648" s="234"/>
      <c r="AQ648" s="234"/>
      <c r="AR648" s="234"/>
      <c r="AS648" s="234"/>
      <c r="AT648" s="234"/>
      <c r="AU648" s="234"/>
      <c r="AV648" s="234"/>
      <c r="AW648" s="234"/>
      <c r="AX648" s="234"/>
      <c r="AY648" s="234"/>
      <c r="AZ648" s="234"/>
      <c r="BA648" s="234"/>
      <c r="BB648" s="234"/>
      <c r="BC648" s="234"/>
      <c r="BD648" s="234"/>
      <c r="BE648" s="234"/>
      <c r="BF648" s="234"/>
      <c r="BG648" s="234"/>
      <c r="BH648" s="234"/>
      <c r="BI648" s="234"/>
      <c r="BJ648" s="234"/>
      <c r="BK648" s="234"/>
      <c r="BL648" s="234"/>
      <c r="BM648" s="234"/>
      <c r="BN648" s="234"/>
      <c r="BO648" s="234"/>
    </row>
    <row r="649" spans="1:67" ht="24" customHeight="1" x14ac:dyDescent="0.25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  <c r="AB649" s="234"/>
      <c r="AC649" s="234"/>
      <c r="AD649" s="234"/>
      <c r="AE649" s="234"/>
      <c r="AF649" s="234"/>
      <c r="AG649" s="234"/>
      <c r="AH649" s="234"/>
      <c r="AI649" s="234"/>
      <c r="AJ649" s="234"/>
      <c r="AK649" s="234"/>
      <c r="AL649" s="234"/>
      <c r="AM649" s="234"/>
      <c r="AN649" s="234"/>
      <c r="AO649" s="234"/>
      <c r="AP649" s="234"/>
      <c r="AQ649" s="234"/>
      <c r="AR649" s="234"/>
      <c r="AS649" s="234"/>
      <c r="AT649" s="234"/>
      <c r="AU649" s="234"/>
      <c r="AV649" s="234"/>
      <c r="AW649" s="234"/>
      <c r="AX649" s="234"/>
      <c r="AY649" s="234"/>
      <c r="AZ649" s="234"/>
      <c r="BA649" s="234"/>
      <c r="BB649" s="234"/>
      <c r="BC649" s="234"/>
      <c r="BD649" s="234"/>
      <c r="BE649" s="234"/>
      <c r="BF649" s="234"/>
      <c r="BG649" s="234"/>
      <c r="BH649" s="234"/>
      <c r="BI649" s="234"/>
      <c r="BJ649" s="234"/>
      <c r="BK649" s="234"/>
      <c r="BL649" s="234"/>
      <c r="BM649" s="234"/>
      <c r="BN649" s="234"/>
      <c r="BO649" s="234"/>
    </row>
    <row r="650" spans="1:67" ht="24" customHeight="1" x14ac:dyDescent="0.25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  <c r="AB650" s="234"/>
      <c r="AC650" s="234"/>
      <c r="AD650" s="234"/>
      <c r="AE650" s="234"/>
      <c r="AF650" s="234"/>
      <c r="AG650" s="234"/>
      <c r="AH650" s="234"/>
      <c r="AI650" s="234"/>
      <c r="AJ650" s="234"/>
      <c r="AK650" s="234"/>
      <c r="AL650" s="234"/>
      <c r="AM650" s="234"/>
      <c r="AN650" s="234"/>
      <c r="AO650" s="234"/>
      <c r="AP650" s="234"/>
      <c r="AQ650" s="234"/>
      <c r="AR650" s="234"/>
      <c r="AS650" s="234"/>
      <c r="AT650" s="234"/>
      <c r="AU650" s="234"/>
      <c r="AV650" s="234"/>
      <c r="AW650" s="234"/>
      <c r="AX650" s="234"/>
      <c r="AY650" s="234"/>
      <c r="AZ650" s="234"/>
      <c r="BA650" s="234"/>
      <c r="BB650" s="234"/>
      <c r="BC650" s="234"/>
      <c r="BD650" s="234"/>
      <c r="BE650" s="234"/>
      <c r="BF650" s="234"/>
      <c r="BG650" s="234"/>
      <c r="BH650" s="234"/>
      <c r="BI650" s="234"/>
      <c r="BJ650" s="234"/>
      <c r="BK650" s="234"/>
      <c r="BL650" s="234"/>
      <c r="BM650" s="234"/>
      <c r="BN650" s="234"/>
      <c r="BO650" s="234"/>
    </row>
    <row r="651" spans="1:67" ht="24" customHeight="1" x14ac:dyDescent="0.25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  <c r="AB651" s="234"/>
      <c r="AC651" s="234"/>
      <c r="AD651" s="234"/>
      <c r="AE651" s="234"/>
      <c r="AF651" s="234"/>
      <c r="AG651" s="234"/>
      <c r="AH651" s="234"/>
      <c r="AI651" s="234"/>
      <c r="AJ651" s="234"/>
      <c r="AK651" s="234"/>
      <c r="AL651" s="234"/>
      <c r="AM651" s="234"/>
      <c r="AN651" s="234"/>
      <c r="AO651" s="234"/>
      <c r="AP651" s="234"/>
      <c r="AQ651" s="234"/>
      <c r="AR651" s="234"/>
      <c r="AS651" s="234"/>
      <c r="AT651" s="234"/>
      <c r="AU651" s="234"/>
      <c r="AV651" s="234"/>
      <c r="AW651" s="234"/>
      <c r="AX651" s="234"/>
      <c r="AY651" s="234"/>
      <c r="AZ651" s="234"/>
      <c r="BA651" s="234"/>
      <c r="BB651" s="234"/>
      <c r="BC651" s="234"/>
      <c r="BD651" s="234"/>
      <c r="BE651" s="234"/>
      <c r="BF651" s="234"/>
      <c r="BG651" s="234"/>
      <c r="BH651" s="234"/>
      <c r="BI651" s="234"/>
      <c r="BJ651" s="234"/>
      <c r="BK651" s="234"/>
      <c r="BL651" s="234"/>
      <c r="BM651" s="234"/>
      <c r="BN651" s="234"/>
      <c r="BO651" s="234"/>
    </row>
    <row r="652" spans="1:67" ht="24" customHeight="1" x14ac:dyDescent="0.25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  <c r="AB652" s="234"/>
      <c r="AC652" s="234"/>
      <c r="AD652" s="234"/>
      <c r="AE652" s="234"/>
      <c r="AF652" s="234"/>
      <c r="AG652" s="234"/>
      <c r="AH652" s="234"/>
      <c r="AI652" s="234"/>
      <c r="AJ652" s="234"/>
      <c r="AK652" s="234"/>
      <c r="AL652" s="234"/>
      <c r="AM652" s="234"/>
      <c r="AN652" s="234"/>
      <c r="AO652" s="234"/>
      <c r="AP652" s="234"/>
      <c r="AQ652" s="234"/>
      <c r="AR652" s="234"/>
      <c r="AS652" s="234"/>
      <c r="AT652" s="234"/>
      <c r="AU652" s="234"/>
      <c r="AV652" s="234"/>
      <c r="AW652" s="234"/>
      <c r="AX652" s="234"/>
      <c r="AY652" s="234"/>
      <c r="AZ652" s="234"/>
      <c r="BA652" s="234"/>
      <c r="BB652" s="234"/>
      <c r="BC652" s="234"/>
      <c r="BD652" s="234"/>
      <c r="BE652" s="234"/>
      <c r="BF652" s="234"/>
      <c r="BG652" s="234"/>
      <c r="BH652" s="234"/>
      <c r="BI652" s="234"/>
      <c r="BJ652" s="234"/>
      <c r="BK652" s="234"/>
      <c r="BL652" s="234"/>
      <c r="BM652" s="234"/>
      <c r="BN652" s="234"/>
      <c r="BO652" s="234"/>
    </row>
    <row r="653" spans="1:67" ht="24" customHeight="1" x14ac:dyDescent="0.25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  <c r="AB653" s="234"/>
      <c r="AC653" s="234"/>
      <c r="AD653" s="234"/>
      <c r="AE653" s="234"/>
      <c r="AF653" s="234"/>
      <c r="AG653" s="234"/>
      <c r="AH653" s="234"/>
      <c r="AI653" s="234"/>
      <c r="AJ653" s="234"/>
      <c r="AK653" s="234"/>
      <c r="AL653" s="234"/>
      <c r="AM653" s="234"/>
      <c r="AN653" s="234"/>
      <c r="AO653" s="234"/>
      <c r="AP653" s="234"/>
      <c r="AQ653" s="234"/>
      <c r="AR653" s="234"/>
      <c r="AS653" s="234"/>
      <c r="AT653" s="234"/>
      <c r="AU653" s="234"/>
      <c r="AV653" s="234"/>
      <c r="AW653" s="234"/>
      <c r="AX653" s="234"/>
      <c r="AY653" s="234"/>
      <c r="AZ653" s="234"/>
      <c r="BA653" s="234"/>
      <c r="BB653" s="234"/>
      <c r="BC653" s="234"/>
      <c r="BD653" s="234"/>
      <c r="BE653" s="234"/>
      <c r="BF653" s="234"/>
      <c r="BG653" s="234"/>
      <c r="BH653" s="234"/>
      <c r="BI653" s="234"/>
      <c r="BJ653" s="234"/>
      <c r="BK653" s="234"/>
      <c r="BL653" s="234"/>
      <c r="BM653" s="234"/>
      <c r="BN653" s="234"/>
      <c r="BO653" s="234"/>
    </row>
    <row r="654" spans="1:67" ht="24" customHeight="1" x14ac:dyDescent="0.25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  <c r="AB654" s="234"/>
      <c r="AC654" s="234"/>
      <c r="AD654" s="234"/>
      <c r="AE654" s="234"/>
      <c r="AF654" s="234"/>
      <c r="AG654" s="234"/>
      <c r="AH654" s="234"/>
      <c r="AI654" s="234"/>
      <c r="AJ654" s="234"/>
      <c r="AK654" s="234"/>
      <c r="AL654" s="234"/>
      <c r="AM654" s="234"/>
      <c r="AN654" s="234"/>
      <c r="AO654" s="234"/>
      <c r="AP654" s="234"/>
      <c r="AQ654" s="234"/>
      <c r="AR654" s="234"/>
      <c r="AS654" s="234"/>
      <c r="AT654" s="234"/>
      <c r="AU654" s="234"/>
      <c r="AV654" s="234"/>
      <c r="AW654" s="234"/>
      <c r="AX654" s="234"/>
      <c r="AY654" s="234"/>
      <c r="AZ654" s="234"/>
      <c r="BA654" s="234"/>
      <c r="BB654" s="234"/>
      <c r="BC654" s="234"/>
      <c r="BD654" s="234"/>
      <c r="BE654" s="234"/>
      <c r="BF654" s="234"/>
      <c r="BG654" s="234"/>
      <c r="BH654" s="234"/>
      <c r="BI654" s="234"/>
      <c r="BJ654" s="234"/>
      <c r="BK654" s="234"/>
      <c r="BL654" s="234"/>
      <c r="BM654" s="234"/>
      <c r="BN654" s="234"/>
      <c r="BO654" s="234"/>
    </row>
    <row r="655" spans="1:67" ht="24" customHeight="1" x14ac:dyDescent="0.2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  <c r="AB655" s="234"/>
      <c r="AC655" s="234"/>
      <c r="AD655" s="234"/>
      <c r="AE655" s="234"/>
      <c r="AF655" s="234"/>
      <c r="AG655" s="234"/>
      <c r="AH655" s="234"/>
      <c r="AI655" s="234"/>
      <c r="AJ655" s="234"/>
      <c r="AK655" s="234"/>
      <c r="AL655" s="234"/>
      <c r="AM655" s="234"/>
      <c r="AN655" s="234"/>
      <c r="AO655" s="234"/>
      <c r="AP655" s="234"/>
      <c r="AQ655" s="234"/>
      <c r="AR655" s="234"/>
      <c r="AS655" s="234"/>
      <c r="AT655" s="234"/>
      <c r="AU655" s="234"/>
      <c r="AV655" s="234"/>
      <c r="AW655" s="234"/>
      <c r="AX655" s="234"/>
      <c r="AY655" s="234"/>
      <c r="AZ655" s="234"/>
      <c r="BA655" s="234"/>
      <c r="BB655" s="234"/>
      <c r="BC655" s="234"/>
      <c r="BD655" s="234"/>
      <c r="BE655" s="234"/>
      <c r="BF655" s="234"/>
      <c r="BG655" s="234"/>
      <c r="BH655" s="234"/>
      <c r="BI655" s="234"/>
      <c r="BJ655" s="234"/>
      <c r="BK655" s="234"/>
      <c r="BL655" s="234"/>
      <c r="BM655" s="234"/>
      <c r="BN655" s="234"/>
      <c r="BO655" s="234"/>
    </row>
    <row r="656" spans="1:67" ht="24" customHeight="1" x14ac:dyDescent="0.25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  <c r="AB656" s="234"/>
      <c r="AC656" s="234"/>
      <c r="AD656" s="234"/>
      <c r="AE656" s="234"/>
      <c r="AF656" s="234"/>
      <c r="AG656" s="234"/>
      <c r="AH656" s="234"/>
      <c r="AI656" s="234"/>
      <c r="AJ656" s="234"/>
      <c r="AK656" s="234"/>
      <c r="AL656" s="234"/>
      <c r="AM656" s="234"/>
      <c r="AN656" s="234"/>
      <c r="AO656" s="234"/>
      <c r="AP656" s="234"/>
      <c r="AQ656" s="234"/>
      <c r="AR656" s="234"/>
      <c r="AS656" s="234"/>
      <c r="AT656" s="234"/>
      <c r="AU656" s="234"/>
      <c r="AV656" s="234"/>
      <c r="AW656" s="234"/>
      <c r="AX656" s="234"/>
      <c r="AY656" s="234"/>
      <c r="AZ656" s="234"/>
      <c r="BA656" s="234"/>
      <c r="BB656" s="234"/>
      <c r="BC656" s="234"/>
      <c r="BD656" s="234"/>
      <c r="BE656" s="234"/>
      <c r="BF656" s="234"/>
      <c r="BG656" s="234"/>
      <c r="BH656" s="234"/>
      <c r="BI656" s="234"/>
      <c r="BJ656" s="234"/>
      <c r="BK656" s="234"/>
      <c r="BL656" s="234"/>
      <c r="BM656" s="234"/>
      <c r="BN656" s="234"/>
      <c r="BO656" s="234"/>
    </row>
    <row r="657" spans="1:67" ht="24" customHeight="1" x14ac:dyDescent="0.25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  <c r="AB657" s="234"/>
      <c r="AC657" s="234"/>
      <c r="AD657" s="234"/>
      <c r="AE657" s="234"/>
      <c r="AF657" s="234"/>
      <c r="AG657" s="234"/>
      <c r="AH657" s="234"/>
      <c r="AI657" s="234"/>
      <c r="AJ657" s="234"/>
      <c r="AK657" s="234"/>
      <c r="AL657" s="234"/>
      <c r="AM657" s="234"/>
      <c r="AN657" s="234"/>
      <c r="AO657" s="234"/>
      <c r="AP657" s="234"/>
      <c r="AQ657" s="234"/>
      <c r="AR657" s="234"/>
      <c r="AS657" s="234"/>
      <c r="AT657" s="234"/>
      <c r="AU657" s="234"/>
      <c r="AV657" s="234"/>
      <c r="AW657" s="234"/>
      <c r="AX657" s="234"/>
      <c r="AY657" s="234"/>
      <c r="AZ657" s="234"/>
      <c r="BA657" s="234"/>
      <c r="BB657" s="234"/>
      <c r="BC657" s="234"/>
      <c r="BD657" s="234"/>
      <c r="BE657" s="234"/>
      <c r="BF657" s="234"/>
      <c r="BG657" s="234"/>
      <c r="BH657" s="234"/>
      <c r="BI657" s="234"/>
      <c r="BJ657" s="234"/>
      <c r="BK657" s="234"/>
      <c r="BL657" s="234"/>
      <c r="BM657" s="234"/>
      <c r="BN657" s="234"/>
      <c r="BO657" s="234"/>
    </row>
    <row r="658" spans="1:67" ht="24" customHeight="1" x14ac:dyDescent="0.25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  <c r="AB658" s="234"/>
      <c r="AC658" s="234"/>
      <c r="AD658" s="234"/>
      <c r="AE658" s="234"/>
      <c r="AF658" s="234"/>
      <c r="AG658" s="234"/>
      <c r="AH658" s="234"/>
      <c r="AI658" s="234"/>
      <c r="AJ658" s="234"/>
      <c r="AK658" s="234"/>
      <c r="AL658" s="234"/>
      <c r="AM658" s="234"/>
      <c r="AN658" s="234"/>
      <c r="AO658" s="234"/>
      <c r="AP658" s="234"/>
      <c r="AQ658" s="234"/>
      <c r="AR658" s="234"/>
      <c r="AS658" s="234"/>
      <c r="AT658" s="234"/>
      <c r="AU658" s="234"/>
      <c r="AV658" s="234"/>
      <c r="AW658" s="234"/>
      <c r="AX658" s="234"/>
      <c r="AY658" s="234"/>
      <c r="AZ658" s="234"/>
      <c r="BA658" s="234"/>
      <c r="BB658" s="234"/>
      <c r="BC658" s="234"/>
      <c r="BD658" s="234"/>
      <c r="BE658" s="234"/>
      <c r="BF658" s="234"/>
      <c r="BG658" s="234"/>
      <c r="BH658" s="234"/>
      <c r="BI658" s="234"/>
      <c r="BJ658" s="234"/>
      <c r="BK658" s="234"/>
      <c r="BL658" s="234"/>
      <c r="BM658" s="234"/>
      <c r="BN658" s="234"/>
      <c r="BO658" s="234"/>
    </row>
    <row r="659" spans="1:67" ht="24" customHeight="1" x14ac:dyDescent="0.25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  <c r="AC659" s="234"/>
      <c r="AD659" s="234"/>
      <c r="AE659" s="234"/>
      <c r="AF659" s="234"/>
      <c r="AG659" s="234"/>
      <c r="AH659" s="234"/>
      <c r="AI659" s="234"/>
      <c r="AJ659" s="234"/>
      <c r="AK659" s="234"/>
      <c r="AL659" s="234"/>
      <c r="AM659" s="234"/>
      <c r="AN659" s="234"/>
      <c r="AO659" s="234"/>
      <c r="AP659" s="234"/>
      <c r="AQ659" s="234"/>
      <c r="AR659" s="234"/>
      <c r="AS659" s="234"/>
      <c r="AT659" s="234"/>
      <c r="AU659" s="234"/>
      <c r="AV659" s="234"/>
      <c r="AW659" s="234"/>
      <c r="AX659" s="234"/>
      <c r="AY659" s="234"/>
      <c r="AZ659" s="234"/>
      <c r="BA659" s="234"/>
      <c r="BB659" s="234"/>
      <c r="BC659" s="234"/>
      <c r="BD659" s="234"/>
      <c r="BE659" s="234"/>
      <c r="BF659" s="234"/>
      <c r="BG659" s="234"/>
      <c r="BH659" s="234"/>
      <c r="BI659" s="234"/>
      <c r="BJ659" s="234"/>
      <c r="BK659" s="234"/>
      <c r="BL659" s="234"/>
      <c r="BM659" s="234"/>
      <c r="BN659" s="234"/>
      <c r="BO659" s="234"/>
    </row>
    <row r="660" spans="1:67" ht="24" customHeight="1" x14ac:dyDescent="0.25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  <c r="AB660" s="234"/>
      <c r="AC660" s="234"/>
      <c r="AD660" s="234"/>
      <c r="AE660" s="234"/>
      <c r="AF660" s="234"/>
      <c r="AG660" s="234"/>
      <c r="AH660" s="234"/>
      <c r="AI660" s="234"/>
      <c r="AJ660" s="234"/>
      <c r="AK660" s="234"/>
      <c r="AL660" s="234"/>
      <c r="AM660" s="234"/>
      <c r="AN660" s="234"/>
      <c r="AO660" s="234"/>
      <c r="AP660" s="234"/>
      <c r="AQ660" s="234"/>
      <c r="AR660" s="234"/>
      <c r="AS660" s="234"/>
      <c r="AT660" s="234"/>
      <c r="AU660" s="234"/>
      <c r="AV660" s="234"/>
      <c r="AW660" s="234"/>
      <c r="AX660" s="234"/>
      <c r="AY660" s="234"/>
      <c r="AZ660" s="234"/>
      <c r="BA660" s="234"/>
      <c r="BB660" s="234"/>
      <c r="BC660" s="234"/>
      <c r="BD660" s="234"/>
      <c r="BE660" s="234"/>
      <c r="BF660" s="234"/>
      <c r="BG660" s="234"/>
      <c r="BH660" s="234"/>
      <c r="BI660" s="234"/>
      <c r="BJ660" s="234"/>
      <c r="BK660" s="234"/>
      <c r="BL660" s="234"/>
      <c r="BM660" s="234"/>
      <c r="BN660" s="234"/>
      <c r="BO660" s="234"/>
    </row>
    <row r="661" spans="1:67" ht="24" customHeight="1" x14ac:dyDescent="0.25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  <c r="AB661" s="234"/>
      <c r="AC661" s="234"/>
      <c r="AD661" s="234"/>
      <c r="AE661" s="234"/>
      <c r="AF661" s="234"/>
      <c r="AG661" s="234"/>
      <c r="AH661" s="234"/>
      <c r="AI661" s="234"/>
      <c r="AJ661" s="234"/>
      <c r="AK661" s="234"/>
      <c r="AL661" s="234"/>
      <c r="AM661" s="234"/>
      <c r="AN661" s="234"/>
      <c r="AO661" s="234"/>
      <c r="AP661" s="234"/>
      <c r="AQ661" s="234"/>
      <c r="AR661" s="234"/>
      <c r="AS661" s="234"/>
      <c r="AT661" s="234"/>
      <c r="AU661" s="234"/>
      <c r="AV661" s="234"/>
      <c r="AW661" s="234"/>
      <c r="AX661" s="234"/>
      <c r="AY661" s="234"/>
      <c r="AZ661" s="234"/>
      <c r="BA661" s="234"/>
      <c r="BB661" s="234"/>
      <c r="BC661" s="234"/>
      <c r="BD661" s="234"/>
      <c r="BE661" s="234"/>
      <c r="BF661" s="234"/>
      <c r="BG661" s="234"/>
      <c r="BH661" s="234"/>
      <c r="BI661" s="234"/>
      <c r="BJ661" s="234"/>
      <c r="BK661" s="234"/>
      <c r="BL661" s="234"/>
      <c r="BM661" s="234"/>
      <c r="BN661" s="234"/>
      <c r="BO661" s="234"/>
    </row>
    <row r="662" spans="1:67" ht="24" customHeight="1" x14ac:dyDescent="0.25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  <c r="AB662" s="234"/>
      <c r="AC662" s="234"/>
      <c r="AD662" s="234"/>
      <c r="AE662" s="234"/>
      <c r="AF662" s="234"/>
      <c r="AG662" s="234"/>
      <c r="AH662" s="234"/>
      <c r="AI662" s="234"/>
      <c r="AJ662" s="234"/>
      <c r="AK662" s="234"/>
      <c r="AL662" s="234"/>
      <c r="AM662" s="234"/>
      <c r="AN662" s="234"/>
      <c r="AO662" s="234"/>
      <c r="AP662" s="234"/>
      <c r="AQ662" s="234"/>
      <c r="AR662" s="234"/>
      <c r="AS662" s="234"/>
      <c r="AT662" s="234"/>
      <c r="AU662" s="234"/>
      <c r="AV662" s="234"/>
      <c r="AW662" s="234"/>
      <c r="AX662" s="234"/>
      <c r="AY662" s="234"/>
      <c r="AZ662" s="234"/>
      <c r="BA662" s="234"/>
      <c r="BB662" s="234"/>
      <c r="BC662" s="234"/>
      <c r="BD662" s="234"/>
      <c r="BE662" s="234"/>
      <c r="BF662" s="234"/>
      <c r="BG662" s="234"/>
      <c r="BH662" s="234"/>
      <c r="BI662" s="234"/>
      <c r="BJ662" s="234"/>
      <c r="BK662" s="234"/>
      <c r="BL662" s="234"/>
      <c r="BM662" s="234"/>
      <c r="BN662" s="234"/>
      <c r="BO662" s="234"/>
    </row>
    <row r="663" spans="1:67" ht="24" customHeight="1" x14ac:dyDescent="0.25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  <c r="AB663" s="234"/>
      <c r="AC663" s="234"/>
      <c r="AD663" s="234"/>
      <c r="AE663" s="234"/>
      <c r="AF663" s="234"/>
      <c r="AG663" s="234"/>
      <c r="AH663" s="234"/>
      <c r="AI663" s="234"/>
      <c r="AJ663" s="234"/>
      <c r="AK663" s="234"/>
      <c r="AL663" s="234"/>
      <c r="AM663" s="234"/>
      <c r="AN663" s="234"/>
      <c r="AO663" s="234"/>
      <c r="AP663" s="234"/>
      <c r="AQ663" s="234"/>
      <c r="AR663" s="234"/>
      <c r="AS663" s="234"/>
      <c r="AT663" s="234"/>
      <c r="AU663" s="234"/>
      <c r="AV663" s="234"/>
      <c r="AW663" s="234"/>
      <c r="AX663" s="234"/>
      <c r="AY663" s="234"/>
      <c r="AZ663" s="234"/>
      <c r="BA663" s="234"/>
      <c r="BB663" s="234"/>
      <c r="BC663" s="234"/>
      <c r="BD663" s="234"/>
      <c r="BE663" s="234"/>
      <c r="BF663" s="234"/>
      <c r="BG663" s="234"/>
      <c r="BH663" s="234"/>
      <c r="BI663" s="234"/>
      <c r="BJ663" s="234"/>
      <c r="BK663" s="234"/>
      <c r="BL663" s="234"/>
      <c r="BM663" s="234"/>
      <c r="BN663" s="234"/>
      <c r="BO663" s="234"/>
    </row>
    <row r="664" spans="1:67" ht="24" customHeight="1" x14ac:dyDescent="0.25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  <c r="AB664" s="234"/>
      <c r="AC664" s="234"/>
      <c r="AD664" s="234"/>
      <c r="AE664" s="234"/>
      <c r="AF664" s="234"/>
      <c r="AG664" s="234"/>
      <c r="AH664" s="234"/>
      <c r="AI664" s="234"/>
      <c r="AJ664" s="234"/>
      <c r="AK664" s="234"/>
      <c r="AL664" s="234"/>
      <c r="AM664" s="234"/>
      <c r="AN664" s="234"/>
      <c r="AO664" s="234"/>
      <c r="AP664" s="234"/>
      <c r="AQ664" s="234"/>
      <c r="AR664" s="234"/>
      <c r="AS664" s="234"/>
      <c r="AT664" s="234"/>
      <c r="AU664" s="234"/>
      <c r="AV664" s="234"/>
      <c r="AW664" s="234"/>
      <c r="AX664" s="234"/>
      <c r="AY664" s="234"/>
      <c r="AZ664" s="234"/>
      <c r="BA664" s="234"/>
      <c r="BB664" s="234"/>
      <c r="BC664" s="234"/>
      <c r="BD664" s="234"/>
      <c r="BE664" s="234"/>
      <c r="BF664" s="234"/>
      <c r="BG664" s="234"/>
      <c r="BH664" s="234"/>
      <c r="BI664" s="234"/>
      <c r="BJ664" s="234"/>
      <c r="BK664" s="234"/>
      <c r="BL664" s="234"/>
      <c r="BM664" s="234"/>
      <c r="BN664" s="234"/>
      <c r="BO664" s="234"/>
    </row>
    <row r="665" spans="1:67" ht="24" customHeight="1" x14ac:dyDescent="0.2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  <c r="AB665" s="234"/>
      <c r="AC665" s="234"/>
      <c r="AD665" s="234"/>
      <c r="AE665" s="234"/>
      <c r="AF665" s="234"/>
      <c r="AG665" s="234"/>
      <c r="AH665" s="234"/>
      <c r="AI665" s="234"/>
      <c r="AJ665" s="234"/>
      <c r="AK665" s="234"/>
      <c r="AL665" s="234"/>
      <c r="AM665" s="234"/>
      <c r="AN665" s="234"/>
      <c r="AO665" s="234"/>
      <c r="AP665" s="234"/>
      <c r="AQ665" s="234"/>
      <c r="AR665" s="234"/>
      <c r="AS665" s="234"/>
      <c r="AT665" s="234"/>
      <c r="AU665" s="234"/>
      <c r="AV665" s="234"/>
      <c r="AW665" s="234"/>
      <c r="AX665" s="234"/>
      <c r="AY665" s="234"/>
      <c r="AZ665" s="234"/>
      <c r="BA665" s="234"/>
      <c r="BB665" s="234"/>
      <c r="BC665" s="234"/>
      <c r="BD665" s="234"/>
      <c r="BE665" s="234"/>
      <c r="BF665" s="234"/>
      <c r="BG665" s="234"/>
      <c r="BH665" s="234"/>
      <c r="BI665" s="234"/>
      <c r="BJ665" s="234"/>
      <c r="BK665" s="234"/>
      <c r="BL665" s="234"/>
      <c r="BM665" s="234"/>
      <c r="BN665" s="234"/>
      <c r="BO665" s="234"/>
    </row>
    <row r="666" spans="1:67" ht="24" customHeight="1" x14ac:dyDescent="0.25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  <c r="AB666" s="234"/>
      <c r="AC666" s="234"/>
      <c r="AD666" s="234"/>
      <c r="AE666" s="234"/>
      <c r="AF666" s="234"/>
      <c r="AG666" s="234"/>
      <c r="AH666" s="234"/>
      <c r="AI666" s="234"/>
      <c r="AJ666" s="234"/>
      <c r="AK666" s="234"/>
      <c r="AL666" s="234"/>
      <c r="AM666" s="234"/>
      <c r="AN666" s="234"/>
      <c r="AO666" s="234"/>
      <c r="AP666" s="234"/>
      <c r="AQ666" s="234"/>
      <c r="AR666" s="234"/>
      <c r="AS666" s="234"/>
      <c r="AT666" s="234"/>
      <c r="AU666" s="234"/>
      <c r="AV666" s="234"/>
      <c r="AW666" s="234"/>
      <c r="AX666" s="234"/>
      <c r="AY666" s="234"/>
      <c r="AZ666" s="234"/>
      <c r="BA666" s="234"/>
      <c r="BB666" s="234"/>
      <c r="BC666" s="234"/>
      <c r="BD666" s="234"/>
      <c r="BE666" s="234"/>
      <c r="BF666" s="234"/>
      <c r="BG666" s="234"/>
      <c r="BH666" s="234"/>
      <c r="BI666" s="234"/>
      <c r="BJ666" s="234"/>
      <c r="BK666" s="234"/>
      <c r="BL666" s="234"/>
      <c r="BM666" s="234"/>
      <c r="BN666" s="234"/>
      <c r="BO666" s="234"/>
    </row>
    <row r="667" spans="1:67" ht="24" customHeight="1" x14ac:dyDescent="0.25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  <c r="AB667" s="234"/>
      <c r="AC667" s="234"/>
      <c r="AD667" s="234"/>
      <c r="AE667" s="234"/>
      <c r="AF667" s="234"/>
      <c r="AG667" s="234"/>
      <c r="AH667" s="234"/>
      <c r="AI667" s="234"/>
      <c r="AJ667" s="234"/>
      <c r="AK667" s="234"/>
      <c r="AL667" s="234"/>
      <c r="AM667" s="234"/>
      <c r="AN667" s="234"/>
      <c r="AO667" s="234"/>
      <c r="AP667" s="234"/>
      <c r="AQ667" s="234"/>
      <c r="AR667" s="234"/>
      <c r="AS667" s="234"/>
      <c r="AT667" s="234"/>
      <c r="AU667" s="234"/>
      <c r="AV667" s="234"/>
      <c r="AW667" s="234"/>
      <c r="AX667" s="234"/>
      <c r="AY667" s="234"/>
      <c r="AZ667" s="234"/>
      <c r="BA667" s="234"/>
      <c r="BB667" s="234"/>
      <c r="BC667" s="234"/>
      <c r="BD667" s="234"/>
      <c r="BE667" s="234"/>
      <c r="BF667" s="234"/>
      <c r="BG667" s="234"/>
      <c r="BH667" s="234"/>
      <c r="BI667" s="234"/>
      <c r="BJ667" s="234"/>
      <c r="BK667" s="234"/>
      <c r="BL667" s="234"/>
      <c r="BM667" s="234"/>
      <c r="BN667" s="234"/>
      <c r="BO667" s="234"/>
    </row>
    <row r="668" spans="1:67" ht="24" customHeight="1" x14ac:dyDescent="0.25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  <c r="AB668" s="234"/>
      <c r="AC668" s="234"/>
      <c r="AD668" s="234"/>
      <c r="AE668" s="234"/>
      <c r="AF668" s="234"/>
      <c r="AG668" s="234"/>
      <c r="AH668" s="234"/>
      <c r="AI668" s="234"/>
      <c r="AJ668" s="234"/>
      <c r="AK668" s="234"/>
      <c r="AL668" s="234"/>
      <c r="AM668" s="234"/>
      <c r="AN668" s="234"/>
      <c r="AO668" s="234"/>
      <c r="AP668" s="234"/>
      <c r="AQ668" s="234"/>
      <c r="AR668" s="234"/>
      <c r="AS668" s="234"/>
      <c r="AT668" s="234"/>
      <c r="AU668" s="234"/>
      <c r="AV668" s="234"/>
      <c r="AW668" s="234"/>
      <c r="AX668" s="234"/>
      <c r="AY668" s="234"/>
      <c r="AZ668" s="234"/>
      <c r="BA668" s="234"/>
      <c r="BB668" s="234"/>
      <c r="BC668" s="234"/>
      <c r="BD668" s="234"/>
      <c r="BE668" s="234"/>
      <c r="BF668" s="234"/>
      <c r="BG668" s="234"/>
      <c r="BH668" s="234"/>
      <c r="BI668" s="234"/>
      <c r="BJ668" s="234"/>
      <c r="BK668" s="234"/>
      <c r="BL668" s="234"/>
      <c r="BM668" s="234"/>
      <c r="BN668" s="234"/>
      <c r="BO668" s="234"/>
    </row>
    <row r="669" spans="1:67" ht="24" customHeight="1" x14ac:dyDescent="0.25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  <c r="AB669" s="234"/>
      <c r="AC669" s="234"/>
      <c r="AD669" s="234"/>
      <c r="AE669" s="234"/>
      <c r="AF669" s="234"/>
      <c r="AG669" s="234"/>
      <c r="AH669" s="234"/>
      <c r="AI669" s="234"/>
      <c r="AJ669" s="234"/>
      <c r="AK669" s="234"/>
      <c r="AL669" s="234"/>
      <c r="AM669" s="234"/>
      <c r="AN669" s="234"/>
      <c r="AO669" s="234"/>
      <c r="AP669" s="234"/>
      <c r="AQ669" s="234"/>
      <c r="AR669" s="234"/>
      <c r="AS669" s="234"/>
      <c r="AT669" s="234"/>
      <c r="AU669" s="234"/>
      <c r="AV669" s="234"/>
      <c r="AW669" s="234"/>
      <c r="AX669" s="234"/>
      <c r="AY669" s="234"/>
      <c r="AZ669" s="234"/>
      <c r="BA669" s="234"/>
      <c r="BB669" s="234"/>
      <c r="BC669" s="234"/>
      <c r="BD669" s="234"/>
      <c r="BE669" s="234"/>
      <c r="BF669" s="234"/>
      <c r="BG669" s="234"/>
      <c r="BH669" s="234"/>
      <c r="BI669" s="234"/>
      <c r="BJ669" s="234"/>
      <c r="BK669" s="234"/>
      <c r="BL669" s="234"/>
      <c r="BM669" s="234"/>
      <c r="BN669" s="234"/>
      <c r="BO669" s="234"/>
    </row>
    <row r="670" spans="1:67" ht="24" customHeight="1" x14ac:dyDescent="0.25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  <c r="AB670" s="234"/>
      <c r="AC670" s="234"/>
      <c r="AD670" s="234"/>
      <c r="AE670" s="234"/>
      <c r="AF670" s="234"/>
      <c r="AG670" s="234"/>
      <c r="AH670" s="234"/>
      <c r="AI670" s="234"/>
      <c r="AJ670" s="234"/>
      <c r="AK670" s="234"/>
      <c r="AL670" s="234"/>
      <c r="AM670" s="234"/>
      <c r="AN670" s="234"/>
      <c r="AO670" s="234"/>
      <c r="AP670" s="234"/>
      <c r="AQ670" s="234"/>
      <c r="AR670" s="234"/>
      <c r="AS670" s="234"/>
      <c r="AT670" s="234"/>
      <c r="AU670" s="234"/>
      <c r="AV670" s="234"/>
      <c r="AW670" s="234"/>
      <c r="AX670" s="234"/>
      <c r="AY670" s="234"/>
      <c r="AZ670" s="234"/>
      <c r="BA670" s="234"/>
      <c r="BB670" s="234"/>
      <c r="BC670" s="234"/>
      <c r="BD670" s="234"/>
      <c r="BE670" s="234"/>
      <c r="BF670" s="234"/>
      <c r="BG670" s="234"/>
      <c r="BH670" s="234"/>
      <c r="BI670" s="234"/>
      <c r="BJ670" s="234"/>
      <c r="BK670" s="234"/>
      <c r="BL670" s="234"/>
      <c r="BM670" s="234"/>
      <c r="BN670" s="234"/>
      <c r="BO670" s="234"/>
    </row>
    <row r="671" spans="1:67" ht="24" customHeight="1" x14ac:dyDescent="0.25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  <c r="AB671" s="234"/>
      <c r="AC671" s="234"/>
      <c r="AD671" s="234"/>
      <c r="AE671" s="234"/>
      <c r="AF671" s="234"/>
      <c r="AG671" s="234"/>
      <c r="AH671" s="234"/>
      <c r="AI671" s="234"/>
      <c r="AJ671" s="234"/>
      <c r="AK671" s="234"/>
      <c r="AL671" s="234"/>
      <c r="AM671" s="234"/>
      <c r="AN671" s="234"/>
      <c r="AO671" s="234"/>
      <c r="AP671" s="234"/>
      <c r="AQ671" s="234"/>
      <c r="AR671" s="234"/>
      <c r="AS671" s="234"/>
      <c r="AT671" s="234"/>
      <c r="AU671" s="234"/>
      <c r="AV671" s="234"/>
      <c r="AW671" s="234"/>
      <c r="AX671" s="234"/>
      <c r="AY671" s="234"/>
      <c r="AZ671" s="234"/>
      <c r="BA671" s="234"/>
      <c r="BB671" s="234"/>
      <c r="BC671" s="234"/>
      <c r="BD671" s="234"/>
      <c r="BE671" s="234"/>
      <c r="BF671" s="234"/>
      <c r="BG671" s="234"/>
      <c r="BH671" s="234"/>
      <c r="BI671" s="234"/>
      <c r="BJ671" s="234"/>
      <c r="BK671" s="234"/>
      <c r="BL671" s="234"/>
      <c r="BM671" s="234"/>
      <c r="BN671" s="234"/>
      <c r="BO671" s="234"/>
    </row>
    <row r="672" spans="1:67" ht="24" customHeight="1" x14ac:dyDescent="0.25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  <c r="AB672" s="234"/>
      <c r="AC672" s="234"/>
      <c r="AD672" s="234"/>
      <c r="AE672" s="234"/>
      <c r="AF672" s="234"/>
      <c r="AG672" s="234"/>
      <c r="AH672" s="234"/>
      <c r="AI672" s="234"/>
      <c r="AJ672" s="234"/>
      <c r="AK672" s="234"/>
      <c r="AL672" s="234"/>
      <c r="AM672" s="234"/>
      <c r="AN672" s="234"/>
      <c r="AO672" s="234"/>
      <c r="AP672" s="234"/>
      <c r="AQ672" s="234"/>
      <c r="AR672" s="234"/>
      <c r="AS672" s="234"/>
      <c r="AT672" s="234"/>
      <c r="AU672" s="234"/>
      <c r="AV672" s="234"/>
      <c r="AW672" s="234"/>
      <c r="AX672" s="234"/>
      <c r="AY672" s="234"/>
      <c r="AZ672" s="234"/>
      <c r="BA672" s="234"/>
      <c r="BB672" s="234"/>
      <c r="BC672" s="234"/>
      <c r="BD672" s="234"/>
      <c r="BE672" s="234"/>
      <c r="BF672" s="234"/>
      <c r="BG672" s="234"/>
      <c r="BH672" s="234"/>
      <c r="BI672" s="234"/>
      <c r="BJ672" s="234"/>
      <c r="BK672" s="234"/>
      <c r="BL672" s="234"/>
      <c r="BM672" s="234"/>
      <c r="BN672" s="234"/>
      <c r="BO672" s="234"/>
    </row>
    <row r="673" spans="1:67" ht="24" customHeight="1" x14ac:dyDescent="0.25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  <c r="AB673" s="234"/>
      <c r="AC673" s="234"/>
      <c r="AD673" s="234"/>
      <c r="AE673" s="234"/>
      <c r="AF673" s="234"/>
      <c r="AG673" s="234"/>
      <c r="AH673" s="234"/>
      <c r="AI673" s="234"/>
      <c r="AJ673" s="234"/>
      <c r="AK673" s="234"/>
      <c r="AL673" s="234"/>
      <c r="AM673" s="234"/>
      <c r="AN673" s="234"/>
      <c r="AO673" s="234"/>
      <c r="AP673" s="234"/>
      <c r="AQ673" s="234"/>
      <c r="AR673" s="234"/>
      <c r="AS673" s="234"/>
      <c r="AT673" s="234"/>
      <c r="AU673" s="234"/>
      <c r="AV673" s="234"/>
      <c r="AW673" s="234"/>
      <c r="AX673" s="234"/>
      <c r="AY673" s="234"/>
      <c r="AZ673" s="234"/>
      <c r="BA673" s="234"/>
      <c r="BB673" s="234"/>
      <c r="BC673" s="234"/>
      <c r="BD673" s="234"/>
      <c r="BE673" s="234"/>
      <c r="BF673" s="234"/>
      <c r="BG673" s="234"/>
      <c r="BH673" s="234"/>
      <c r="BI673" s="234"/>
      <c r="BJ673" s="234"/>
      <c r="BK673" s="234"/>
      <c r="BL673" s="234"/>
      <c r="BM673" s="234"/>
      <c r="BN673" s="234"/>
      <c r="BO673" s="234"/>
    </row>
    <row r="674" spans="1:67" ht="24" customHeight="1" x14ac:dyDescent="0.25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  <c r="AB674" s="234"/>
      <c r="AC674" s="234"/>
      <c r="AD674" s="234"/>
      <c r="AE674" s="234"/>
      <c r="AF674" s="234"/>
      <c r="AG674" s="234"/>
      <c r="AH674" s="234"/>
      <c r="AI674" s="234"/>
      <c r="AJ674" s="234"/>
      <c r="AK674" s="234"/>
      <c r="AL674" s="234"/>
      <c r="AM674" s="234"/>
      <c r="AN674" s="234"/>
      <c r="AO674" s="234"/>
      <c r="AP674" s="234"/>
      <c r="AQ674" s="234"/>
      <c r="AR674" s="234"/>
      <c r="AS674" s="234"/>
      <c r="AT674" s="234"/>
      <c r="AU674" s="234"/>
      <c r="AV674" s="234"/>
      <c r="AW674" s="234"/>
      <c r="AX674" s="234"/>
      <c r="AY674" s="234"/>
      <c r="AZ674" s="234"/>
      <c r="BA674" s="234"/>
      <c r="BB674" s="234"/>
      <c r="BC674" s="234"/>
      <c r="BD674" s="234"/>
      <c r="BE674" s="234"/>
      <c r="BF674" s="234"/>
      <c r="BG674" s="234"/>
      <c r="BH674" s="234"/>
      <c r="BI674" s="234"/>
      <c r="BJ674" s="234"/>
      <c r="BK674" s="234"/>
      <c r="BL674" s="234"/>
      <c r="BM674" s="234"/>
      <c r="BN674" s="234"/>
      <c r="BO674" s="234"/>
    </row>
    <row r="675" spans="1:67" ht="24" customHeight="1" x14ac:dyDescent="0.2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  <c r="AB675" s="234"/>
      <c r="AC675" s="234"/>
      <c r="AD675" s="234"/>
      <c r="AE675" s="234"/>
      <c r="AF675" s="234"/>
      <c r="AG675" s="234"/>
      <c r="AH675" s="234"/>
      <c r="AI675" s="234"/>
      <c r="AJ675" s="234"/>
      <c r="AK675" s="234"/>
      <c r="AL675" s="234"/>
      <c r="AM675" s="234"/>
      <c r="AN675" s="234"/>
      <c r="AO675" s="234"/>
      <c r="AP675" s="234"/>
      <c r="AQ675" s="234"/>
      <c r="AR675" s="234"/>
      <c r="AS675" s="234"/>
      <c r="AT675" s="234"/>
      <c r="AU675" s="234"/>
      <c r="AV675" s="234"/>
      <c r="AW675" s="234"/>
      <c r="AX675" s="234"/>
      <c r="AY675" s="234"/>
      <c r="AZ675" s="234"/>
      <c r="BA675" s="234"/>
      <c r="BB675" s="234"/>
      <c r="BC675" s="234"/>
      <c r="BD675" s="234"/>
      <c r="BE675" s="234"/>
      <c r="BF675" s="234"/>
      <c r="BG675" s="234"/>
      <c r="BH675" s="234"/>
      <c r="BI675" s="234"/>
      <c r="BJ675" s="234"/>
      <c r="BK675" s="234"/>
      <c r="BL675" s="234"/>
      <c r="BM675" s="234"/>
      <c r="BN675" s="234"/>
      <c r="BO675" s="234"/>
    </row>
    <row r="676" spans="1:67" ht="24" customHeight="1" x14ac:dyDescent="0.25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  <c r="AB676" s="234"/>
      <c r="AC676" s="234"/>
      <c r="AD676" s="234"/>
      <c r="AE676" s="234"/>
      <c r="AF676" s="234"/>
      <c r="AG676" s="234"/>
      <c r="AH676" s="234"/>
      <c r="AI676" s="234"/>
      <c r="AJ676" s="234"/>
      <c r="AK676" s="234"/>
      <c r="AL676" s="234"/>
      <c r="AM676" s="234"/>
      <c r="AN676" s="234"/>
      <c r="AO676" s="234"/>
      <c r="AP676" s="234"/>
      <c r="AQ676" s="234"/>
      <c r="AR676" s="234"/>
      <c r="AS676" s="234"/>
      <c r="AT676" s="234"/>
      <c r="AU676" s="234"/>
      <c r="AV676" s="234"/>
      <c r="AW676" s="234"/>
      <c r="AX676" s="234"/>
      <c r="AY676" s="234"/>
      <c r="AZ676" s="234"/>
      <c r="BA676" s="234"/>
      <c r="BB676" s="234"/>
      <c r="BC676" s="234"/>
      <c r="BD676" s="234"/>
      <c r="BE676" s="234"/>
      <c r="BF676" s="234"/>
      <c r="BG676" s="234"/>
      <c r="BH676" s="234"/>
      <c r="BI676" s="234"/>
      <c r="BJ676" s="234"/>
      <c r="BK676" s="234"/>
      <c r="BL676" s="234"/>
      <c r="BM676" s="234"/>
      <c r="BN676" s="234"/>
      <c r="BO676" s="234"/>
    </row>
    <row r="677" spans="1:67" ht="24" customHeight="1" x14ac:dyDescent="0.25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  <c r="AB677" s="234"/>
      <c r="AC677" s="234"/>
      <c r="AD677" s="234"/>
      <c r="AE677" s="234"/>
      <c r="AF677" s="234"/>
      <c r="AG677" s="234"/>
      <c r="AH677" s="234"/>
      <c r="AI677" s="234"/>
      <c r="AJ677" s="234"/>
      <c r="AK677" s="234"/>
      <c r="AL677" s="234"/>
      <c r="AM677" s="234"/>
      <c r="AN677" s="234"/>
      <c r="AO677" s="234"/>
      <c r="AP677" s="234"/>
      <c r="AQ677" s="234"/>
      <c r="AR677" s="234"/>
      <c r="AS677" s="234"/>
      <c r="AT677" s="234"/>
      <c r="AU677" s="234"/>
      <c r="AV677" s="234"/>
      <c r="AW677" s="234"/>
      <c r="AX677" s="234"/>
      <c r="AY677" s="234"/>
      <c r="AZ677" s="234"/>
      <c r="BA677" s="234"/>
      <c r="BB677" s="234"/>
      <c r="BC677" s="234"/>
      <c r="BD677" s="234"/>
      <c r="BE677" s="234"/>
      <c r="BF677" s="234"/>
      <c r="BG677" s="234"/>
      <c r="BH677" s="234"/>
      <c r="BI677" s="234"/>
      <c r="BJ677" s="234"/>
      <c r="BK677" s="234"/>
      <c r="BL677" s="234"/>
      <c r="BM677" s="234"/>
      <c r="BN677" s="234"/>
      <c r="BO677" s="234"/>
    </row>
    <row r="678" spans="1:67" ht="24" customHeight="1" x14ac:dyDescent="0.25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  <c r="AB678" s="234"/>
      <c r="AC678" s="234"/>
      <c r="AD678" s="234"/>
      <c r="AE678" s="234"/>
      <c r="AF678" s="234"/>
      <c r="AG678" s="234"/>
      <c r="AH678" s="234"/>
      <c r="AI678" s="234"/>
      <c r="AJ678" s="234"/>
      <c r="AK678" s="234"/>
      <c r="AL678" s="234"/>
      <c r="AM678" s="234"/>
      <c r="AN678" s="234"/>
      <c r="AO678" s="234"/>
      <c r="AP678" s="234"/>
      <c r="AQ678" s="234"/>
      <c r="AR678" s="234"/>
      <c r="AS678" s="234"/>
      <c r="AT678" s="234"/>
      <c r="AU678" s="234"/>
      <c r="AV678" s="234"/>
      <c r="AW678" s="234"/>
      <c r="AX678" s="234"/>
      <c r="AY678" s="234"/>
      <c r="AZ678" s="234"/>
      <c r="BA678" s="234"/>
      <c r="BB678" s="234"/>
      <c r="BC678" s="234"/>
      <c r="BD678" s="234"/>
      <c r="BE678" s="234"/>
      <c r="BF678" s="234"/>
      <c r="BG678" s="234"/>
      <c r="BH678" s="234"/>
      <c r="BI678" s="234"/>
      <c r="BJ678" s="234"/>
      <c r="BK678" s="234"/>
      <c r="BL678" s="234"/>
      <c r="BM678" s="234"/>
      <c r="BN678" s="234"/>
      <c r="BO678" s="234"/>
    </row>
    <row r="679" spans="1:67" ht="24" customHeight="1" x14ac:dyDescent="0.25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  <c r="AB679" s="234"/>
      <c r="AC679" s="234"/>
      <c r="AD679" s="234"/>
      <c r="AE679" s="234"/>
      <c r="AF679" s="234"/>
      <c r="AG679" s="234"/>
      <c r="AH679" s="234"/>
      <c r="AI679" s="234"/>
      <c r="AJ679" s="234"/>
      <c r="AK679" s="234"/>
      <c r="AL679" s="234"/>
      <c r="AM679" s="234"/>
      <c r="AN679" s="234"/>
      <c r="AO679" s="234"/>
      <c r="AP679" s="234"/>
      <c r="AQ679" s="234"/>
      <c r="AR679" s="234"/>
      <c r="AS679" s="234"/>
      <c r="AT679" s="234"/>
      <c r="AU679" s="234"/>
      <c r="AV679" s="234"/>
      <c r="AW679" s="234"/>
      <c r="AX679" s="234"/>
      <c r="AY679" s="234"/>
      <c r="AZ679" s="234"/>
      <c r="BA679" s="234"/>
      <c r="BB679" s="234"/>
      <c r="BC679" s="234"/>
      <c r="BD679" s="234"/>
      <c r="BE679" s="234"/>
      <c r="BF679" s="234"/>
      <c r="BG679" s="234"/>
      <c r="BH679" s="234"/>
      <c r="BI679" s="234"/>
      <c r="BJ679" s="234"/>
      <c r="BK679" s="234"/>
      <c r="BL679" s="234"/>
      <c r="BM679" s="234"/>
      <c r="BN679" s="234"/>
      <c r="BO679" s="234"/>
    </row>
    <row r="680" spans="1:67" ht="24" customHeight="1" x14ac:dyDescent="0.25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  <c r="AC680" s="234"/>
      <c r="AD680" s="234"/>
      <c r="AE680" s="234"/>
      <c r="AF680" s="234"/>
      <c r="AG680" s="234"/>
      <c r="AH680" s="234"/>
      <c r="AI680" s="234"/>
      <c r="AJ680" s="234"/>
      <c r="AK680" s="234"/>
      <c r="AL680" s="234"/>
      <c r="AM680" s="234"/>
      <c r="AN680" s="234"/>
      <c r="AO680" s="234"/>
      <c r="AP680" s="234"/>
      <c r="AQ680" s="234"/>
      <c r="AR680" s="234"/>
      <c r="AS680" s="234"/>
      <c r="AT680" s="234"/>
      <c r="AU680" s="234"/>
      <c r="AV680" s="234"/>
      <c r="AW680" s="234"/>
      <c r="AX680" s="234"/>
      <c r="AY680" s="234"/>
      <c r="AZ680" s="234"/>
      <c r="BA680" s="234"/>
      <c r="BB680" s="234"/>
      <c r="BC680" s="234"/>
      <c r="BD680" s="234"/>
      <c r="BE680" s="234"/>
      <c r="BF680" s="234"/>
      <c r="BG680" s="234"/>
      <c r="BH680" s="234"/>
      <c r="BI680" s="234"/>
      <c r="BJ680" s="234"/>
      <c r="BK680" s="234"/>
      <c r="BL680" s="234"/>
      <c r="BM680" s="234"/>
      <c r="BN680" s="234"/>
      <c r="BO680" s="234"/>
    </row>
    <row r="681" spans="1:67" ht="24" customHeight="1" x14ac:dyDescent="0.25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  <c r="AC681" s="234"/>
      <c r="AD681" s="234"/>
      <c r="AE681" s="234"/>
      <c r="AF681" s="234"/>
      <c r="AG681" s="234"/>
      <c r="AH681" s="234"/>
      <c r="AI681" s="234"/>
      <c r="AJ681" s="234"/>
      <c r="AK681" s="234"/>
      <c r="AL681" s="234"/>
      <c r="AM681" s="234"/>
      <c r="AN681" s="234"/>
      <c r="AO681" s="234"/>
      <c r="AP681" s="234"/>
      <c r="AQ681" s="234"/>
      <c r="AR681" s="234"/>
      <c r="AS681" s="234"/>
      <c r="AT681" s="234"/>
      <c r="AU681" s="234"/>
      <c r="AV681" s="234"/>
      <c r="AW681" s="234"/>
      <c r="AX681" s="234"/>
      <c r="AY681" s="234"/>
      <c r="AZ681" s="234"/>
      <c r="BA681" s="234"/>
      <c r="BB681" s="234"/>
      <c r="BC681" s="234"/>
      <c r="BD681" s="234"/>
      <c r="BE681" s="234"/>
      <c r="BF681" s="234"/>
      <c r="BG681" s="234"/>
      <c r="BH681" s="234"/>
      <c r="BI681" s="234"/>
      <c r="BJ681" s="234"/>
      <c r="BK681" s="234"/>
      <c r="BL681" s="234"/>
      <c r="BM681" s="234"/>
      <c r="BN681" s="234"/>
      <c r="BO681" s="234"/>
    </row>
    <row r="682" spans="1:67" ht="24" customHeight="1" x14ac:dyDescent="0.25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  <c r="AB682" s="234"/>
      <c r="AC682" s="234"/>
      <c r="AD682" s="234"/>
      <c r="AE682" s="234"/>
      <c r="AF682" s="234"/>
      <c r="AG682" s="234"/>
      <c r="AH682" s="234"/>
      <c r="AI682" s="234"/>
      <c r="AJ682" s="234"/>
      <c r="AK682" s="234"/>
      <c r="AL682" s="234"/>
      <c r="AM682" s="234"/>
      <c r="AN682" s="234"/>
      <c r="AO682" s="234"/>
      <c r="AP682" s="234"/>
      <c r="AQ682" s="234"/>
      <c r="AR682" s="234"/>
      <c r="AS682" s="234"/>
      <c r="AT682" s="234"/>
      <c r="AU682" s="234"/>
      <c r="AV682" s="234"/>
      <c r="AW682" s="234"/>
      <c r="AX682" s="234"/>
      <c r="AY682" s="234"/>
      <c r="AZ682" s="234"/>
      <c r="BA682" s="234"/>
      <c r="BB682" s="234"/>
      <c r="BC682" s="234"/>
      <c r="BD682" s="234"/>
      <c r="BE682" s="234"/>
      <c r="BF682" s="234"/>
      <c r="BG682" s="234"/>
      <c r="BH682" s="234"/>
      <c r="BI682" s="234"/>
      <c r="BJ682" s="234"/>
      <c r="BK682" s="234"/>
      <c r="BL682" s="234"/>
      <c r="BM682" s="234"/>
      <c r="BN682" s="234"/>
      <c r="BO682" s="234"/>
    </row>
    <row r="683" spans="1:67" ht="24" customHeight="1" x14ac:dyDescent="0.25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  <c r="AB683" s="234"/>
      <c r="AC683" s="234"/>
      <c r="AD683" s="234"/>
      <c r="AE683" s="234"/>
      <c r="AF683" s="234"/>
      <c r="AG683" s="234"/>
      <c r="AH683" s="234"/>
      <c r="AI683" s="234"/>
      <c r="AJ683" s="234"/>
      <c r="AK683" s="234"/>
      <c r="AL683" s="234"/>
      <c r="AM683" s="234"/>
      <c r="AN683" s="234"/>
      <c r="AO683" s="234"/>
      <c r="AP683" s="234"/>
      <c r="AQ683" s="234"/>
      <c r="AR683" s="234"/>
      <c r="AS683" s="234"/>
      <c r="AT683" s="234"/>
      <c r="AU683" s="234"/>
      <c r="AV683" s="234"/>
      <c r="AW683" s="234"/>
      <c r="AX683" s="234"/>
      <c r="AY683" s="234"/>
      <c r="AZ683" s="234"/>
      <c r="BA683" s="234"/>
      <c r="BB683" s="234"/>
      <c r="BC683" s="234"/>
      <c r="BD683" s="234"/>
      <c r="BE683" s="234"/>
      <c r="BF683" s="234"/>
      <c r="BG683" s="234"/>
      <c r="BH683" s="234"/>
      <c r="BI683" s="234"/>
      <c r="BJ683" s="234"/>
      <c r="BK683" s="234"/>
      <c r="BL683" s="234"/>
      <c r="BM683" s="234"/>
      <c r="BN683" s="234"/>
      <c r="BO683" s="234"/>
    </row>
    <row r="684" spans="1:67" ht="24" customHeight="1" x14ac:dyDescent="0.25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  <c r="AB684" s="234"/>
      <c r="AC684" s="234"/>
      <c r="AD684" s="234"/>
      <c r="AE684" s="234"/>
      <c r="AF684" s="234"/>
      <c r="AG684" s="234"/>
      <c r="AH684" s="234"/>
      <c r="AI684" s="234"/>
      <c r="AJ684" s="234"/>
      <c r="AK684" s="234"/>
      <c r="AL684" s="234"/>
      <c r="AM684" s="234"/>
      <c r="AN684" s="234"/>
      <c r="AO684" s="234"/>
      <c r="AP684" s="234"/>
      <c r="AQ684" s="234"/>
      <c r="AR684" s="234"/>
      <c r="AS684" s="234"/>
      <c r="AT684" s="234"/>
      <c r="AU684" s="234"/>
      <c r="AV684" s="234"/>
      <c r="AW684" s="234"/>
      <c r="AX684" s="234"/>
      <c r="AY684" s="234"/>
      <c r="AZ684" s="234"/>
      <c r="BA684" s="234"/>
      <c r="BB684" s="234"/>
      <c r="BC684" s="234"/>
      <c r="BD684" s="234"/>
      <c r="BE684" s="234"/>
      <c r="BF684" s="234"/>
      <c r="BG684" s="234"/>
      <c r="BH684" s="234"/>
      <c r="BI684" s="234"/>
      <c r="BJ684" s="234"/>
      <c r="BK684" s="234"/>
      <c r="BL684" s="234"/>
      <c r="BM684" s="234"/>
      <c r="BN684" s="234"/>
      <c r="BO684" s="234"/>
    </row>
    <row r="685" spans="1:67" ht="24" customHeight="1" x14ac:dyDescent="0.2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  <c r="AB685" s="234"/>
      <c r="AC685" s="234"/>
      <c r="AD685" s="234"/>
      <c r="AE685" s="234"/>
      <c r="AF685" s="234"/>
      <c r="AG685" s="234"/>
      <c r="AH685" s="234"/>
      <c r="AI685" s="234"/>
      <c r="AJ685" s="234"/>
      <c r="AK685" s="234"/>
      <c r="AL685" s="234"/>
      <c r="AM685" s="234"/>
      <c r="AN685" s="234"/>
      <c r="AO685" s="234"/>
      <c r="AP685" s="234"/>
      <c r="AQ685" s="234"/>
      <c r="AR685" s="234"/>
      <c r="AS685" s="234"/>
      <c r="AT685" s="234"/>
      <c r="AU685" s="234"/>
      <c r="AV685" s="234"/>
      <c r="AW685" s="234"/>
      <c r="AX685" s="234"/>
      <c r="AY685" s="234"/>
      <c r="AZ685" s="234"/>
      <c r="BA685" s="234"/>
      <c r="BB685" s="234"/>
      <c r="BC685" s="234"/>
      <c r="BD685" s="234"/>
      <c r="BE685" s="234"/>
      <c r="BF685" s="234"/>
      <c r="BG685" s="234"/>
      <c r="BH685" s="234"/>
      <c r="BI685" s="234"/>
      <c r="BJ685" s="234"/>
      <c r="BK685" s="234"/>
      <c r="BL685" s="234"/>
      <c r="BM685" s="234"/>
      <c r="BN685" s="234"/>
      <c r="BO685" s="234"/>
    </row>
    <row r="686" spans="1:67" ht="24" customHeight="1" x14ac:dyDescent="0.25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  <c r="AB686" s="234"/>
      <c r="AC686" s="234"/>
      <c r="AD686" s="234"/>
      <c r="AE686" s="234"/>
      <c r="AF686" s="234"/>
      <c r="AG686" s="234"/>
      <c r="AH686" s="234"/>
      <c r="AI686" s="234"/>
      <c r="AJ686" s="234"/>
      <c r="AK686" s="234"/>
      <c r="AL686" s="234"/>
      <c r="AM686" s="234"/>
      <c r="AN686" s="234"/>
      <c r="AO686" s="234"/>
      <c r="AP686" s="234"/>
      <c r="AQ686" s="234"/>
      <c r="AR686" s="234"/>
      <c r="AS686" s="234"/>
      <c r="AT686" s="234"/>
      <c r="AU686" s="234"/>
      <c r="AV686" s="234"/>
      <c r="AW686" s="234"/>
      <c r="AX686" s="234"/>
      <c r="AY686" s="234"/>
      <c r="AZ686" s="234"/>
      <c r="BA686" s="234"/>
      <c r="BB686" s="234"/>
      <c r="BC686" s="234"/>
      <c r="BD686" s="234"/>
      <c r="BE686" s="234"/>
      <c r="BF686" s="234"/>
      <c r="BG686" s="234"/>
      <c r="BH686" s="234"/>
      <c r="BI686" s="234"/>
      <c r="BJ686" s="234"/>
      <c r="BK686" s="234"/>
      <c r="BL686" s="234"/>
      <c r="BM686" s="234"/>
      <c r="BN686" s="234"/>
      <c r="BO686" s="234"/>
    </row>
    <row r="687" spans="1:67" ht="24" customHeight="1" x14ac:dyDescent="0.25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  <c r="AB687" s="234"/>
      <c r="AC687" s="234"/>
      <c r="AD687" s="234"/>
      <c r="AE687" s="234"/>
      <c r="AF687" s="234"/>
      <c r="AG687" s="234"/>
      <c r="AH687" s="234"/>
      <c r="AI687" s="234"/>
      <c r="AJ687" s="234"/>
      <c r="AK687" s="234"/>
      <c r="AL687" s="234"/>
      <c r="AM687" s="234"/>
      <c r="AN687" s="234"/>
      <c r="AO687" s="234"/>
      <c r="AP687" s="234"/>
      <c r="AQ687" s="234"/>
      <c r="AR687" s="234"/>
      <c r="AS687" s="234"/>
      <c r="AT687" s="234"/>
      <c r="AU687" s="234"/>
      <c r="AV687" s="234"/>
      <c r="AW687" s="234"/>
      <c r="AX687" s="234"/>
      <c r="AY687" s="234"/>
      <c r="AZ687" s="234"/>
      <c r="BA687" s="234"/>
      <c r="BB687" s="234"/>
      <c r="BC687" s="234"/>
      <c r="BD687" s="234"/>
      <c r="BE687" s="234"/>
      <c r="BF687" s="234"/>
      <c r="BG687" s="234"/>
      <c r="BH687" s="234"/>
      <c r="BI687" s="234"/>
      <c r="BJ687" s="234"/>
      <c r="BK687" s="234"/>
      <c r="BL687" s="234"/>
      <c r="BM687" s="234"/>
      <c r="BN687" s="234"/>
      <c r="BO687" s="234"/>
    </row>
    <row r="688" spans="1:67" ht="24" customHeight="1" x14ac:dyDescent="0.25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  <c r="AB688" s="234"/>
      <c r="AC688" s="234"/>
      <c r="AD688" s="234"/>
      <c r="AE688" s="234"/>
      <c r="AF688" s="234"/>
      <c r="AG688" s="234"/>
      <c r="AH688" s="234"/>
      <c r="AI688" s="234"/>
      <c r="AJ688" s="234"/>
      <c r="AK688" s="234"/>
      <c r="AL688" s="234"/>
      <c r="AM688" s="234"/>
      <c r="AN688" s="234"/>
      <c r="AO688" s="234"/>
      <c r="AP688" s="234"/>
      <c r="AQ688" s="234"/>
      <c r="AR688" s="234"/>
      <c r="AS688" s="234"/>
      <c r="AT688" s="234"/>
      <c r="AU688" s="234"/>
      <c r="AV688" s="234"/>
      <c r="AW688" s="234"/>
      <c r="AX688" s="234"/>
      <c r="AY688" s="234"/>
      <c r="AZ688" s="234"/>
      <c r="BA688" s="234"/>
      <c r="BB688" s="234"/>
      <c r="BC688" s="234"/>
      <c r="BD688" s="234"/>
      <c r="BE688" s="234"/>
      <c r="BF688" s="234"/>
      <c r="BG688" s="234"/>
      <c r="BH688" s="234"/>
      <c r="BI688" s="234"/>
      <c r="BJ688" s="234"/>
      <c r="BK688" s="234"/>
      <c r="BL688" s="234"/>
      <c r="BM688" s="234"/>
      <c r="BN688" s="234"/>
      <c r="BO688" s="234"/>
    </row>
    <row r="689" spans="1:67" ht="24" customHeight="1" x14ac:dyDescent="0.25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  <c r="AB689" s="234"/>
      <c r="AC689" s="234"/>
      <c r="AD689" s="234"/>
      <c r="AE689" s="234"/>
      <c r="AF689" s="234"/>
      <c r="AG689" s="234"/>
      <c r="AH689" s="234"/>
      <c r="AI689" s="234"/>
      <c r="AJ689" s="234"/>
      <c r="AK689" s="234"/>
      <c r="AL689" s="234"/>
      <c r="AM689" s="234"/>
      <c r="AN689" s="234"/>
      <c r="AO689" s="234"/>
      <c r="AP689" s="234"/>
      <c r="AQ689" s="234"/>
      <c r="AR689" s="234"/>
      <c r="AS689" s="234"/>
      <c r="AT689" s="234"/>
      <c r="AU689" s="234"/>
      <c r="AV689" s="234"/>
      <c r="AW689" s="234"/>
      <c r="AX689" s="234"/>
      <c r="AY689" s="234"/>
      <c r="AZ689" s="234"/>
      <c r="BA689" s="234"/>
      <c r="BB689" s="234"/>
      <c r="BC689" s="234"/>
      <c r="BD689" s="234"/>
      <c r="BE689" s="234"/>
      <c r="BF689" s="234"/>
      <c r="BG689" s="234"/>
      <c r="BH689" s="234"/>
      <c r="BI689" s="234"/>
      <c r="BJ689" s="234"/>
      <c r="BK689" s="234"/>
      <c r="BL689" s="234"/>
      <c r="BM689" s="234"/>
      <c r="BN689" s="234"/>
      <c r="BO689" s="234"/>
    </row>
    <row r="690" spans="1:67" ht="24" customHeight="1" x14ac:dyDescent="0.25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  <c r="AB690" s="234"/>
      <c r="AC690" s="234"/>
      <c r="AD690" s="234"/>
      <c r="AE690" s="234"/>
      <c r="AF690" s="234"/>
      <c r="AG690" s="234"/>
      <c r="AH690" s="234"/>
      <c r="AI690" s="234"/>
      <c r="AJ690" s="234"/>
      <c r="AK690" s="234"/>
      <c r="AL690" s="234"/>
      <c r="AM690" s="234"/>
      <c r="AN690" s="234"/>
      <c r="AO690" s="234"/>
      <c r="AP690" s="234"/>
      <c r="AQ690" s="234"/>
      <c r="AR690" s="234"/>
      <c r="AS690" s="234"/>
      <c r="AT690" s="234"/>
      <c r="AU690" s="234"/>
      <c r="AV690" s="234"/>
      <c r="AW690" s="234"/>
      <c r="AX690" s="234"/>
      <c r="AY690" s="234"/>
      <c r="AZ690" s="234"/>
      <c r="BA690" s="234"/>
      <c r="BB690" s="234"/>
      <c r="BC690" s="234"/>
      <c r="BD690" s="234"/>
      <c r="BE690" s="234"/>
      <c r="BF690" s="234"/>
      <c r="BG690" s="234"/>
      <c r="BH690" s="234"/>
      <c r="BI690" s="234"/>
      <c r="BJ690" s="234"/>
      <c r="BK690" s="234"/>
      <c r="BL690" s="234"/>
      <c r="BM690" s="234"/>
      <c r="BN690" s="234"/>
      <c r="BO690" s="234"/>
    </row>
    <row r="691" spans="1:67" ht="24" customHeight="1" x14ac:dyDescent="0.25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  <c r="AB691" s="234"/>
      <c r="AC691" s="234"/>
      <c r="AD691" s="234"/>
      <c r="AE691" s="234"/>
      <c r="AF691" s="234"/>
      <c r="AG691" s="234"/>
      <c r="AH691" s="234"/>
      <c r="AI691" s="234"/>
      <c r="AJ691" s="234"/>
      <c r="AK691" s="234"/>
      <c r="AL691" s="234"/>
      <c r="AM691" s="234"/>
      <c r="AN691" s="234"/>
      <c r="AO691" s="234"/>
      <c r="AP691" s="234"/>
      <c r="AQ691" s="234"/>
      <c r="AR691" s="234"/>
      <c r="AS691" s="234"/>
      <c r="AT691" s="234"/>
      <c r="AU691" s="234"/>
      <c r="AV691" s="234"/>
      <c r="AW691" s="234"/>
      <c r="AX691" s="234"/>
      <c r="AY691" s="234"/>
      <c r="AZ691" s="234"/>
      <c r="BA691" s="234"/>
      <c r="BB691" s="234"/>
      <c r="BC691" s="234"/>
      <c r="BD691" s="234"/>
      <c r="BE691" s="234"/>
      <c r="BF691" s="234"/>
      <c r="BG691" s="234"/>
      <c r="BH691" s="234"/>
      <c r="BI691" s="234"/>
      <c r="BJ691" s="234"/>
      <c r="BK691" s="234"/>
      <c r="BL691" s="234"/>
      <c r="BM691" s="234"/>
      <c r="BN691" s="234"/>
      <c r="BO691" s="234"/>
    </row>
    <row r="692" spans="1:67" ht="24" customHeight="1" x14ac:dyDescent="0.25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  <c r="AB692" s="234"/>
      <c r="AC692" s="234"/>
      <c r="AD692" s="234"/>
      <c r="AE692" s="234"/>
      <c r="AF692" s="234"/>
      <c r="AG692" s="234"/>
      <c r="AH692" s="234"/>
      <c r="AI692" s="234"/>
      <c r="AJ692" s="234"/>
      <c r="AK692" s="234"/>
      <c r="AL692" s="234"/>
      <c r="AM692" s="234"/>
      <c r="AN692" s="234"/>
      <c r="AO692" s="234"/>
      <c r="AP692" s="234"/>
      <c r="AQ692" s="234"/>
      <c r="AR692" s="234"/>
      <c r="AS692" s="234"/>
      <c r="AT692" s="234"/>
      <c r="AU692" s="234"/>
      <c r="AV692" s="234"/>
      <c r="AW692" s="234"/>
      <c r="AX692" s="234"/>
      <c r="AY692" s="234"/>
      <c r="AZ692" s="234"/>
      <c r="BA692" s="234"/>
      <c r="BB692" s="234"/>
      <c r="BC692" s="234"/>
      <c r="BD692" s="234"/>
      <c r="BE692" s="234"/>
      <c r="BF692" s="234"/>
      <c r="BG692" s="234"/>
      <c r="BH692" s="234"/>
      <c r="BI692" s="234"/>
      <c r="BJ692" s="234"/>
      <c r="BK692" s="234"/>
      <c r="BL692" s="234"/>
      <c r="BM692" s="234"/>
      <c r="BN692" s="234"/>
      <c r="BO692" s="234"/>
    </row>
    <row r="693" spans="1:67" ht="24" customHeight="1" x14ac:dyDescent="0.25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  <c r="AB693" s="234"/>
      <c r="AC693" s="234"/>
      <c r="AD693" s="234"/>
      <c r="AE693" s="234"/>
      <c r="AF693" s="234"/>
      <c r="AG693" s="234"/>
      <c r="AH693" s="234"/>
      <c r="AI693" s="234"/>
      <c r="AJ693" s="234"/>
      <c r="AK693" s="234"/>
      <c r="AL693" s="234"/>
      <c r="AM693" s="234"/>
      <c r="AN693" s="234"/>
      <c r="AO693" s="234"/>
      <c r="AP693" s="234"/>
      <c r="AQ693" s="234"/>
      <c r="AR693" s="234"/>
      <c r="AS693" s="234"/>
      <c r="AT693" s="234"/>
      <c r="AU693" s="234"/>
      <c r="AV693" s="234"/>
      <c r="AW693" s="234"/>
      <c r="AX693" s="234"/>
      <c r="AY693" s="234"/>
      <c r="AZ693" s="234"/>
      <c r="BA693" s="234"/>
      <c r="BB693" s="234"/>
      <c r="BC693" s="234"/>
      <c r="BD693" s="234"/>
      <c r="BE693" s="234"/>
      <c r="BF693" s="234"/>
      <c r="BG693" s="234"/>
      <c r="BH693" s="234"/>
      <c r="BI693" s="234"/>
      <c r="BJ693" s="234"/>
      <c r="BK693" s="234"/>
      <c r="BL693" s="234"/>
      <c r="BM693" s="234"/>
      <c r="BN693" s="234"/>
      <c r="BO693" s="234"/>
    </row>
    <row r="694" spans="1:67" ht="24" customHeight="1" x14ac:dyDescent="0.25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  <c r="AB694" s="234"/>
      <c r="AC694" s="234"/>
      <c r="AD694" s="234"/>
      <c r="AE694" s="234"/>
      <c r="AF694" s="234"/>
      <c r="AG694" s="234"/>
      <c r="AH694" s="234"/>
      <c r="AI694" s="234"/>
      <c r="AJ694" s="234"/>
      <c r="AK694" s="234"/>
      <c r="AL694" s="234"/>
      <c r="AM694" s="234"/>
      <c r="AN694" s="234"/>
      <c r="AO694" s="234"/>
      <c r="AP694" s="234"/>
      <c r="AQ694" s="234"/>
      <c r="AR694" s="234"/>
      <c r="AS694" s="234"/>
      <c r="AT694" s="234"/>
      <c r="AU694" s="234"/>
      <c r="AV694" s="234"/>
      <c r="AW694" s="234"/>
      <c r="AX694" s="234"/>
      <c r="AY694" s="234"/>
      <c r="AZ694" s="234"/>
      <c r="BA694" s="234"/>
      <c r="BB694" s="234"/>
      <c r="BC694" s="234"/>
      <c r="BD694" s="234"/>
      <c r="BE694" s="234"/>
      <c r="BF694" s="234"/>
      <c r="BG694" s="234"/>
      <c r="BH694" s="234"/>
      <c r="BI694" s="234"/>
      <c r="BJ694" s="234"/>
      <c r="BK694" s="234"/>
      <c r="BL694" s="234"/>
      <c r="BM694" s="234"/>
      <c r="BN694" s="234"/>
      <c r="BO694" s="234"/>
    </row>
    <row r="695" spans="1:67" ht="24" customHeight="1" x14ac:dyDescent="0.2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  <c r="AB695" s="234"/>
      <c r="AC695" s="234"/>
      <c r="AD695" s="234"/>
      <c r="AE695" s="234"/>
      <c r="AF695" s="234"/>
      <c r="AG695" s="234"/>
      <c r="AH695" s="234"/>
      <c r="AI695" s="234"/>
      <c r="AJ695" s="234"/>
      <c r="AK695" s="234"/>
      <c r="AL695" s="234"/>
      <c r="AM695" s="234"/>
      <c r="AN695" s="234"/>
      <c r="AO695" s="234"/>
      <c r="AP695" s="234"/>
      <c r="AQ695" s="234"/>
      <c r="AR695" s="234"/>
      <c r="AS695" s="234"/>
      <c r="AT695" s="234"/>
      <c r="AU695" s="234"/>
      <c r="AV695" s="234"/>
      <c r="AW695" s="234"/>
      <c r="AX695" s="234"/>
      <c r="AY695" s="234"/>
      <c r="AZ695" s="234"/>
      <c r="BA695" s="234"/>
      <c r="BB695" s="234"/>
      <c r="BC695" s="234"/>
      <c r="BD695" s="234"/>
      <c r="BE695" s="234"/>
      <c r="BF695" s="234"/>
      <c r="BG695" s="234"/>
      <c r="BH695" s="234"/>
      <c r="BI695" s="234"/>
      <c r="BJ695" s="234"/>
      <c r="BK695" s="234"/>
      <c r="BL695" s="234"/>
      <c r="BM695" s="234"/>
      <c r="BN695" s="234"/>
      <c r="BO695" s="234"/>
    </row>
    <row r="696" spans="1:67" ht="24" customHeight="1" x14ac:dyDescent="0.25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  <c r="AB696" s="234"/>
      <c r="AC696" s="234"/>
      <c r="AD696" s="234"/>
      <c r="AE696" s="234"/>
      <c r="AF696" s="234"/>
      <c r="AG696" s="234"/>
      <c r="AH696" s="234"/>
      <c r="AI696" s="234"/>
      <c r="AJ696" s="234"/>
      <c r="AK696" s="234"/>
      <c r="AL696" s="234"/>
      <c r="AM696" s="234"/>
      <c r="AN696" s="234"/>
      <c r="AO696" s="234"/>
      <c r="AP696" s="234"/>
      <c r="AQ696" s="234"/>
      <c r="AR696" s="234"/>
      <c r="AS696" s="234"/>
      <c r="AT696" s="234"/>
      <c r="AU696" s="234"/>
      <c r="AV696" s="234"/>
      <c r="AW696" s="234"/>
      <c r="AX696" s="234"/>
      <c r="AY696" s="234"/>
      <c r="AZ696" s="234"/>
      <c r="BA696" s="234"/>
      <c r="BB696" s="234"/>
      <c r="BC696" s="234"/>
      <c r="BD696" s="234"/>
      <c r="BE696" s="234"/>
      <c r="BF696" s="234"/>
      <c r="BG696" s="234"/>
      <c r="BH696" s="234"/>
      <c r="BI696" s="234"/>
      <c r="BJ696" s="234"/>
      <c r="BK696" s="234"/>
      <c r="BL696" s="234"/>
      <c r="BM696" s="234"/>
      <c r="BN696" s="234"/>
      <c r="BO696" s="234"/>
    </row>
    <row r="697" spans="1:67" ht="24" customHeight="1" x14ac:dyDescent="0.25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  <c r="AB697" s="234"/>
      <c r="AC697" s="234"/>
      <c r="AD697" s="234"/>
      <c r="AE697" s="234"/>
      <c r="AF697" s="234"/>
      <c r="AG697" s="234"/>
      <c r="AH697" s="234"/>
      <c r="AI697" s="234"/>
      <c r="AJ697" s="234"/>
      <c r="AK697" s="234"/>
      <c r="AL697" s="234"/>
      <c r="AM697" s="234"/>
      <c r="AN697" s="234"/>
      <c r="AO697" s="234"/>
      <c r="AP697" s="234"/>
      <c r="AQ697" s="234"/>
      <c r="AR697" s="234"/>
      <c r="AS697" s="234"/>
      <c r="AT697" s="234"/>
      <c r="AU697" s="234"/>
      <c r="AV697" s="234"/>
      <c r="AW697" s="234"/>
      <c r="AX697" s="234"/>
      <c r="AY697" s="234"/>
      <c r="AZ697" s="234"/>
      <c r="BA697" s="234"/>
      <c r="BB697" s="234"/>
      <c r="BC697" s="234"/>
      <c r="BD697" s="234"/>
      <c r="BE697" s="234"/>
      <c r="BF697" s="234"/>
      <c r="BG697" s="234"/>
      <c r="BH697" s="234"/>
      <c r="BI697" s="234"/>
      <c r="BJ697" s="234"/>
      <c r="BK697" s="234"/>
      <c r="BL697" s="234"/>
      <c r="BM697" s="234"/>
      <c r="BN697" s="234"/>
      <c r="BO697" s="234"/>
    </row>
    <row r="698" spans="1:67" ht="24" customHeight="1" x14ac:dyDescent="0.25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  <c r="AB698" s="234"/>
      <c r="AC698" s="234"/>
      <c r="AD698" s="234"/>
      <c r="AE698" s="234"/>
      <c r="AF698" s="234"/>
      <c r="AG698" s="234"/>
      <c r="AH698" s="234"/>
      <c r="AI698" s="234"/>
      <c r="AJ698" s="234"/>
      <c r="AK698" s="234"/>
      <c r="AL698" s="234"/>
      <c r="AM698" s="234"/>
      <c r="AN698" s="234"/>
      <c r="AO698" s="234"/>
      <c r="AP698" s="234"/>
      <c r="AQ698" s="234"/>
      <c r="AR698" s="234"/>
      <c r="AS698" s="234"/>
      <c r="AT698" s="234"/>
      <c r="AU698" s="234"/>
      <c r="AV698" s="234"/>
      <c r="AW698" s="234"/>
      <c r="AX698" s="234"/>
      <c r="AY698" s="234"/>
      <c r="AZ698" s="234"/>
      <c r="BA698" s="234"/>
      <c r="BB698" s="234"/>
      <c r="BC698" s="234"/>
      <c r="BD698" s="234"/>
      <c r="BE698" s="234"/>
      <c r="BF698" s="234"/>
      <c r="BG698" s="234"/>
      <c r="BH698" s="234"/>
      <c r="BI698" s="234"/>
      <c r="BJ698" s="234"/>
      <c r="BK698" s="234"/>
      <c r="BL698" s="234"/>
      <c r="BM698" s="234"/>
      <c r="BN698" s="234"/>
      <c r="BO698" s="234"/>
    </row>
    <row r="699" spans="1:67" ht="24" customHeight="1" x14ac:dyDescent="0.25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  <c r="AB699" s="234"/>
      <c r="AC699" s="234"/>
      <c r="AD699" s="234"/>
      <c r="AE699" s="234"/>
      <c r="AF699" s="234"/>
      <c r="AG699" s="234"/>
      <c r="AH699" s="234"/>
      <c r="AI699" s="234"/>
      <c r="AJ699" s="234"/>
      <c r="AK699" s="234"/>
      <c r="AL699" s="234"/>
      <c r="AM699" s="234"/>
      <c r="AN699" s="234"/>
      <c r="AO699" s="234"/>
      <c r="AP699" s="234"/>
      <c r="AQ699" s="234"/>
      <c r="AR699" s="234"/>
      <c r="AS699" s="234"/>
      <c r="AT699" s="234"/>
      <c r="AU699" s="234"/>
      <c r="AV699" s="234"/>
      <c r="AW699" s="234"/>
      <c r="AX699" s="234"/>
      <c r="AY699" s="234"/>
      <c r="AZ699" s="234"/>
      <c r="BA699" s="234"/>
      <c r="BB699" s="234"/>
      <c r="BC699" s="234"/>
      <c r="BD699" s="234"/>
      <c r="BE699" s="234"/>
      <c r="BF699" s="234"/>
      <c r="BG699" s="234"/>
      <c r="BH699" s="234"/>
      <c r="BI699" s="234"/>
      <c r="BJ699" s="234"/>
      <c r="BK699" s="234"/>
      <c r="BL699" s="234"/>
      <c r="BM699" s="234"/>
      <c r="BN699" s="234"/>
      <c r="BO699" s="234"/>
    </row>
    <row r="700" spans="1:67" ht="24" customHeight="1" x14ac:dyDescent="0.25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  <c r="AB700" s="234"/>
      <c r="AC700" s="234"/>
      <c r="AD700" s="234"/>
      <c r="AE700" s="234"/>
      <c r="AF700" s="234"/>
      <c r="AG700" s="234"/>
      <c r="AH700" s="234"/>
      <c r="AI700" s="234"/>
      <c r="AJ700" s="234"/>
      <c r="AK700" s="234"/>
      <c r="AL700" s="234"/>
      <c r="AM700" s="234"/>
      <c r="AN700" s="234"/>
      <c r="AO700" s="234"/>
      <c r="AP700" s="234"/>
      <c r="AQ700" s="234"/>
      <c r="AR700" s="234"/>
      <c r="AS700" s="234"/>
      <c r="AT700" s="234"/>
      <c r="AU700" s="234"/>
      <c r="AV700" s="234"/>
      <c r="AW700" s="234"/>
      <c r="AX700" s="234"/>
      <c r="AY700" s="234"/>
      <c r="AZ700" s="234"/>
      <c r="BA700" s="234"/>
      <c r="BB700" s="234"/>
      <c r="BC700" s="234"/>
      <c r="BD700" s="234"/>
      <c r="BE700" s="234"/>
      <c r="BF700" s="234"/>
      <c r="BG700" s="234"/>
      <c r="BH700" s="234"/>
      <c r="BI700" s="234"/>
      <c r="BJ700" s="234"/>
      <c r="BK700" s="234"/>
      <c r="BL700" s="234"/>
      <c r="BM700" s="234"/>
      <c r="BN700" s="234"/>
      <c r="BO700" s="234"/>
    </row>
    <row r="701" spans="1:67" ht="24" customHeight="1" x14ac:dyDescent="0.25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  <c r="AB701" s="234"/>
      <c r="AC701" s="234"/>
      <c r="AD701" s="234"/>
      <c r="AE701" s="234"/>
      <c r="AF701" s="234"/>
      <c r="AG701" s="234"/>
      <c r="AH701" s="234"/>
      <c r="AI701" s="234"/>
      <c r="AJ701" s="234"/>
      <c r="AK701" s="234"/>
      <c r="AL701" s="234"/>
      <c r="AM701" s="234"/>
      <c r="AN701" s="234"/>
      <c r="AO701" s="234"/>
      <c r="AP701" s="234"/>
      <c r="AQ701" s="234"/>
      <c r="AR701" s="234"/>
      <c r="AS701" s="234"/>
      <c r="AT701" s="234"/>
      <c r="AU701" s="234"/>
      <c r="AV701" s="234"/>
      <c r="AW701" s="234"/>
      <c r="AX701" s="234"/>
      <c r="AY701" s="234"/>
      <c r="AZ701" s="234"/>
      <c r="BA701" s="234"/>
      <c r="BB701" s="234"/>
      <c r="BC701" s="234"/>
      <c r="BD701" s="234"/>
      <c r="BE701" s="234"/>
      <c r="BF701" s="234"/>
      <c r="BG701" s="234"/>
      <c r="BH701" s="234"/>
      <c r="BI701" s="234"/>
      <c r="BJ701" s="234"/>
      <c r="BK701" s="234"/>
      <c r="BL701" s="234"/>
      <c r="BM701" s="234"/>
      <c r="BN701" s="234"/>
      <c r="BO701" s="234"/>
    </row>
    <row r="702" spans="1:67" ht="24" customHeight="1" x14ac:dyDescent="0.25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  <c r="AB702" s="234"/>
      <c r="AC702" s="234"/>
      <c r="AD702" s="234"/>
      <c r="AE702" s="234"/>
      <c r="AF702" s="234"/>
      <c r="AG702" s="234"/>
      <c r="AH702" s="234"/>
      <c r="AI702" s="234"/>
      <c r="AJ702" s="234"/>
      <c r="AK702" s="234"/>
      <c r="AL702" s="234"/>
      <c r="AM702" s="234"/>
      <c r="AN702" s="234"/>
      <c r="AO702" s="234"/>
      <c r="AP702" s="234"/>
      <c r="AQ702" s="234"/>
      <c r="AR702" s="234"/>
      <c r="AS702" s="234"/>
      <c r="AT702" s="234"/>
      <c r="AU702" s="234"/>
      <c r="AV702" s="234"/>
      <c r="AW702" s="234"/>
      <c r="AX702" s="234"/>
      <c r="AY702" s="234"/>
      <c r="AZ702" s="234"/>
      <c r="BA702" s="234"/>
      <c r="BB702" s="234"/>
      <c r="BC702" s="234"/>
      <c r="BD702" s="234"/>
      <c r="BE702" s="234"/>
      <c r="BF702" s="234"/>
      <c r="BG702" s="234"/>
      <c r="BH702" s="234"/>
      <c r="BI702" s="234"/>
      <c r="BJ702" s="234"/>
      <c r="BK702" s="234"/>
      <c r="BL702" s="234"/>
      <c r="BM702" s="234"/>
      <c r="BN702" s="234"/>
      <c r="BO702" s="234"/>
    </row>
    <row r="703" spans="1:67" ht="24" customHeight="1" x14ac:dyDescent="0.25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  <c r="AB703" s="234"/>
      <c r="AC703" s="234"/>
      <c r="AD703" s="234"/>
      <c r="AE703" s="234"/>
      <c r="AF703" s="234"/>
      <c r="AG703" s="234"/>
      <c r="AH703" s="234"/>
      <c r="AI703" s="234"/>
      <c r="AJ703" s="234"/>
      <c r="AK703" s="234"/>
      <c r="AL703" s="234"/>
      <c r="AM703" s="234"/>
      <c r="AN703" s="234"/>
      <c r="AO703" s="234"/>
      <c r="AP703" s="234"/>
      <c r="AQ703" s="234"/>
      <c r="AR703" s="234"/>
      <c r="AS703" s="234"/>
      <c r="AT703" s="234"/>
      <c r="AU703" s="234"/>
      <c r="AV703" s="234"/>
      <c r="AW703" s="234"/>
      <c r="AX703" s="234"/>
      <c r="AY703" s="234"/>
      <c r="AZ703" s="234"/>
      <c r="BA703" s="234"/>
      <c r="BB703" s="234"/>
      <c r="BC703" s="234"/>
      <c r="BD703" s="234"/>
      <c r="BE703" s="234"/>
      <c r="BF703" s="234"/>
      <c r="BG703" s="234"/>
      <c r="BH703" s="234"/>
      <c r="BI703" s="234"/>
      <c r="BJ703" s="234"/>
      <c r="BK703" s="234"/>
      <c r="BL703" s="234"/>
      <c r="BM703" s="234"/>
      <c r="BN703" s="234"/>
      <c r="BO703" s="234"/>
    </row>
    <row r="704" spans="1:67" ht="24" customHeight="1" x14ac:dyDescent="0.25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  <c r="AB704" s="234"/>
      <c r="AC704" s="234"/>
      <c r="AD704" s="234"/>
      <c r="AE704" s="234"/>
      <c r="AF704" s="234"/>
      <c r="AG704" s="234"/>
      <c r="AH704" s="234"/>
      <c r="AI704" s="234"/>
      <c r="AJ704" s="234"/>
      <c r="AK704" s="234"/>
      <c r="AL704" s="234"/>
      <c r="AM704" s="234"/>
      <c r="AN704" s="234"/>
      <c r="AO704" s="234"/>
      <c r="AP704" s="234"/>
      <c r="AQ704" s="234"/>
      <c r="AR704" s="234"/>
      <c r="AS704" s="234"/>
      <c r="AT704" s="234"/>
      <c r="AU704" s="234"/>
      <c r="AV704" s="234"/>
      <c r="AW704" s="234"/>
      <c r="AX704" s="234"/>
      <c r="AY704" s="234"/>
      <c r="AZ704" s="234"/>
      <c r="BA704" s="234"/>
      <c r="BB704" s="234"/>
      <c r="BC704" s="234"/>
      <c r="BD704" s="234"/>
      <c r="BE704" s="234"/>
      <c r="BF704" s="234"/>
      <c r="BG704" s="234"/>
      <c r="BH704" s="234"/>
      <c r="BI704" s="234"/>
      <c r="BJ704" s="234"/>
      <c r="BK704" s="234"/>
      <c r="BL704" s="234"/>
      <c r="BM704" s="234"/>
      <c r="BN704" s="234"/>
      <c r="BO704" s="234"/>
    </row>
    <row r="705" spans="1:67" ht="24" customHeight="1" x14ac:dyDescent="0.2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  <c r="AB705" s="234"/>
      <c r="AC705" s="234"/>
      <c r="AD705" s="234"/>
      <c r="AE705" s="234"/>
      <c r="AF705" s="234"/>
      <c r="AG705" s="234"/>
      <c r="AH705" s="234"/>
      <c r="AI705" s="234"/>
      <c r="AJ705" s="234"/>
      <c r="AK705" s="234"/>
      <c r="AL705" s="234"/>
      <c r="AM705" s="234"/>
      <c r="AN705" s="234"/>
      <c r="AO705" s="234"/>
      <c r="AP705" s="234"/>
      <c r="AQ705" s="234"/>
      <c r="AR705" s="234"/>
      <c r="AS705" s="234"/>
      <c r="AT705" s="234"/>
      <c r="AU705" s="234"/>
      <c r="AV705" s="234"/>
      <c r="AW705" s="234"/>
      <c r="AX705" s="234"/>
      <c r="AY705" s="234"/>
      <c r="AZ705" s="234"/>
      <c r="BA705" s="234"/>
      <c r="BB705" s="234"/>
      <c r="BC705" s="234"/>
      <c r="BD705" s="234"/>
      <c r="BE705" s="234"/>
      <c r="BF705" s="234"/>
      <c r="BG705" s="234"/>
      <c r="BH705" s="234"/>
      <c r="BI705" s="234"/>
      <c r="BJ705" s="234"/>
      <c r="BK705" s="234"/>
      <c r="BL705" s="234"/>
      <c r="BM705" s="234"/>
      <c r="BN705" s="234"/>
      <c r="BO705" s="234"/>
    </row>
    <row r="706" spans="1:67" ht="24" customHeight="1" x14ac:dyDescent="0.25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  <c r="AB706" s="234"/>
      <c r="AC706" s="234"/>
      <c r="AD706" s="234"/>
      <c r="AE706" s="234"/>
      <c r="AF706" s="234"/>
      <c r="AG706" s="234"/>
      <c r="AH706" s="234"/>
      <c r="AI706" s="234"/>
      <c r="AJ706" s="234"/>
      <c r="AK706" s="234"/>
      <c r="AL706" s="234"/>
      <c r="AM706" s="234"/>
      <c r="AN706" s="234"/>
      <c r="AO706" s="234"/>
      <c r="AP706" s="234"/>
      <c r="AQ706" s="234"/>
      <c r="AR706" s="234"/>
      <c r="AS706" s="234"/>
      <c r="AT706" s="234"/>
      <c r="AU706" s="234"/>
      <c r="AV706" s="234"/>
      <c r="AW706" s="234"/>
      <c r="AX706" s="234"/>
      <c r="AY706" s="234"/>
      <c r="AZ706" s="234"/>
      <c r="BA706" s="234"/>
      <c r="BB706" s="234"/>
      <c r="BC706" s="234"/>
      <c r="BD706" s="234"/>
      <c r="BE706" s="234"/>
      <c r="BF706" s="234"/>
      <c r="BG706" s="234"/>
      <c r="BH706" s="234"/>
      <c r="BI706" s="234"/>
      <c r="BJ706" s="234"/>
      <c r="BK706" s="234"/>
      <c r="BL706" s="234"/>
      <c r="BM706" s="234"/>
      <c r="BN706" s="234"/>
      <c r="BO706" s="234"/>
    </row>
    <row r="707" spans="1:67" ht="24" customHeight="1" x14ac:dyDescent="0.25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  <c r="AB707" s="234"/>
      <c r="AC707" s="234"/>
      <c r="AD707" s="234"/>
      <c r="AE707" s="234"/>
      <c r="AF707" s="234"/>
      <c r="AG707" s="234"/>
      <c r="AH707" s="234"/>
      <c r="AI707" s="234"/>
      <c r="AJ707" s="234"/>
      <c r="AK707" s="234"/>
      <c r="AL707" s="234"/>
      <c r="AM707" s="234"/>
      <c r="AN707" s="234"/>
      <c r="AO707" s="234"/>
      <c r="AP707" s="234"/>
      <c r="AQ707" s="234"/>
      <c r="AR707" s="234"/>
      <c r="AS707" s="234"/>
      <c r="AT707" s="234"/>
      <c r="AU707" s="234"/>
      <c r="AV707" s="234"/>
      <c r="AW707" s="234"/>
      <c r="AX707" s="234"/>
      <c r="AY707" s="234"/>
      <c r="AZ707" s="234"/>
      <c r="BA707" s="234"/>
      <c r="BB707" s="234"/>
      <c r="BC707" s="234"/>
      <c r="BD707" s="234"/>
      <c r="BE707" s="234"/>
      <c r="BF707" s="234"/>
      <c r="BG707" s="234"/>
      <c r="BH707" s="234"/>
      <c r="BI707" s="234"/>
      <c r="BJ707" s="234"/>
      <c r="BK707" s="234"/>
      <c r="BL707" s="234"/>
      <c r="BM707" s="234"/>
      <c r="BN707" s="234"/>
      <c r="BO707" s="234"/>
    </row>
    <row r="708" spans="1:67" ht="24" customHeight="1" x14ac:dyDescent="0.25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  <c r="AB708" s="234"/>
      <c r="AC708" s="234"/>
      <c r="AD708" s="234"/>
      <c r="AE708" s="234"/>
      <c r="AF708" s="234"/>
      <c r="AG708" s="234"/>
      <c r="AH708" s="234"/>
      <c r="AI708" s="234"/>
      <c r="AJ708" s="234"/>
      <c r="AK708" s="234"/>
      <c r="AL708" s="234"/>
      <c r="AM708" s="234"/>
      <c r="AN708" s="234"/>
      <c r="AO708" s="234"/>
      <c r="AP708" s="234"/>
      <c r="AQ708" s="234"/>
      <c r="AR708" s="234"/>
      <c r="AS708" s="234"/>
      <c r="AT708" s="234"/>
      <c r="AU708" s="234"/>
      <c r="AV708" s="234"/>
      <c r="AW708" s="234"/>
      <c r="AX708" s="234"/>
      <c r="AY708" s="234"/>
      <c r="AZ708" s="234"/>
      <c r="BA708" s="234"/>
      <c r="BB708" s="234"/>
      <c r="BC708" s="234"/>
      <c r="BD708" s="234"/>
      <c r="BE708" s="234"/>
      <c r="BF708" s="234"/>
      <c r="BG708" s="234"/>
      <c r="BH708" s="234"/>
      <c r="BI708" s="234"/>
      <c r="BJ708" s="234"/>
      <c r="BK708" s="234"/>
      <c r="BL708" s="234"/>
      <c r="BM708" s="234"/>
      <c r="BN708" s="234"/>
      <c r="BO708" s="234"/>
    </row>
    <row r="709" spans="1:67" ht="24" customHeight="1" x14ac:dyDescent="0.25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  <c r="AB709" s="234"/>
      <c r="AC709" s="234"/>
      <c r="AD709" s="234"/>
      <c r="AE709" s="234"/>
      <c r="AF709" s="234"/>
      <c r="AG709" s="234"/>
      <c r="AH709" s="234"/>
      <c r="AI709" s="234"/>
      <c r="AJ709" s="234"/>
      <c r="AK709" s="234"/>
      <c r="AL709" s="234"/>
      <c r="AM709" s="234"/>
      <c r="AN709" s="234"/>
      <c r="AO709" s="234"/>
      <c r="AP709" s="234"/>
      <c r="AQ709" s="234"/>
      <c r="AR709" s="234"/>
      <c r="AS709" s="234"/>
      <c r="AT709" s="234"/>
      <c r="AU709" s="234"/>
      <c r="AV709" s="234"/>
      <c r="AW709" s="234"/>
      <c r="AX709" s="234"/>
      <c r="AY709" s="234"/>
      <c r="AZ709" s="234"/>
      <c r="BA709" s="234"/>
      <c r="BB709" s="234"/>
      <c r="BC709" s="234"/>
      <c r="BD709" s="234"/>
      <c r="BE709" s="234"/>
      <c r="BF709" s="234"/>
      <c r="BG709" s="234"/>
      <c r="BH709" s="234"/>
      <c r="BI709" s="234"/>
      <c r="BJ709" s="234"/>
      <c r="BK709" s="234"/>
      <c r="BL709" s="234"/>
      <c r="BM709" s="234"/>
      <c r="BN709" s="234"/>
      <c r="BO709" s="234"/>
    </row>
    <row r="710" spans="1:67" ht="24" customHeight="1" x14ac:dyDescent="0.25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  <c r="AB710" s="234"/>
      <c r="AC710" s="234"/>
      <c r="AD710" s="234"/>
      <c r="AE710" s="234"/>
      <c r="AF710" s="234"/>
      <c r="AG710" s="234"/>
      <c r="AH710" s="234"/>
      <c r="AI710" s="234"/>
      <c r="AJ710" s="234"/>
      <c r="AK710" s="234"/>
      <c r="AL710" s="234"/>
      <c r="AM710" s="234"/>
      <c r="AN710" s="234"/>
      <c r="AO710" s="234"/>
      <c r="AP710" s="234"/>
      <c r="AQ710" s="234"/>
      <c r="AR710" s="234"/>
      <c r="AS710" s="234"/>
      <c r="AT710" s="234"/>
      <c r="AU710" s="234"/>
      <c r="AV710" s="234"/>
      <c r="AW710" s="234"/>
      <c r="AX710" s="234"/>
      <c r="AY710" s="234"/>
      <c r="AZ710" s="234"/>
      <c r="BA710" s="234"/>
      <c r="BB710" s="234"/>
      <c r="BC710" s="234"/>
      <c r="BD710" s="234"/>
      <c r="BE710" s="234"/>
      <c r="BF710" s="234"/>
      <c r="BG710" s="234"/>
      <c r="BH710" s="234"/>
      <c r="BI710" s="234"/>
      <c r="BJ710" s="234"/>
      <c r="BK710" s="234"/>
      <c r="BL710" s="234"/>
      <c r="BM710" s="234"/>
      <c r="BN710" s="234"/>
      <c r="BO710" s="234"/>
    </row>
    <row r="711" spans="1:67" ht="24" customHeight="1" x14ac:dyDescent="0.25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  <c r="AB711" s="234"/>
      <c r="AC711" s="234"/>
      <c r="AD711" s="234"/>
      <c r="AE711" s="234"/>
      <c r="AF711" s="234"/>
      <c r="AG711" s="234"/>
      <c r="AH711" s="234"/>
      <c r="AI711" s="234"/>
      <c r="AJ711" s="234"/>
      <c r="AK711" s="234"/>
      <c r="AL711" s="234"/>
      <c r="AM711" s="234"/>
      <c r="AN711" s="234"/>
      <c r="AO711" s="234"/>
      <c r="AP711" s="234"/>
      <c r="AQ711" s="234"/>
      <c r="AR711" s="234"/>
      <c r="AS711" s="234"/>
      <c r="AT711" s="234"/>
      <c r="AU711" s="234"/>
      <c r="AV711" s="234"/>
      <c r="AW711" s="234"/>
      <c r="AX711" s="234"/>
      <c r="AY711" s="234"/>
      <c r="AZ711" s="234"/>
      <c r="BA711" s="234"/>
      <c r="BB711" s="234"/>
      <c r="BC711" s="234"/>
      <c r="BD711" s="234"/>
      <c r="BE711" s="234"/>
      <c r="BF711" s="234"/>
      <c r="BG711" s="234"/>
      <c r="BH711" s="234"/>
      <c r="BI711" s="234"/>
      <c r="BJ711" s="234"/>
      <c r="BK711" s="234"/>
      <c r="BL711" s="234"/>
      <c r="BM711" s="234"/>
      <c r="BN711" s="234"/>
      <c r="BO711" s="234"/>
    </row>
    <row r="712" spans="1:67" ht="24" customHeight="1" x14ac:dyDescent="0.25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  <c r="AB712" s="234"/>
      <c r="AC712" s="234"/>
      <c r="AD712" s="234"/>
      <c r="AE712" s="234"/>
      <c r="AF712" s="234"/>
      <c r="AG712" s="234"/>
      <c r="AH712" s="234"/>
      <c r="AI712" s="234"/>
      <c r="AJ712" s="234"/>
      <c r="AK712" s="234"/>
      <c r="AL712" s="234"/>
      <c r="AM712" s="234"/>
      <c r="AN712" s="234"/>
      <c r="AO712" s="234"/>
      <c r="AP712" s="234"/>
      <c r="AQ712" s="234"/>
      <c r="AR712" s="234"/>
      <c r="AS712" s="234"/>
      <c r="AT712" s="234"/>
      <c r="AU712" s="234"/>
      <c r="AV712" s="234"/>
      <c r="AW712" s="234"/>
      <c r="AX712" s="234"/>
      <c r="AY712" s="234"/>
      <c r="AZ712" s="234"/>
      <c r="BA712" s="234"/>
      <c r="BB712" s="234"/>
      <c r="BC712" s="234"/>
      <c r="BD712" s="234"/>
      <c r="BE712" s="234"/>
      <c r="BF712" s="234"/>
      <c r="BG712" s="234"/>
      <c r="BH712" s="234"/>
      <c r="BI712" s="234"/>
      <c r="BJ712" s="234"/>
      <c r="BK712" s="234"/>
      <c r="BL712" s="234"/>
      <c r="BM712" s="234"/>
      <c r="BN712" s="234"/>
      <c r="BO712" s="234"/>
    </row>
    <row r="713" spans="1:67" ht="24" customHeight="1" x14ac:dyDescent="0.25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  <c r="AB713" s="234"/>
      <c r="AC713" s="234"/>
      <c r="AD713" s="234"/>
      <c r="AE713" s="234"/>
      <c r="AF713" s="234"/>
      <c r="AG713" s="234"/>
      <c r="AH713" s="234"/>
      <c r="AI713" s="234"/>
      <c r="AJ713" s="234"/>
      <c r="AK713" s="234"/>
      <c r="AL713" s="234"/>
      <c r="AM713" s="234"/>
      <c r="AN713" s="234"/>
      <c r="AO713" s="234"/>
      <c r="AP713" s="234"/>
      <c r="AQ713" s="234"/>
      <c r="AR713" s="234"/>
      <c r="AS713" s="234"/>
      <c r="AT713" s="234"/>
      <c r="AU713" s="234"/>
      <c r="AV713" s="234"/>
      <c r="AW713" s="234"/>
      <c r="AX713" s="234"/>
      <c r="AY713" s="234"/>
      <c r="AZ713" s="234"/>
      <c r="BA713" s="234"/>
      <c r="BB713" s="234"/>
      <c r="BC713" s="234"/>
      <c r="BD713" s="234"/>
      <c r="BE713" s="234"/>
      <c r="BF713" s="234"/>
      <c r="BG713" s="234"/>
      <c r="BH713" s="234"/>
      <c r="BI713" s="234"/>
      <c r="BJ713" s="234"/>
      <c r="BK713" s="234"/>
      <c r="BL713" s="234"/>
      <c r="BM713" s="234"/>
      <c r="BN713" s="234"/>
      <c r="BO713" s="234"/>
    </row>
    <row r="714" spans="1:67" ht="24" customHeight="1" x14ac:dyDescent="0.25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  <c r="AB714" s="234"/>
      <c r="AC714" s="234"/>
      <c r="AD714" s="234"/>
      <c r="AE714" s="234"/>
      <c r="AF714" s="234"/>
      <c r="AG714" s="234"/>
      <c r="AH714" s="234"/>
      <c r="AI714" s="234"/>
      <c r="AJ714" s="234"/>
      <c r="AK714" s="234"/>
      <c r="AL714" s="234"/>
      <c r="AM714" s="234"/>
      <c r="AN714" s="234"/>
      <c r="AO714" s="234"/>
      <c r="AP714" s="234"/>
      <c r="AQ714" s="234"/>
      <c r="AR714" s="234"/>
      <c r="AS714" s="234"/>
      <c r="AT714" s="234"/>
      <c r="AU714" s="234"/>
      <c r="AV714" s="234"/>
      <c r="AW714" s="234"/>
      <c r="AX714" s="234"/>
      <c r="AY714" s="234"/>
      <c r="AZ714" s="234"/>
      <c r="BA714" s="234"/>
      <c r="BB714" s="234"/>
      <c r="BC714" s="234"/>
      <c r="BD714" s="234"/>
      <c r="BE714" s="234"/>
      <c r="BF714" s="234"/>
      <c r="BG714" s="234"/>
      <c r="BH714" s="234"/>
      <c r="BI714" s="234"/>
      <c r="BJ714" s="234"/>
      <c r="BK714" s="234"/>
      <c r="BL714" s="234"/>
      <c r="BM714" s="234"/>
      <c r="BN714" s="234"/>
      <c r="BO714" s="234"/>
    </row>
    <row r="715" spans="1:67" ht="24" customHeight="1" x14ac:dyDescent="0.2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  <c r="AB715" s="234"/>
      <c r="AC715" s="234"/>
      <c r="AD715" s="234"/>
      <c r="AE715" s="234"/>
      <c r="AF715" s="234"/>
      <c r="AG715" s="234"/>
      <c r="AH715" s="234"/>
      <c r="AI715" s="234"/>
      <c r="AJ715" s="234"/>
      <c r="AK715" s="234"/>
      <c r="AL715" s="234"/>
      <c r="AM715" s="234"/>
      <c r="AN715" s="234"/>
      <c r="AO715" s="234"/>
      <c r="AP715" s="234"/>
      <c r="AQ715" s="234"/>
      <c r="AR715" s="234"/>
      <c r="AS715" s="234"/>
      <c r="AT715" s="234"/>
      <c r="AU715" s="234"/>
      <c r="AV715" s="234"/>
      <c r="AW715" s="234"/>
      <c r="AX715" s="234"/>
      <c r="AY715" s="234"/>
      <c r="AZ715" s="234"/>
      <c r="BA715" s="234"/>
      <c r="BB715" s="234"/>
      <c r="BC715" s="234"/>
      <c r="BD715" s="234"/>
      <c r="BE715" s="234"/>
      <c r="BF715" s="234"/>
      <c r="BG715" s="234"/>
      <c r="BH715" s="234"/>
      <c r="BI715" s="234"/>
      <c r="BJ715" s="234"/>
      <c r="BK715" s="234"/>
      <c r="BL715" s="234"/>
      <c r="BM715" s="234"/>
      <c r="BN715" s="234"/>
      <c r="BO715" s="234"/>
    </row>
    <row r="716" spans="1:67" ht="24" customHeight="1" x14ac:dyDescent="0.25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  <c r="AB716" s="234"/>
      <c r="AC716" s="234"/>
      <c r="AD716" s="234"/>
      <c r="AE716" s="234"/>
      <c r="AF716" s="234"/>
      <c r="AG716" s="234"/>
      <c r="AH716" s="234"/>
      <c r="AI716" s="234"/>
      <c r="AJ716" s="234"/>
      <c r="AK716" s="234"/>
      <c r="AL716" s="234"/>
      <c r="AM716" s="234"/>
      <c r="AN716" s="234"/>
      <c r="AO716" s="234"/>
      <c r="AP716" s="234"/>
      <c r="AQ716" s="234"/>
      <c r="AR716" s="234"/>
      <c r="AS716" s="234"/>
      <c r="AT716" s="234"/>
      <c r="AU716" s="234"/>
      <c r="AV716" s="234"/>
      <c r="AW716" s="234"/>
      <c r="AX716" s="234"/>
      <c r="AY716" s="234"/>
      <c r="AZ716" s="234"/>
      <c r="BA716" s="234"/>
      <c r="BB716" s="234"/>
      <c r="BC716" s="234"/>
      <c r="BD716" s="234"/>
      <c r="BE716" s="234"/>
      <c r="BF716" s="234"/>
      <c r="BG716" s="234"/>
      <c r="BH716" s="234"/>
      <c r="BI716" s="234"/>
      <c r="BJ716" s="234"/>
      <c r="BK716" s="234"/>
      <c r="BL716" s="234"/>
      <c r="BM716" s="234"/>
      <c r="BN716" s="234"/>
      <c r="BO716" s="234"/>
    </row>
    <row r="717" spans="1:67" ht="24" customHeight="1" x14ac:dyDescent="0.25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  <c r="AB717" s="234"/>
      <c r="AC717" s="234"/>
      <c r="AD717" s="234"/>
      <c r="AE717" s="234"/>
      <c r="AF717" s="234"/>
      <c r="AG717" s="234"/>
      <c r="AH717" s="234"/>
      <c r="AI717" s="234"/>
      <c r="AJ717" s="234"/>
      <c r="AK717" s="234"/>
      <c r="AL717" s="234"/>
      <c r="AM717" s="234"/>
      <c r="AN717" s="234"/>
      <c r="AO717" s="234"/>
      <c r="AP717" s="234"/>
      <c r="AQ717" s="234"/>
      <c r="AR717" s="234"/>
      <c r="AS717" s="234"/>
      <c r="AT717" s="234"/>
      <c r="AU717" s="234"/>
      <c r="AV717" s="234"/>
      <c r="AW717" s="234"/>
      <c r="AX717" s="234"/>
      <c r="AY717" s="234"/>
      <c r="AZ717" s="234"/>
      <c r="BA717" s="234"/>
      <c r="BB717" s="234"/>
      <c r="BC717" s="234"/>
      <c r="BD717" s="234"/>
      <c r="BE717" s="234"/>
      <c r="BF717" s="234"/>
      <c r="BG717" s="234"/>
      <c r="BH717" s="234"/>
      <c r="BI717" s="234"/>
      <c r="BJ717" s="234"/>
      <c r="BK717" s="234"/>
      <c r="BL717" s="234"/>
      <c r="BM717" s="234"/>
      <c r="BN717" s="234"/>
      <c r="BO717" s="234"/>
    </row>
    <row r="718" spans="1:67" ht="24" customHeight="1" x14ac:dyDescent="0.25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  <c r="AB718" s="234"/>
      <c r="AC718" s="234"/>
      <c r="AD718" s="234"/>
      <c r="AE718" s="234"/>
      <c r="AF718" s="234"/>
      <c r="AG718" s="234"/>
      <c r="AH718" s="234"/>
      <c r="AI718" s="234"/>
      <c r="AJ718" s="234"/>
      <c r="AK718" s="234"/>
      <c r="AL718" s="234"/>
      <c r="AM718" s="234"/>
      <c r="AN718" s="234"/>
      <c r="AO718" s="234"/>
      <c r="AP718" s="234"/>
      <c r="AQ718" s="234"/>
      <c r="AR718" s="234"/>
      <c r="AS718" s="234"/>
      <c r="AT718" s="234"/>
      <c r="AU718" s="234"/>
      <c r="AV718" s="234"/>
      <c r="AW718" s="234"/>
      <c r="AX718" s="234"/>
      <c r="AY718" s="234"/>
      <c r="AZ718" s="234"/>
      <c r="BA718" s="234"/>
      <c r="BB718" s="234"/>
      <c r="BC718" s="234"/>
      <c r="BD718" s="234"/>
      <c r="BE718" s="234"/>
      <c r="BF718" s="234"/>
      <c r="BG718" s="234"/>
      <c r="BH718" s="234"/>
      <c r="BI718" s="234"/>
      <c r="BJ718" s="234"/>
      <c r="BK718" s="234"/>
      <c r="BL718" s="234"/>
      <c r="BM718" s="234"/>
      <c r="BN718" s="234"/>
      <c r="BO718" s="234"/>
    </row>
    <row r="719" spans="1:67" ht="24" customHeight="1" x14ac:dyDescent="0.25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  <c r="AB719" s="234"/>
      <c r="AC719" s="234"/>
      <c r="AD719" s="234"/>
      <c r="AE719" s="234"/>
      <c r="AF719" s="234"/>
      <c r="AG719" s="234"/>
      <c r="AH719" s="234"/>
      <c r="AI719" s="234"/>
      <c r="AJ719" s="234"/>
      <c r="AK719" s="234"/>
      <c r="AL719" s="234"/>
      <c r="AM719" s="234"/>
      <c r="AN719" s="234"/>
      <c r="AO719" s="234"/>
      <c r="AP719" s="234"/>
      <c r="AQ719" s="234"/>
      <c r="AR719" s="234"/>
      <c r="AS719" s="234"/>
      <c r="AT719" s="234"/>
      <c r="AU719" s="234"/>
      <c r="AV719" s="234"/>
      <c r="AW719" s="234"/>
      <c r="AX719" s="234"/>
      <c r="AY719" s="234"/>
      <c r="AZ719" s="234"/>
      <c r="BA719" s="234"/>
      <c r="BB719" s="234"/>
      <c r="BC719" s="234"/>
      <c r="BD719" s="234"/>
      <c r="BE719" s="234"/>
      <c r="BF719" s="234"/>
      <c r="BG719" s="234"/>
      <c r="BH719" s="234"/>
      <c r="BI719" s="234"/>
      <c r="BJ719" s="234"/>
      <c r="BK719" s="234"/>
      <c r="BL719" s="234"/>
      <c r="BM719" s="234"/>
      <c r="BN719" s="234"/>
      <c r="BO719" s="234"/>
    </row>
    <row r="720" spans="1:67" ht="24" customHeight="1" x14ac:dyDescent="0.25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  <c r="AB720" s="234"/>
      <c r="AC720" s="234"/>
      <c r="AD720" s="234"/>
      <c r="AE720" s="234"/>
      <c r="AF720" s="234"/>
      <c r="AG720" s="234"/>
      <c r="AH720" s="234"/>
      <c r="AI720" s="234"/>
      <c r="AJ720" s="234"/>
      <c r="AK720" s="234"/>
      <c r="AL720" s="234"/>
      <c r="AM720" s="234"/>
      <c r="AN720" s="234"/>
      <c r="AO720" s="234"/>
      <c r="AP720" s="234"/>
      <c r="AQ720" s="234"/>
      <c r="AR720" s="234"/>
      <c r="AS720" s="234"/>
      <c r="AT720" s="234"/>
      <c r="AU720" s="234"/>
      <c r="AV720" s="234"/>
      <c r="AW720" s="234"/>
      <c r="AX720" s="234"/>
      <c r="AY720" s="234"/>
      <c r="AZ720" s="234"/>
      <c r="BA720" s="234"/>
      <c r="BB720" s="234"/>
      <c r="BC720" s="234"/>
      <c r="BD720" s="234"/>
      <c r="BE720" s="234"/>
      <c r="BF720" s="234"/>
      <c r="BG720" s="234"/>
      <c r="BH720" s="234"/>
      <c r="BI720" s="234"/>
      <c r="BJ720" s="234"/>
      <c r="BK720" s="234"/>
      <c r="BL720" s="234"/>
      <c r="BM720" s="234"/>
      <c r="BN720" s="234"/>
      <c r="BO720" s="234"/>
    </row>
    <row r="721" spans="1:67" ht="24" customHeight="1" x14ac:dyDescent="0.25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  <c r="AB721" s="234"/>
      <c r="AC721" s="234"/>
      <c r="AD721" s="234"/>
      <c r="AE721" s="234"/>
      <c r="AF721" s="234"/>
      <c r="AG721" s="234"/>
      <c r="AH721" s="234"/>
      <c r="AI721" s="234"/>
      <c r="AJ721" s="234"/>
      <c r="AK721" s="234"/>
      <c r="AL721" s="234"/>
      <c r="AM721" s="234"/>
      <c r="AN721" s="234"/>
      <c r="AO721" s="234"/>
      <c r="AP721" s="234"/>
      <c r="AQ721" s="234"/>
      <c r="AR721" s="234"/>
      <c r="AS721" s="234"/>
      <c r="AT721" s="234"/>
      <c r="AU721" s="234"/>
      <c r="AV721" s="234"/>
      <c r="AW721" s="234"/>
      <c r="AX721" s="234"/>
      <c r="AY721" s="234"/>
      <c r="AZ721" s="234"/>
      <c r="BA721" s="234"/>
      <c r="BB721" s="234"/>
      <c r="BC721" s="234"/>
      <c r="BD721" s="234"/>
      <c r="BE721" s="234"/>
      <c r="BF721" s="234"/>
      <c r="BG721" s="234"/>
      <c r="BH721" s="234"/>
      <c r="BI721" s="234"/>
      <c r="BJ721" s="234"/>
      <c r="BK721" s="234"/>
      <c r="BL721" s="234"/>
      <c r="BM721" s="234"/>
      <c r="BN721" s="234"/>
      <c r="BO721" s="234"/>
    </row>
    <row r="722" spans="1:67" ht="24" customHeight="1" x14ac:dyDescent="0.25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  <c r="AB722" s="234"/>
      <c r="AC722" s="234"/>
      <c r="AD722" s="234"/>
      <c r="AE722" s="234"/>
      <c r="AF722" s="234"/>
      <c r="AG722" s="234"/>
      <c r="AH722" s="234"/>
      <c r="AI722" s="234"/>
      <c r="AJ722" s="234"/>
      <c r="AK722" s="234"/>
      <c r="AL722" s="234"/>
      <c r="AM722" s="234"/>
      <c r="AN722" s="234"/>
      <c r="AO722" s="234"/>
      <c r="AP722" s="234"/>
      <c r="AQ722" s="234"/>
      <c r="AR722" s="234"/>
      <c r="AS722" s="234"/>
      <c r="AT722" s="234"/>
      <c r="AU722" s="234"/>
      <c r="AV722" s="234"/>
      <c r="AW722" s="234"/>
      <c r="AX722" s="234"/>
      <c r="AY722" s="234"/>
      <c r="AZ722" s="234"/>
      <c r="BA722" s="234"/>
      <c r="BB722" s="234"/>
      <c r="BC722" s="234"/>
      <c r="BD722" s="234"/>
      <c r="BE722" s="234"/>
      <c r="BF722" s="234"/>
      <c r="BG722" s="234"/>
      <c r="BH722" s="234"/>
      <c r="BI722" s="234"/>
      <c r="BJ722" s="234"/>
      <c r="BK722" s="234"/>
      <c r="BL722" s="234"/>
      <c r="BM722" s="234"/>
      <c r="BN722" s="234"/>
      <c r="BO722" s="234"/>
    </row>
    <row r="723" spans="1:67" ht="24" customHeight="1" x14ac:dyDescent="0.25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  <c r="AB723" s="234"/>
      <c r="AC723" s="234"/>
      <c r="AD723" s="234"/>
      <c r="AE723" s="234"/>
      <c r="AF723" s="234"/>
      <c r="AG723" s="234"/>
      <c r="AH723" s="234"/>
      <c r="AI723" s="234"/>
      <c r="AJ723" s="234"/>
      <c r="AK723" s="234"/>
      <c r="AL723" s="234"/>
      <c r="AM723" s="234"/>
      <c r="AN723" s="234"/>
      <c r="AO723" s="234"/>
      <c r="AP723" s="234"/>
      <c r="AQ723" s="234"/>
      <c r="AR723" s="234"/>
      <c r="AS723" s="234"/>
      <c r="AT723" s="234"/>
      <c r="AU723" s="234"/>
      <c r="AV723" s="234"/>
      <c r="AW723" s="234"/>
      <c r="AX723" s="234"/>
      <c r="AY723" s="234"/>
      <c r="AZ723" s="234"/>
      <c r="BA723" s="234"/>
      <c r="BB723" s="234"/>
      <c r="BC723" s="234"/>
      <c r="BD723" s="234"/>
      <c r="BE723" s="234"/>
      <c r="BF723" s="234"/>
      <c r="BG723" s="234"/>
      <c r="BH723" s="234"/>
      <c r="BI723" s="234"/>
      <c r="BJ723" s="234"/>
      <c r="BK723" s="234"/>
      <c r="BL723" s="234"/>
      <c r="BM723" s="234"/>
      <c r="BN723" s="234"/>
      <c r="BO723" s="234"/>
    </row>
    <row r="724" spans="1:67" ht="24" customHeight="1" x14ac:dyDescent="0.25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  <c r="AB724" s="234"/>
      <c r="AC724" s="234"/>
      <c r="AD724" s="234"/>
      <c r="AE724" s="234"/>
      <c r="AF724" s="234"/>
      <c r="AG724" s="234"/>
      <c r="AH724" s="234"/>
      <c r="AI724" s="234"/>
      <c r="AJ724" s="234"/>
      <c r="AK724" s="234"/>
      <c r="AL724" s="234"/>
      <c r="AM724" s="234"/>
      <c r="AN724" s="234"/>
      <c r="AO724" s="234"/>
      <c r="AP724" s="234"/>
      <c r="AQ724" s="234"/>
      <c r="AR724" s="234"/>
      <c r="AS724" s="234"/>
      <c r="AT724" s="234"/>
      <c r="AU724" s="234"/>
      <c r="AV724" s="234"/>
      <c r="AW724" s="234"/>
      <c r="AX724" s="234"/>
      <c r="AY724" s="234"/>
      <c r="AZ724" s="234"/>
      <c r="BA724" s="234"/>
      <c r="BB724" s="234"/>
      <c r="BC724" s="234"/>
      <c r="BD724" s="234"/>
      <c r="BE724" s="234"/>
      <c r="BF724" s="234"/>
      <c r="BG724" s="234"/>
      <c r="BH724" s="234"/>
      <c r="BI724" s="234"/>
      <c r="BJ724" s="234"/>
      <c r="BK724" s="234"/>
      <c r="BL724" s="234"/>
      <c r="BM724" s="234"/>
      <c r="BN724" s="234"/>
      <c r="BO724" s="234"/>
    </row>
    <row r="725" spans="1:67" ht="24" customHeight="1" x14ac:dyDescent="0.2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  <c r="AB725" s="234"/>
      <c r="AC725" s="234"/>
      <c r="AD725" s="234"/>
      <c r="AE725" s="234"/>
      <c r="AF725" s="234"/>
      <c r="AG725" s="234"/>
      <c r="AH725" s="234"/>
      <c r="AI725" s="234"/>
      <c r="AJ725" s="234"/>
      <c r="AK725" s="234"/>
      <c r="AL725" s="234"/>
      <c r="AM725" s="234"/>
      <c r="AN725" s="234"/>
      <c r="AO725" s="234"/>
      <c r="AP725" s="234"/>
      <c r="AQ725" s="234"/>
      <c r="AR725" s="234"/>
      <c r="AS725" s="234"/>
      <c r="AT725" s="234"/>
      <c r="AU725" s="234"/>
      <c r="AV725" s="234"/>
      <c r="AW725" s="234"/>
      <c r="AX725" s="234"/>
      <c r="AY725" s="234"/>
      <c r="AZ725" s="234"/>
      <c r="BA725" s="234"/>
      <c r="BB725" s="234"/>
      <c r="BC725" s="234"/>
      <c r="BD725" s="234"/>
      <c r="BE725" s="234"/>
      <c r="BF725" s="234"/>
      <c r="BG725" s="234"/>
      <c r="BH725" s="234"/>
      <c r="BI725" s="234"/>
      <c r="BJ725" s="234"/>
      <c r="BK725" s="234"/>
      <c r="BL725" s="234"/>
      <c r="BM725" s="234"/>
      <c r="BN725" s="234"/>
      <c r="BO725" s="234"/>
    </row>
    <row r="726" spans="1:67" ht="24" customHeight="1" x14ac:dyDescent="0.25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  <c r="AB726" s="234"/>
      <c r="AC726" s="234"/>
      <c r="AD726" s="234"/>
      <c r="AE726" s="234"/>
      <c r="AF726" s="234"/>
      <c r="AG726" s="234"/>
      <c r="AH726" s="234"/>
      <c r="AI726" s="234"/>
      <c r="AJ726" s="234"/>
      <c r="AK726" s="234"/>
      <c r="AL726" s="234"/>
      <c r="AM726" s="234"/>
      <c r="AN726" s="234"/>
      <c r="AO726" s="234"/>
      <c r="AP726" s="234"/>
      <c r="AQ726" s="234"/>
      <c r="AR726" s="234"/>
      <c r="AS726" s="234"/>
      <c r="AT726" s="234"/>
      <c r="AU726" s="234"/>
      <c r="AV726" s="234"/>
      <c r="AW726" s="234"/>
      <c r="AX726" s="234"/>
      <c r="AY726" s="234"/>
      <c r="AZ726" s="234"/>
      <c r="BA726" s="234"/>
      <c r="BB726" s="234"/>
      <c r="BC726" s="234"/>
      <c r="BD726" s="234"/>
      <c r="BE726" s="234"/>
      <c r="BF726" s="234"/>
      <c r="BG726" s="234"/>
      <c r="BH726" s="234"/>
      <c r="BI726" s="234"/>
      <c r="BJ726" s="234"/>
      <c r="BK726" s="234"/>
      <c r="BL726" s="234"/>
      <c r="BM726" s="234"/>
      <c r="BN726" s="234"/>
      <c r="BO726" s="234"/>
    </row>
    <row r="727" spans="1:67" ht="24" customHeight="1" x14ac:dyDescent="0.25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  <c r="AB727" s="234"/>
      <c r="AC727" s="234"/>
      <c r="AD727" s="234"/>
      <c r="AE727" s="234"/>
      <c r="AF727" s="234"/>
      <c r="AG727" s="234"/>
      <c r="AH727" s="234"/>
      <c r="AI727" s="234"/>
      <c r="AJ727" s="234"/>
      <c r="AK727" s="234"/>
      <c r="AL727" s="234"/>
      <c r="AM727" s="234"/>
      <c r="AN727" s="234"/>
      <c r="AO727" s="234"/>
      <c r="AP727" s="234"/>
      <c r="AQ727" s="234"/>
      <c r="AR727" s="234"/>
      <c r="AS727" s="234"/>
      <c r="AT727" s="234"/>
      <c r="AU727" s="234"/>
      <c r="AV727" s="234"/>
      <c r="AW727" s="234"/>
      <c r="AX727" s="234"/>
      <c r="AY727" s="234"/>
      <c r="AZ727" s="234"/>
      <c r="BA727" s="234"/>
      <c r="BB727" s="234"/>
      <c r="BC727" s="234"/>
      <c r="BD727" s="234"/>
      <c r="BE727" s="234"/>
      <c r="BF727" s="234"/>
      <c r="BG727" s="234"/>
      <c r="BH727" s="234"/>
      <c r="BI727" s="234"/>
      <c r="BJ727" s="234"/>
      <c r="BK727" s="234"/>
      <c r="BL727" s="234"/>
      <c r="BM727" s="234"/>
      <c r="BN727" s="234"/>
      <c r="BO727" s="234"/>
    </row>
    <row r="728" spans="1:67" ht="24" customHeight="1" x14ac:dyDescent="0.25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  <c r="AB728" s="234"/>
      <c r="AC728" s="234"/>
      <c r="AD728" s="234"/>
      <c r="AE728" s="234"/>
      <c r="AF728" s="234"/>
      <c r="AG728" s="234"/>
      <c r="AH728" s="234"/>
      <c r="AI728" s="234"/>
      <c r="AJ728" s="234"/>
      <c r="AK728" s="234"/>
      <c r="AL728" s="234"/>
      <c r="AM728" s="234"/>
      <c r="AN728" s="234"/>
      <c r="AO728" s="234"/>
      <c r="AP728" s="234"/>
      <c r="AQ728" s="234"/>
      <c r="AR728" s="234"/>
      <c r="AS728" s="234"/>
      <c r="AT728" s="234"/>
      <c r="AU728" s="234"/>
      <c r="AV728" s="234"/>
      <c r="AW728" s="234"/>
      <c r="AX728" s="234"/>
      <c r="AY728" s="234"/>
      <c r="AZ728" s="234"/>
      <c r="BA728" s="234"/>
      <c r="BB728" s="234"/>
      <c r="BC728" s="234"/>
      <c r="BD728" s="234"/>
      <c r="BE728" s="234"/>
      <c r="BF728" s="234"/>
      <c r="BG728" s="234"/>
      <c r="BH728" s="234"/>
      <c r="BI728" s="234"/>
      <c r="BJ728" s="234"/>
      <c r="BK728" s="234"/>
      <c r="BL728" s="234"/>
      <c r="BM728" s="234"/>
      <c r="BN728" s="234"/>
      <c r="BO728" s="234"/>
    </row>
    <row r="729" spans="1:67" ht="24" customHeight="1" x14ac:dyDescent="0.25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  <c r="AB729" s="234"/>
      <c r="AC729" s="234"/>
      <c r="AD729" s="234"/>
      <c r="AE729" s="234"/>
      <c r="AF729" s="234"/>
      <c r="AG729" s="234"/>
      <c r="AH729" s="234"/>
      <c r="AI729" s="234"/>
      <c r="AJ729" s="234"/>
      <c r="AK729" s="234"/>
      <c r="AL729" s="234"/>
      <c r="AM729" s="234"/>
      <c r="AN729" s="234"/>
      <c r="AO729" s="234"/>
      <c r="AP729" s="234"/>
      <c r="AQ729" s="234"/>
      <c r="AR729" s="234"/>
      <c r="AS729" s="234"/>
      <c r="AT729" s="234"/>
      <c r="AU729" s="234"/>
      <c r="AV729" s="234"/>
      <c r="AW729" s="234"/>
      <c r="AX729" s="234"/>
      <c r="AY729" s="234"/>
      <c r="AZ729" s="234"/>
      <c r="BA729" s="234"/>
      <c r="BB729" s="234"/>
      <c r="BC729" s="234"/>
      <c r="BD729" s="234"/>
      <c r="BE729" s="234"/>
      <c r="BF729" s="234"/>
      <c r="BG729" s="234"/>
      <c r="BH729" s="234"/>
      <c r="BI729" s="234"/>
      <c r="BJ729" s="234"/>
      <c r="BK729" s="234"/>
      <c r="BL729" s="234"/>
      <c r="BM729" s="234"/>
      <c r="BN729" s="234"/>
      <c r="BO729" s="234"/>
    </row>
    <row r="730" spans="1:67" ht="24" customHeight="1" x14ac:dyDescent="0.25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  <c r="AB730" s="234"/>
      <c r="AC730" s="234"/>
      <c r="AD730" s="234"/>
      <c r="AE730" s="234"/>
      <c r="AF730" s="234"/>
      <c r="AG730" s="234"/>
      <c r="AH730" s="234"/>
      <c r="AI730" s="234"/>
      <c r="AJ730" s="234"/>
      <c r="AK730" s="234"/>
      <c r="AL730" s="234"/>
      <c r="AM730" s="234"/>
      <c r="AN730" s="234"/>
      <c r="AO730" s="234"/>
      <c r="AP730" s="234"/>
      <c r="AQ730" s="234"/>
      <c r="AR730" s="234"/>
      <c r="AS730" s="234"/>
      <c r="AT730" s="234"/>
      <c r="AU730" s="234"/>
      <c r="AV730" s="234"/>
      <c r="AW730" s="234"/>
      <c r="AX730" s="234"/>
      <c r="AY730" s="234"/>
      <c r="AZ730" s="234"/>
      <c r="BA730" s="234"/>
      <c r="BB730" s="234"/>
      <c r="BC730" s="234"/>
      <c r="BD730" s="234"/>
      <c r="BE730" s="234"/>
      <c r="BF730" s="234"/>
      <c r="BG730" s="234"/>
      <c r="BH730" s="234"/>
      <c r="BI730" s="234"/>
      <c r="BJ730" s="234"/>
      <c r="BK730" s="234"/>
      <c r="BL730" s="234"/>
      <c r="BM730" s="234"/>
      <c r="BN730" s="234"/>
      <c r="BO730" s="234"/>
    </row>
    <row r="731" spans="1:67" ht="24" customHeight="1" x14ac:dyDescent="0.25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  <c r="AB731" s="234"/>
      <c r="AC731" s="234"/>
      <c r="AD731" s="234"/>
      <c r="AE731" s="234"/>
      <c r="AF731" s="234"/>
      <c r="AG731" s="234"/>
      <c r="AH731" s="234"/>
      <c r="AI731" s="234"/>
      <c r="AJ731" s="234"/>
      <c r="AK731" s="234"/>
      <c r="AL731" s="234"/>
      <c r="AM731" s="234"/>
      <c r="AN731" s="234"/>
      <c r="AO731" s="234"/>
      <c r="AP731" s="234"/>
      <c r="AQ731" s="234"/>
      <c r="AR731" s="234"/>
      <c r="AS731" s="234"/>
      <c r="AT731" s="234"/>
      <c r="AU731" s="234"/>
      <c r="AV731" s="234"/>
      <c r="AW731" s="234"/>
      <c r="AX731" s="234"/>
      <c r="AY731" s="234"/>
      <c r="AZ731" s="234"/>
      <c r="BA731" s="234"/>
      <c r="BB731" s="234"/>
      <c r="BC731" s="234"/>
      <c r="BD731" s="234"/>
      <c r="BE731" s="234"/>
      <c r="BF731" s="234"/>
      <c r="BG731" s="234"/>
      <c r="BH731" s="234"/>
      <c r="BI731" s="234"/>
      <c r="BJ731" s="234"/>
      <c r="BK731" s="234"/>
      <c r="BL731" s="234"/>
      <c r="BM731" s="234"/>
      <c r="BN731" s="234"/>
      <c r="BO731" s="234"/>
    </row>
    <row r="732" spans="1:67" ht="24" customHeight="1" x14ac:dyDescent="0.25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  <c r="AB732" s="234"/>
      <c r="AC732" s="234"/>
      <c r="AD732" s="234"/>
      <c r="AE732" s="234"/>
      <c r="AF732" s="234"/>
      <c r="AG732" s="234"/>
      <c r="AH732" s="234"/>
      <c r="AI732" s="234"/>
      <c r="AJ732" s="234"/>
      <c r="AK732" s="234"/>
      <c r="AL732" s="234"/>
      <c r="AM732" s="234"/>
      <c r="AN732" s="234"/>
      <c r="AO732" s="234"/>
      <c r="AP732" s="234"/>
      <c r="AQ732" s="234"/>
      <c r="AR732" s="234"/>
      <c r="AS732" s="234"/>
      <c r="AT732" s="234"/>
      <c r="AU732" s="234"/>
      <c r="AV732" s="234"/>
      <c r="AW732" s="234"/>
      <c r="AX732" s="234"/>
      <c r="AY732" s="234"/>
      <c r="AZ732" s="234"/>
      <c r="BA732" s="234"/>
      <c r="BB732" s="234"/>
      <c r="BC732" s="234"/>
      <c r="BD732" s="234"/>
      <c r="BE732" s="234"/>
      <c r="BF732" s="234"/>
      <c r="BG732" s="234"/>
      <c r="BH732" s="234"/>
      <c r="BI732" s="234"/>
      <c r="BJ732" s="234"/>
      <c r="BK732" s="234"/>
      <c r="BL732" s="234"/>
      <c r="BM732" s="234"/>
      <c r="BN732" s="234"/>
      <c r="BO732" s="234"/>
    </row>
    <row r="733" spans="1:67" ht="24" customHeight="1" x14ac:dyDescent="0.25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  <c r="AB733" s="234"/>
      <c r="AC733" s="234"/>
      <c r="AD733" s="234"/>
      <c r="AE733" s="234"/>
      <c r="AF733" s="234"/>
      <c r="AG733" s="234"/>
      <c r="AH733" s="234"/>
      <c r="AI733" s="234"/>
      <c r="AJ733" s="234"/>
      <c r="AK733" s="234"/>
      <c r="AL733" s="234"/>
      <c r="AM733" s="234"/>
      <c r="AN733" s="234"/>
      <c r="AO733" s="234"/>
      <c r="AP733" s="234"/>
      <c r="AQ733" s="234"/>
      <c r="AR733" s="234"/>
      <c r="AS733" s="234"/>
      <c r="AT733" s="234"/>
      <c r="AU733" s="234"/>
      <c r="AV733" s="234"/>
      <c r="AW733" s="234"/>
      <c r="AX733" s="234"/>
      <c r="AY733" s="234"/>
      <c r="AZ733" s="234"/>
      <c r="BA733" s="234"/>
      <c r="BB733" s="234"/>
      <c r="BC733" s="234"/>
      <c r="BD733" s="234"/>
      <c r="BE733" s="234"/>
      <c r="BF733" s="234"/>
      <c r="BG733" s="234"/>
      <c r="BH733" s="234"/>
      <c r="BI733" s="234"/>
      <c r="BJ733" s="234"/>
      <c r="BK733" s="234"/>
      <c r="BL733" s="234"/>
      <c r="BM733" s="234"/>
      <c r="BN733" s="234"/>
      <c r="BO733" s="234"/>
    </row>
    <row r="734" spans="1:67" ht="24" customHeight="1" x14ac:dyDescent="0.25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  <c r="AB734" s="234"/>
      <c r="AC734" s="234"/>
      <c r="AD734" s="234"/>
      <c r="AE734" s="234"/>
      <c r="AF734" s="234"/>
      <c r="AG734" s="234"/>
      <c r="AH734" s="234"/>
      <c r="AI734" s="234"/>
      <c r="AJ734" s="234"/>
      <c r="AK734" s="234"/>
      <c r="AL734" s="234"/>
      <c r="AM734" s="234"/>
      <c r="AN734" s="234"/>
      <c r="AO734" s="234"/>
      <c r="AP734" s="234"/>
      <c r="AQ734" s="234"/>
      <c r="AR734" s="234"/>
      <c r="AS734" s="234"/>
      <c r="AT734" s="234"/>
      <c r="AU734" s="234"/>
      <c r="AV734" s="234"/>
      <c r="AW734" s="234"/>
      <c r="AX734" s="234"/>
      <c r="AY734" s="234"/>
      <c r="AZ734" s="234"/>
      <c r="BA734" s="234"/>
      <c r="BB734" s="234"/>
      <c r="BC734" s="234"/>
      <c r="BD734" s="234"/>
      <c r="BE734" s="234"/>
      <c r="BF734" s="234"/>
      <c r="BG734" s="234"/>
      <c r="BH734" s="234"/>
      <c r="BI734" s="234"/>
      <c r="BJ734" s="234"/>
      <c r="BK734" s="234"/>
      <c r="BL734" s="234"/>
      <c r="BM734" s="234"/>
      <c r="BN734" s="234"/>
      <c r="BO734" s="234"/>
    </row>
    <row r="735" spans="1:67" ht="24" customHeight="1" x14ac:dyDescent="0.2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  <c r="AB735" s="234"/>
      <c r="AC735" s="234"/>
      <c r="AD735" s="234"/>
      <c r="AE735" s="234"/>
      <c r="AF735" s="234"/>
      <c r="AG735" s="234"/>
      <c r="AH735" s="234"/>
      <c r="AI735" s="234"/>
      <c r="AJ735" s="234"/>
      <c r="AK735" s="234"/>
      <c r="AL735" s="234"/>
      <c r="AM735" s="234"/>
      <c r="AN735" s="234"/>
      <c r="AO735" s="234"/>
      <c r="AP735" s="234"/>
      <c r="AQ735" s="234"/>
      <c r="AR735" s="234"/>
      <c r="AS735" s="234"/>
      <c r="AT735" s="234"/>
      <c r="AU735" s="234"/>
      <c r="AV735" s="234"/>
      <c r="AW735" s="234"/>
      <c r="AX735" s="234"/>
      <c r="AY735" s="234"/>
      <c r="AZ735" s="234"/>
      <c r="BA735" s="234"/>
      <c r="BB735" s="234"/>
      <c r="BC735" s="234"/>
      <c r="BD735" s="234"/>
      <c r="BE735" s="234"/>
      <c r="BF735" s="234"/>
      <c r="BG735" s="234"/>
      <c r="BH735" s="234"/>
      <c r="BI735" s="234"/>
      <c r="BJ735" s="234"/>
      <c r="BK735" s="234"/>
      <c r="BL735" s="234"/>
      <c r="BM735" s="234"/>
      <c r="BN735" s="234"/>
      <c r="BO735" s="234"/>
    </row>
    <row r="736" spans="1:67" ht="24" customHeight="1" x14ac:dyDescent="0.25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  <c r="AB736" s="234"/>
      <c r="AC736" s="234"/>
      <c r="AD736" s="234"/>
      <c r="AE736" s="234"/>
      <c r="AF736" s="234"/>
      <c r="AG736" s="234"/>
      <c r="AH736" s="234"/>
      <c r="AI736" s="234"/>
      <c r="AJ736" s="234"/>
      <c r="AK736" s="234"/>
      <c r="AL736" s="234"/>
      <c r="AM736" s="234"/>
      <c r="AN736" s="234"/>
      <c r="AO736" s="234"/>
      <c r="AP736" s="234"/>
      <c r="AQ736" s="234"/>
      <c r="AR736" s="234"/>
      <c r="AS736" s="234"/>
      <c r="AT736" s="234"/>
      <c r="AU736" s="234"/>
      <c r="AV736" s="234"/>
      <c r="AW736" s="234"/>
      <c r="AX736" s="234"/>
      <c r="AY736" s="234"/>
      <c r="AZ736" s="234"/>
      <c r="BA736" s="234"/>
      <c r="BB736" s="234"/>
      <c r="BC736" s="234"/>
      <c r="BD736" s="234"/>
      <c r="BE736" s="234"/>
      <c r="BF736" s="234"/>
      <c r="BG736" s="234"/>
      <c r="BH736" s="234"/>
      <c r="BI736" s="234"/>
      <c r="BJ736" s="234"/>
      <c r="BK736" s="234"/>
      <c r="BL736" s="234"/>
      <c r="BM736" s="234"/>
      <c r="BN736" s="234"/>
      <c r="BO736" s="234"/>
    </row>
    <row r="737" spans="1:67" ht="24" customHeight="1" x14ac:dyDescent="0.25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  <c r="AB737" s="234"/>
      <c r="AC737" s="234"/>
      <c r="AD737" s="234"/>
      <c r="AE737" s="234"/>
      <c r="AF737" s="234"/>
      <c r="AG737" s="234"/>
      <c r="AH737" s="234"/>
      <c r="AI737" s="234"/>
      <c r="AJ737" s="234"/>
      <c r="AK737" s="234"/>
      <c r="AL737" s="234"/>
      <c r="AM737" s="234"/>
      <c r="AN737" s="234"/>
      <c r="AO737" s="234"/>
      <c r="AP737" s="234"/>
      <c r="AQ737" s="234"/>
      <c r="AR737" s="234"/>
      <c r="AS737" s="234"/>
      <c r="AT737" s="234"/>
      <c r="AU737" s="234"/>
      <c r="AV737" s="234"/>
      <c r="AW737" s="234"/>
      <c r="AX737" s="234"/>
      <c r="AY737" s="234"/>
      <c r="AZ737" s="234"/>
      <c r="BA737" s="234"/>
      <c r="BB737" s="234"/>
      <c r="BC737" s="234"/>
      <c r="BD737" s="234"/>
      <c r="BE737" s="234"/>
      <c r="BF737" s="234"/>
      <c r="BG737" s="234"/>
      <c r="BH737" s="234"/>
      <c r="BI737" s="234"/>
      <c r="BJ737" s="234"/>
      <c r="BK737" s="234"/>
      <c r="BL737" s="234"/>
      <c r="BM737" s="234"/>
      <c r="BN737" s="234"/>
      <c r="BO737" s="234"/>
    </row>
    <row r="738" spans="1:67" ht="24" customHeight="1" x14ac:dyDescent="0.25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  <c r="AB738" s="234"/>
      <c r="AC738" s="234"/>
      <c r="AD738" s="234"/>
      <c r="AE738" s="234"/>
      <c r="AF738" s="234"/>
      <c r="AG738" s="234"/>
      <c r="AH738" s="234"/>
      <c r="AI738" s="234"/>
      <c r="AJ738" s="234"/>
      <c r="AK738" s="234"/>
      <c r="AL738" s="234"/>
      <c r="AM738" s="234"/>
      <c r="AN738" s="234"/>
      <c r="AO738" s="234"/>
      <c r="AP738" s="234"/>
      <c r="AQ738" s="234"/>
      <c r="AR738" s="234"/>
      <c r="AS738" s="234"/>
      <c r="AT738" s="234"/>
      <c r="AU738" s="234"/>
      <c r="AV738" s="234"/>
      <c r="AW738" s="234"/>
      <c r="AX738" s="234"/>
      <c r="AY738" s="234"/>
      <c r="AZ738" s="234"/>
      <c r="BA738" s="234"/>
      <c r="BB738" s="234"/>
      <c r="BC738" s="234"/>
      <c r="BD738" s="234"/>
      <c r="BE738" s="234"/>
      <c r="BF738" s="234"/>
      <c r="BG738" s="234"/>
      <c r="BH738" s="234"/>
      <c r="BI738" s="234"/>
      <c r="BJ738" s="234"/>
      <c r="BK738" s="234"/>
      <c r="BL738" s="234"/>
      <c r="BM738" s="234"/>
      <c r="BN738" s="234"/>
      <c r="BO738" s="234"/>
    </row>
    <row r="739" spans="1:67" ht="24" customHeight="1" x14ac:dyDescent="0.25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  <c r="AB739" s="234"/>
      <c r="AC739" s="234"/>
      <c r="AD739" s="234"/>
      <c r="AE739" s="234"/>
      <c r="AF739" s="234"/>
      <c r="AG739" s="234"/>
      <c r="AH739" s="234"/>
      <c r="AI739" s="234"/>
      <c r="AJ739" s="234"/>
      <c r="AK739" s="234"/>
      <c r="AL739" s="234"/>
      <c r="AM739" s="234"/>
      <c r="AN739" s="234"/>
      <c r="AO739" s="234"/>
      <c r="AP739" s="234"/>
      <c r="AQ739" s="234"/>
      <c r="AR739" s="234"/>
      <c r="AS739" s="234"/>
      <c r="AT739" s="234"/>
      <c r="AU739" s="234"/>
      <c r="AV739" s="234"/>
      <c r="AW739" s="234"/>
      <c r="AX739" s="234"/>
      <c r="AY739" s="234"/>
      <c r="AZ739" s="234"/>
      <c r="BA739" s="234"/>
      <c r="BB739" s="234"/>
      <c r="BC739" s="234"/>
      <c r="BD739" s="234"/>
      <c r="BE739" s="234"/>
      <c r="BF739" s="234"/>
      <c r="BG739" s="234"/>
      <c r="BH739" s="234"/>
      <c r="BI739" s="234"/>
      <c r="BJ739" s="234"/>
      <c r="BK739" s="234"/>
      <c r="BL739" s="234"/>
      <c r="BM739" s="234"/>
      <c r="BN739" s="234"/>
      <c r="BO739" s="234"/>
    </row>
    <row r="740" spans="1:67" ht="24" customHeight="1" x14ac:dyDescent="0.25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  <c r="AB740" s="234"/>
      <c r="AC740" s="234"/>
      <c r="AD740" s="234"/>
      <c r="AE740" s="234"/>
      <c r="AF740" s="234"/>
      <c r="AG740" s="234"/>
      <c r="AH740" s="234"/>
      <c r="AI740" s="234"/>
      <c r="AJ740" s="234"/>
      <c r="AK740" s="234"/>
      <c r="AL740" s="234"/>
      <c r="AM740" s="234"/>
      <c r="AN740" s="234"/>
      <c r="AO740" s="234"/>
      <c r="AP740" s="234"/>
      <c r="AQ740" s="234"/>
      <c r="AR740" s="234"/>
      <c r="AS740" s="234"/>
      <c r="AT740" s="234"/>
      <c r="AU740" s="234"/>
      <c r="AV740" s="234"/>
      <c r="AW740" s="234"/>
      <c r="AX740" s="234"/>
      <c r="AY740" s="234"/>
      <c r="AZ740" s="234"/>
      <c r="BA740" s="234"/>
      <c r="BB740" s="234"/>
      <c r="BC740" s="234"/>
      <c r="BD740" s="234"/>
      <c r="BE740" s="234"/>
      <c r="BF740" s="234"/>
      <c r="BG740" s="234"/>
      <c r="BH740" s="234"/>
      <c r="BI740" s="234"/>
      <c r="BJ740" s="234"/>
      <c r="BK740" s="234"/>
      <c r="BL740" s="234"/>
      <c r="BM740" s="234"/>
      <c r="BN740" s="234"/>
      <c r="BO740" s="234"/>
    </row>
    <row r="741" spans="1:67" ht="24" customHeight="1" x14ac:dyDescent="0.25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  <c r="AB741" s="234"/>
      <c r="AC741" s="234"/>
      <c r="AD741" s="234"/>
      <c r="AE741" s="234"/>
      <c r="AF741" s="234"/>
      <c r="AG741" s="234"/>
      <c r="AH741" s="234"/>
      <c r="AI741" s="234"/>
      <c r="AJ741" s="234"/>
      <c r="AK741" s="234"/>
      <c r="AL741" s="234"/>
      <c r="AM741" s="234"/>
      <c r="AN741" s="234"/>
      <c r="AO741" s="234"/>
      <c r="AP741" s="234"/>
      <c r="AQ741" s="234"/>
      <c r="AR741" s="234"/>
      <c r="AS741" s="234"/>
      <c r="AT741" s="234"/>
      <c r="AU741" s="234"/>
      <c r="AV741" s="234"/>
      <c r="AW741" s="234"/>
      <c r="AX741" s="234"/>
      <c r="AY741" s="234"/>
      <c r="AZ741" s="234"/>
      <c r="BA741" s="234"/>
      <c r="BB741" s="234"/>
      <c r="BC741" s="234"/>
      <c r="BD741" s="234"/>
      <c r="BE741" s="234"/>
      <c r="BF741" s="234"/>
      <c r="BG741" s="234"/>
      <c r="BH741" s="234"/>
      <c r="BI741" s="234"/>
      <c r="BJ741" s="234"/>
      <c r="BK741" s="234"/>
      <c r="BL741" s="234"/>
      <c r="BM741" s="234"/>
      <c r="BN741" s="234"/>
      <c r="BO741" s="234"/>
    </row>
    <row r="742" spans="1:67" ht="24" customHeight="1" x14ac:dyDescent="0.25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  <c r="AB742" s="234"/>
      <c r="AC742" s="234"/>
      <c r="AD742" s="234"/>
      <c r="AE742" s="234"/>
      <c r="AF742" s="234"/>
      <c r="AG742" s="234"/>
      <c r="AH742" s="234"/>
      <c r="AI742" s="234"/>
      <c r="AJ742" s="234"/>
      <c r="AK742" s="234"/>
      <c r="AL742" s="234"/>
      <c r="AM742" s="234"/>
      <c r="AN742" s="234"/>
      <c r="AO742" s="234"/>
      <c r="AP742" s="234"/>
      <c r="AQ742" s="234"/>
      <c r="AR742" s="234"/>
      <c r="AS742" s="234"/>
      <c r="AT742" s="234"/>
      <c r="AU742" s="234"/>
      <c r="AV742" s="234"/>
      <c r="AW742" s="234"/>
      <c r="AX742" s="234"/>
      <c r="AY742" s="234"/>
      <c r="AZ742" s="234"/>
      <c r="BA742" s="234"/>
      <c r="BB742" s="234"/>
      <c r="BC742" s="234"/>
      <c r="BD742" s="234"/>
      <c r="BE742" s="234"/>
      <c r="BF742" s="234"/>
      <c r="BG742" s="234"/>
      <c r="BH742" s="234"/>
      <c r="BI742" s="234"/>
      <c r="BJ742" s="234"/>
      <c r="BK742" s="234"/>
      <c r="BL742" s="234"/>
      <c r="BM742" s="234"/>
      <c r="BN742" s="234"/>
      <c r="BO742" s="234"/>
    </row>
    <row r="743" spans="1:67" ht="24" customHeight="1" x14ac:dyDescent="0.25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  <c r="AB743" s="234"/>
      <c r="AC743" s="234"/>
      <c r="AD743" s="234"/>
      <c r="AE743" s="234"/>
      <c r="AF743" s="234"/>
      <c r="AG743" s="234"/>
      <c r="AH743" s="234"/>
      <c r="AI743" s="234"/>
      <c r="AJ743" s="234"/>
      <c r="AK743" s="234"/>
      <c r="AL743" s="234"/>
      <c r="AM743" s="234"/>
      <c r="AN743" s="234"/>
      <c r="AO743" s="234"/>
      <c r="AP743" s="234"/>
      <c r="AQ743" s="234"/>
      <c r="AR743" s="234"/>
      <c r="AS743" s="234"/>
      <c r="AT743" s="234"/>
      <c r="AU743" s="234"/>
      <c r="AV743" s="234"/>
      <c r="AW743" s="234"/>
      <c r="AX743" s="234"/>
      <c r="AY743" s="234"/>
      <c r="AZ743" s="234"/>
      <c r="BA743" s="234"/>
      <c r="BB743" s="234"/>
      <c r="BC743" s="234"/>
      <c r="BD743" s="234"/>
      <c r="BE743" s="234"/>
      <c r="BF743" s="234"/>
      <c r="BG743" s="234"/>
      <c r="BH743" s="234"/>
      <c r="BI743" s="234"/>
      <c r="BJ743" s="234"/>
      <c r="BK743" s="234"/>
      <c r="BL743" s="234"/>
      <c r="BM743" s="234"/>
      <c r="BN743" s="234"/>
      <c r="BO743" s="234"/>
    </row>
    <row r="744" spans="1:67" ht="24" customHeight="1" x14ac:dyDescent="0.25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  <c r="AB744" s="234"/>
      <c r="AC744" s="234"/>
      <c r="AD744" s="234"/>
      <c r="AE744" s="234"/>
      <c r="AF744" s="234"/>
      <c r="AG744" s="234"/>
      <c r="AH744" s="234"/>
      <c r="AI744" s="234"/>
      <c r="AJ744" s="234"/>
      <c r="AK744" s="234"/>
      <c r="AL744" s="234"/>
      <c r="AM744" s="234"/>
      <c r="AN744" s="234"/>
      <c r="AO744" s="234"/>
      <c r="AP744" s="234"/>
      <c r="AQ744" s="234"/>
      <c r="AR744" s="234"/>
      <c r="AS744" s="234"/>
      <c r="AT744" s="234"/>
      <c r="AU744" s="234"/>
      <c r="AV744" s="234"/>
      <c r="AW744" s="234"/>
      <c r="AX744" s="234"/>
      <c r="AY744" s="234"/>
      <c r="AZ744" s="234"/>
      <c r="BA744" s="234"/>
      <c r="BB744" s="234"/>
      <c r="BC744" s="234"/>
      <c r="BD744" s="234"/>
      <c r="BE744" s="234"/>
      <c r="BF744" s="234"/>
      <c r="BG744" s="234"/>
      <c r="BH744" s="234"/>
      <c r="BI744" s="234"/>
      <c r="BJ744" s="234"/>
      <c r="BK744" s="234"/>
      <c r="BL744" s="234"/>
      <c r="BM744" s="234"/>
      <c r="BN744" s="234"/>
      <c r="BO744" s="234"/>
    </row>
    <row r="745" spans="1:67" ht="24" customHeight="1" x14ac:dyDescent="0.2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  <c r="AB745" s="234"/>
      <c r="AC745" s="234"/>
      <c r="AD745" s="234"/>
      <c r="AE745" s="234"/>
      <c r="AF745" s="234"/>
      <c r="AG745" s="234"/>
      <c r="AH745" s="234"/>
      <c r="AI745" s="234"/>
      <c r="AJ745" s="234"/>
      <c r="AK745" s="234"/>
      <c r="AL745" s="234"/>
      <c r="AM745" s="234"/>
      <c r="AN745" s="234"/>
      <c r="AO745" s="234"/>
      <c r="AP745" s="234"/>
      <c r="AQ745" s="234"/>
      <c r="AR745" s="234"/>
      <c r="AS745" s="234"/>
      <c r="AT745" s="234"/>
      <c r="AU745" s="234"/>
      <c r="AV745" s="234"/>
      <c r="AW745" s="234"/>
      <c r="AX745" s="234"/>
      <c r="AY745" s="234"/>
      <c r="AZ745" s="234"/>
      <c r="BA745" s="234"/>
      <c r="BB745" s="234"/>
      <c r="BC745" s="234"/>
      <c r="BD745" s="234"/>
      <c r="BE745" s="234"/>
      <c r="BF745" s="234"/>
      <c r="BG745" s="234"/>
      <c r="BH745" s="234"/>
      <c r="BI745" s="234"/>
      <c r="BJ745" s="234"/>
      <c r="BK745" s="234"/>
      <c r="BL745" s="234"/>
      <c r="BM745" s="234"/>
      <c r="BN745" s="234"/>
      <c r="BO745" s="234"/>
    </row>
    <row r="746" spans="1:67" ht="24" customHeight="1" x14ac:dyDescent="0.25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  <c r="AB746" s="234"/>
      <c r="AC746" s="234"/>
      <c r="AD746" s="234"/>
      <c r="AE746" s="234"/>
      <c r="AF746" s="234"/>
      <c r="AG746" s="234"/>
      <c r="AH746" s="234"/>
      <c r="AI746" s="234"/>
      <c r="AJ746" s="234"/>
      <c r="AK746" s="234"/>
      <c r="AL746" s="234"/>
      <c r="AM746" s="234"/>
      <c r="AN746" s="234"/>
      <c r="AO746" s="234"/>
      <c r="AP746" s="234"/>
      <c r="AQ746" s="234"/>
      <c r="AR746" s="234"/>
      <c r="AS746" s="234"/>
      <c r="AT746" s="234"/>
      <c r="AU746" s="234"/>
      <c r="AV746" s="234"/>
      <c r="AW746" s="234"/>
      <c r="AX746" s="234"/>
      <c r="AY746" s="234"/>
      <c r="AZ746" s="234"/>
      <c r="BA746" s="234"/>
      <c r="BB746" s="234"/>
      <c r="BC746" s="234"/>
      <c r="BD746" s="234"/>
      <c r="BE746" s="234"/>
      <c r="BF746" s="234"/>
      <c r="BG746" s="234"/>
      <c r="BH746" s="234"/>
      <c r="BI746" s="234"/>
      <c r="BJ746" s="234"/>
      <c r="BK746" s="234"/>
      <c r="BL746" s="234"/>
      <c r="BM746" s="234"/>
      <c r="BN746" s="234"/>
      <c r="BO746" s="234"/>
    </row>
    <row r="747" spans="1:67" ht="24" customHeight="1" x14ac:dyDescent="0.25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  <c r="AB747" s="234"/>
      <c r="AC747" s="234"/>
      <c r="AD747" s="234"/>
      <c r="AE747" s="234"/>
      <c r="AF747" s="234"/>
      <c r="AG747" s="234"/>
      <c r="AH747" s="234"/>
      <c r="AI747" s="234"/>
      <c r="AJ747" s="234"/>
      <c r="AK747" s="234"/>
      <c r="AL747" s="234"/>
      <c r="AM747" s="234"/>
      <c r="AN747" s="234"/>
      <c r="AO747" s="234"/>
      <c r="AP747" s="234"/>
      <c r="AQ747" s="234"/>
      <c r="AR747" s="234"/>
      <c r="AS747" s="234"/>
      <c r="AT747" s="234"/>
      <c r="AU747" s="234"/>
      <c r="AV747" s="234"/>
      <c r="AW747" s="234"/>
      <c r="AX747" s="234"/>
      <c r="AY747" s="234"/>
      <c r="AZ747" s="234"/>
      <c r="BA747" s="234"/>
      <c r="BB747" s="234"/>
      <c r="BC747" s="234"/>
      <c r="BD747" s="234"/>
      <c r="BE747" s="234"/>
      <c r="BF747" s="234"/>
      <c r="BG747" s="234"/>
      <c r="BH747" s="234"/>
      <c r="BI747" s="234"/>
      <c r="BJ747" s="234"/>
      <c r="BK747" s="234"/>
      <c r="BL747" s="234"/>
      <c r="BM747" s="234"/>
      <c r="BN747" s="234"/>
      <c r="BO747" s="234"/>
    </row>
    <row r="748" spans="1:67" ht="24" customHeight="1" x14ac:dyDescent="0.25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  <c r="AB748" s="234"/>
      <c r="AC748" s="234"/>
      <c r="AD748" s="234"/>
      <c r="AE748" s="234"/>
      <c r="AF748" s="234"/>
      <c r="AG748" s="234"/>
      <c r="AH748" s="234"/>
      <c r="AI748" s="234"/>
      <c r="AJ748" s="234"/>
      <c r="AK748" s="234"/>
      <c r="AL748" s="234"/>
      <c r="AM748" s="234"/>
      <c r="AN748" s="234"/>
      <c r="AO748" s="234"/>
      <c r="AP748" s="234"/>
      <c r="AQ748" s="234"/>
      <c r="AR748" s="234"/>
      <c r="AS748" s="234"/>
      <c r="AT748" s="234"/>
      <c r="AU748" s="234"/>
      <c r="AV748" s="234"/>
      <c r="AW748" s="234"/>
      <c r="AX748" s="234"/>
      <c r="AY748" s="234"/>
      <c r="AZ748" s="234"/>
      <c r="BA748" s="234"/>
      <c r="BB748" s="234"/>
      <c r="BC748" s="234"/>
      <c r="BD748" s="234"/>
      <c r="BE748" s="234"/>
      <c r="BF748" s="234"/>
      <c r="BG748" s="234"/>
      <c r="BH748" s="234"/>
      <c r="BI748" s="234"/>
      <c r="BJ748" s="234"/>
      <c r="BK748" s="234"/>
      <c r="BL748" s="234"/>
      <c r="BM748" s="234"/>
      <c r="BN748" s="234"/>
      <c r="BO748" s="234"/>
    </row>
    <row r="749" spans="1:67" ht="24" customHeight="1" x14ac:dyDescent="0.25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  <c r="AB749" s="234"/>
      <c r="AC749" s="234"/>
      <c r="AD749" s="234"/>
      <c r="AE749" s="234"/>
      <c r="AF749" s="234"/>
      <c r="AG749" s="234"/>
      <c r="AH749" s="234"/>
      <c r="AI749" s="234"/>
      <c r="AJ749" s="234"/>
      <c r="AK749" s="234"/>
      <c r="AL749" s="234"/>
      <c r="AM749" s="234"/>
      <c r="AN749" s="234"/>
      <c r="AO749" s="234"/>
      <c r="AP749" s="234"/>
      <c r="AQ749" s="234"/>
      <c r="AR749" s="234"/>
      <c r="AS749" s="234"/>
      <c r="AT749" s="234"/>
      <c r="AU749" s="234"/>
      <c r="AV749" s="234"/>
      <c r="AW749" s="234"/>
      <c r="AX749" s="234"/>
      <c r="AY749" s="234"/>
      <c r="AZ749" s="234"/>
      <c r="BA749" s="234"/>
      <c r="BB749" s="234"/>
      <c r="BC749" s="234"/>
      <c r="BD749" s="234"/>
      <c r="BE749" s="234"/>
      <c r="BF749" s="234"/>
      <c r="BG749" s="234"/>
      <c r="BH749" s="234"/>
      <c r="BI749" s="234"/>
      <c r="BJ749" s="234"/>
      <c r="BK749" s="234"/>
      <c r="BL749" s="234"/>
      <c r="BM749" s="234"/>
      <c r="BN749" s="234"/>
      <c r="BO749" s="234"/>
    </row>
    <row r="750" spans="1:67" ht="24" customHeight="1" x14ac:dyDescent="0.25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  <c r="AB750" s="234"/>
      <c r="AC750" s="234"/>
      <c r="AD750" s="234"/>
      <c r="AE750" s="234"/>
      <c r="AF750" s="234"/>
      <c r="AG750" s="234"/>
      <c r="AH750" s="234"/>
      <c r="AI750" s="234"/>
      <c r="AJ750" s="234"/>
      <c r="AK750" s="234"/>
      <c r="AL750" s="234"/>
      <c r="AM750" s="234"/>
      <c r="AN750" s="234"/>
      <c r="AO750" s="234"/>
      <c r="AP750" s="234"/>
      <c r="AQ750" s="234"/>
      <c r="AR750" s="234"/>
      <c r="AS750" s="234"/>
      <c r="AT750" s="234"/>
      <c r="AU750" s="234"/>
      <c r="AV750" s="234"/>
      <c r="AW750" s="234"/>
      <c r="AX750" s="234"/>
      <c r="AY750" s="234"/>
      <c r="AZ750" s="234"/>
      <c r="BA750" s="234"/>
      <c r="BB750" s="234"/>
      <c r="BC750" s="234"/>
      <c r="BD750" s="234"/>
      <c r="BE750" s="234"/>
      <c r="BF750" s="234"/>
      <c r="BG750" s="234"/>
      <c r="BH750" s="234"/>
      <c r="BI750" s="234"/>
      <c r="BJ750" s="234"/>
      <c r="BK750" s="234"/>
      <c r="BL750" s="234"/>
      <c r="BM750" s="234"/>
      <c r="BN750" s="234"/>
      <c r="BO750" s="234"/>
    </row>
    <row r="751" spans="1:67" ht="24" customHeight="1" x14ac:dyDescent="0.25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  <c r="AB751" s="234"/>
      <c r="AC751" s="234"/>
      <c r="AD751" s="234"/>
      <c r="AE751" s="234"/>
      <c r="AF751" s="234"/>
      <c r="AG751" s="234"/>
      <c r="AH751" s="234"/>
      <c r="AI751" s="234"/>
      <c r="AJ751" s="234"/>
      <c r="AK751" s="234"/>
      <c r="AL751" s="234"/>
      <c r="AM751" s="234"/>
      <c r="AN751" s="234"/>
      <c r="AO751" s="234"/>
      <c r="AP751" s="234"/>
      <c r="AQ751" s="234"/>
      <c r="AR751" s="234"/>
      <c r="AS751" s="234"/>
      <c r="AT751" s="234"/>
      <c r="AU751" s="234"/>
      <c r="AV751" s="234"/>
      <c r="AW751" s="234"/>
      <c r="AX751" s="234"/>
      <c r="AY751" s="234"/>
      <c r="AZ751" s="234"/>
      <c r="BA751" s="234"/>
      <c r="BB751" s="234"/>
      <c r="BC751" s="234"/>
      <c r="BD751" s="234"/>
      <c r="BE751" s="234"/>
      <c r="BF751" s="234"/>
      <c r="BG751" s="234"/>
      <c r="BH751" s="234"/>
      <c r="BI751" s="234"/>
      <c r="BJ751" s="234"/>
      <c r="BK751" s="234"/>
      <c r="BL751" s="234"/>
      <c r="BM751" s="234"/>
      <c r="BN751" s="234"/>
      <c r="BO751" s="234"/>
    </row>
    <row r="752" spans="1:67" ht="24" customHeight="1" x14ac:dyDescent="0.25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  <c r="AB752" s="234"/>
      <c r="AC752" s="234"/>
      <c r="AD752" s="234"/>
      <c r="AE752" s="234"/>
      <c r="AF752" s="234"/>
      <c r="AG752" s="234"/>
      <c r="AH752" s="234"/>
      <c r="AI752" s="234"/>
      <c r="AJ752" s="234"/>
      <c r="AK752" s="234"/>
      <c r="AL752" s="234"/>
      <c r="AM752" s="234"/>
      <c r="AN752" s="234"/>
      <c r="AO752" s="234"/>
      <c r="AP752" s="234"/>
      <c r="AQ752" s="234"/>
      <c r="AR752" s="234"/>
      <c r="AS752" s="234"/>
      <c r="AT752" s="234"/>
      <c r="AU752" s="234"/>
      <c r="AV752" s="234"/>
      <c r="AW752" s="234"/>
      <c r="AX752" s="234"/>
      <c r="AY752" s="234"/>
      <c r="AZ752" s="234"/>
      <c r="BA752" s="234"/>
      <c r="BB752" s="234"/>
      <c r="BC752" s="234"/>
      <c r="BD752" s="234"/>
      <c r="BE752" s="234"/>
      <c r="BF752" s="234"/>
      <c r="BG752" s="234"/>
      <c r="BH752" s="234"/>
      <c r="BI752" s="234"/>
      <c r="BJ752" s="234"/>
      <c r="BK752" s="234"/>
      <c r="BL752" s="234"/>
      <c r="BM752" s="234"/>
      <c r="BN752" s="234"/>
      <c r="BO752" s="234"/>
    </row>
    <row r="753" spans="1:67" ht="24" customHeight="1" x14ac:dyDescent="0.25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  <c r="AB753" s="234"/>
      <c r="AC753" s="234"/>
      <c r="AD753" s="234"/>
      <c r="AE753" s="234"/>
      <c r="AF753" s="234"/>
      <c r="AG753" s="234"/>
      <c r="AH753" s="234"/>
      <c r="AI753" s="234"/>
      <c r="AJ753" s="234"/>
      <c r="AK753" s="234"/>
      <c r="AL753" s="234"/>
      <c r="AM753" s="234"/>
      <c r="AN753" s="234"/>
      <c r="AO753" s="234"/>
      <c r="AP753" s="234"/>
      <c r="AQ753" s="234"/>
      <c r="AR753" s="234"/>
      <c r="AS753" s="234"/>
      <c r="AT753" s="234"/>
      <c r="AU753" s="234"/>
      <c r="AV753" s="234"/>
      <c r="AW753" s="234"/>
      <c r="AX753" s="234"/>
      <c r="AY753" s="234"/>
      <c r="AZ753" s="234"/>
      <c r="BA753" s="234"/>
      <c r="BB753" s="234"/>
      <c r="BC753" s="234"/>
      <c r="BD753" s="234"/>
      <c r="BE753" s="234"/>
      <c r="BF753" s="234"/>
      <c r="BG753" s="234"/>
      <c r="BH753" s="234"/>
      <c r="BI753" s="234"/>
      <c r="BJ753" s="234"/>
      <c r="BK753" s="234"/>
      <c r="BL753" s="234"/>
      <c r="BM753" s="234"/>
      <c r="BN753" s="234"/>
      <c r="BO753" s="234"/>
    </row>
    <row r="754" spans="1:67" ht="24" customHeight="1" x14ac:dyDescent="0.25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  <c r="AC754" s="234"/>
      <c r="AD754" s="234"/>
      <c r="AE754" s="234"/>
      <c r="AF754" s="234"/>
      <c r="AG754" s="234"/>
      <c r="AH754" s="234"/>
      <c r="AI754" s="234"/>
      <c r="AJ754" s="234"/>
      <c r="AK754" s="234"/>
      <c r="AL754" s="234"/>
      <c r="AM754" s="234"/>
      <c r="AN754" s="234"/>
      <c r="AO754" s="234"/>
      <c r="AP754" s="234"/>
      <c r="AQ754" s="234"/>
      <c r="AR754" s="234"/>
      <c r="AS754" s="234"/>
      <c r="AT754" s="234"/>
      <c r="AU754" s="234"/>
      <c r="AV754" s="234"/>
      <c r="AW754" s="234"/>
      <c r="AX754" s="234"/>
      <c r="AY754" s="234"/>
      <c r="AZ754" s="234"/>
      <c r="BA754" s="234"/>
      <c r="BB754" s="234"/>
      <c r="BC754" s="234"/>
      <c r="BD754" s="234"/>
      <c r="BE754" s="234"/>
      <c r="BF754" s="234"/>
      <c r="BG754" s="234"/>
      <c r="BH754" s="234"/>
      <c r="BI754" s="234"/>
      <c r="BJ754" s="234"/>
      <c r="BK754" s="234"/>
      <c r="BL754" s="234"/>
      <c r="BM754" s="234"/>
      <c r="BN754" s="234"/>
      <c r="BO754" s="234"/>
    </row>
    <row r="755" spans="1:67" ht="24" customHeight="1" x14ac:dyDescent="0.2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  <c r="AB755" s="234"/>
      <c r="AC755" s="234"/>
      <c r="AD755" s="234"/>
      <c r="AE755" s="234"/>
      <c r="AF755" s="234"/>
      <c r="AG755" s="234"/>
      <c r="AH755" s="234"/>
      <c r="AI755" s="234"/>
      <c r="AJ755" s="234"/>
      <c r="AK755" s="234"/>
      <c r="AL755" s="234"/>
      <c r="AM755" s="234"/>
      <c r="AN755" s="234"/>
      <c r="AO755" s="234"/>
      <c r="AP755" s="234"/>
      <c r="AQ755" s="234"/>
      <c r="AR755" s="234"/>
      <c r="AS755" s="234"/>
      <c r="AT755" s="234"/>
      <c r="AU755" s="234"/>
      <c r="AV755" s="234"/>
      <c r="AW755" s="234"/>
      <c r="AX755" s="234"/>
      <c r="AY755" s="234"/>
      <c r="AZ755" s="234"/>
      <c r="BA755" s="234"/>
      <c r="BB755" s="234"/>
      <c r="BC755" s="234"/>
      <c r="BD755" s="234"/>
      <c r="BE755" s="234"/>
      <c r="BF755" s="234"/>
      <c r="BG755" s="234"/>
      <c r="BH755" s="234"/>
      <c r="BI755" s="234"/>
      <c r="BJ755" s="234"/>
      <c r="BK755" s="234"/>
      <c r="BL755" s="234"/>
      <c r="BM755" s="234"/>
      <c r="BN755" s="234"/>
      <c r="BO755" s="234"/>
    </row>
    <row r="756" spans="1:67" ht="24" customHeight="1" x14ac:dyDescent="0.25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  <c r="AB756" s="234"/>
      <c r="AC756" s="234"/>
      <c r="AD756" s="234"/>
      <c r="AE756" s="234"/>
      <c r="AF756" s="234"/>
      <c r="AG756" s="234"/>
      <c r="AH756" s="234"/>
      <c r="AI756" s="234"/>
      <c r="AJ756" s="234"/>
      <c r="AK756" s="234"/>
      <c r="AL756" s="234"/>
      <c r="AM756" s="234"/>
      <c r="AN756" s="234"/>
      <c r="AO756" s="234"/>
      <c r="AP756" s="234"/>
      <c r="AQ756" s="234"/>
      <c r="AR756" s="234"/>
      <c r="AS756" s="234"/>
      <c r="AT756" s="234"/>
      <c r="AU756" s="234"/>
      <c r="AV756" s="234"/>
      <c r="AW756" s="234"/>
      <c r="AX756" s="234"/>
      <c r="AY756" s="234"/>
      <c r="AZ756" s="234"/>
      <c r="BA756" s="234"/>
      <c r="BB756" s="234"/>
      <c r="BC756" s="234"/>
      <c r="BD756" s="234"/>
      <c r="BE756" s="234"/>
      <c r="BF756" s="234"/>
      <c r="BG756" s="234"/>
      <c r="BH756" s="234"/>
      <c r="BI756" s="234"/>
      <c r="BJ756" s="234"/>
      <c r="BK756" s="234"/>
      <c r="BL756" s="234"/>
      <c r="BM756" s="234"/>
      <c r="BN756" s="234"/>
      <c r="BO756" s="234"/>
    </row>
    <row r="757" spans="1:67" ht="24" customHeight="1" x14ac:dyDescent="0.25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  <c r="AB757" s="234"/>
      <c r="AC757" s="234"/>
      <c r="AD757" s="234"/>
      <c r="AE757" s="234"/>
      <c r="AF757" s="234"/>
      <c r="AG757" s="234"/>
      <c r="AH757" s="234"/>
      <c r="AI757" s="234"/>
      <c r="AJ757" s="234"/>
      <c r="AK757" s="234"/>
      <c r="AL757" s="234"/>
      <c r="AM757" s="234"/>
      <c r="AN757" s="234"/>
      <c r="AO757" s="234"/>
      <c r="AP757" s="234"/>
      <c r="AQ757" s="234"/>
      <c r="AR757" s="234"/>
      <c r="AS757" s="234"/>
      <c r="AT757" s="234"/>
      <c r="AU757" s="234"/>
      <c r="AV757" s="234"/>
      <c r="AW757" s="234"/>
      <c r="AX757" s="234"/>
      <c r="AY757" s="234"/>
      <c r="AZ757" s="234"/>
      <c r="BA757" s="234"/>
      <c r="BB757" s="234"/>
      <c r="BC757" s="234"/>
      <c r="BD757" s="234"/>
      <c r="BE757" s="234"/>
      <c r="BF757" s="234"/>
      <c r="BG757" s="234"/>
      <c r="BH757" s="234"/>
      <c r="BI757" s="234"/>
      <c r="BJ757" s="234"/>
      <c r="BK757" s="234"/>
      <c r="BL757" s="234"/>
      <c r="BM757" s="234"/>
      <c r="BN757" s="234"/>
      <c r="BO757" s="234"/>
    </row>
    <row r="758" spans="1:67" ht="24" customHeight="1" x14ac:dyDescent="0.25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  <c r="AB758" s="234"/>
      <c r="AC758" s="234"/>
      <c r="AD758" s="234"/>
      <c r="AE758" s="234"/>
      <c r="AF758" s="234"/>
      <c r="AG758" s="234"/>
      <c r="AH758" s="234"/>
      <c r="AI758" s="234"/>
      <c r="AJ758" s="234"/>
      <c r="AK758" s="234"/>
      <c r="AL758" s="234"/>
      <c r="AM758" s="234"/>
      <c r="AN758" s="234"/>
      <c r="AO758" s="234"/>
      <c r="AP758" s="234"/>
      <c r="AQ758" s="234"/>
      <c r="AR758" s="234"/>
      <c r="AS758" s="234"/>
      <c r="AT758" s="234"/>
      <c r="AU758" s="234"/>
      <c r="AV758" s="234"/>
      <c r="AW758" s="234"/>
      <c r="AX758" s="234"/>
      <c r="AY758" s="234"/>
      <c r="AZ758" s="234"/>
      <c r="BA758" s="234"/>
      <c r="BB758" s="234"/>
      <c r="BC758" s="234"/>
      <c r="BD758" s="234"/>
      <c r="BE758" s="234"/>
      <c r="BF758" s="234"/>
      <c r="BG758" s="234"/>
      <c r="BH758" s="234"/>
      <c r="BI758" s="234"/>
      <c r="BJ758" s="234"/>
      <c r="BK758" s="234"/>
      <c r="BL758" s="234"/>
      <c r="BM758" s="234"/>
      <c r="BN758" s="234"/>
      <c r="BO758" s="234"/>
    </row>
    <row r="759" spans="1:67" ht="24" customHeight="1" x14ac:dyDescent="0.25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  <c r="AB759" s="234"/>
      <c r="AC759" s="234"/>
      <c r="AD759" s="234"/>
      <c r="AE759" s="234"/>
      <c r="AF759" s="234"/>
      <c r="AG759" s="234"/>
      <c r="AH759" s="234"/>
      <c r="AI759" s="234"/>
      <c r="AJ759" s="234"/>
      <c r="AK759" s="234"/>
      <c r="AL759" s="234"/>
      <c r="AM759" s="234"/>
      <c r="AN759" s="234"/>
      <c r="AO759" s="234"/>
      <c r="AP759" s="234"/>
      <c r="AQ759" s="234"/>
      <c r="AR759" s="234"/>
      <c r="AS759" s="234"/>
      <c r="AT759" s="234"/>
      <c r="AU759" s="234"/>
      <c r="AV759" s="234"/>
      <c r="AW759" s="234"/>
      <c r="AX759" s="234"/>
      <c r="AY759" s="234"/>
      <c r="AZ759" s="234"/>
      <c r="BA759" s="234"/>
      <c r="BB759" s="234"/>
      <c r="BC759" s="234"/>
      <c r="BD759" s="234"/>
      <c r="BE759" s="234"/>
      <c r="BF759" s="234"/>
      <c r="BG759" s="234"/>
      <c r="BH759" s="234"/>
      <c r="BI759" s="234"/>
      <c r="BJ759" s="234"/>
      <c r="BK759" s="234"/>
      <c r="BL759" s="234"/>
      <c r="BM759" s="234"/>
      <c r="BN759" s="234"/>
      <c r="BO759" s="234"/>
    </row>
    <row r="760" spans="1:67" ht="24" customHeight="1" x14ac:dyDescent="0.25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  <c r="AB760" s="234"/>
      <c r="AC760" s="234"/>
      <c r="AD760" s="234"/>
      <c r="AE760" s="234"/>
      <c r="AF760" s="234"/>
      <c r="AG760" s="234"/>
      <c r="AH760" s="234"/>
      <c r="AI760" s="234"/>
      <c r="AJ760" s="234"/>
      <c r="AK760" s="234"/>
      <c r="AL760" s="234"/>
      <c r="AM760" s="234"/>
      <c r="AN760" s="234"/>
      <c r="AO760" s="234"/>
      <c r="AP760" s="234"/>
      <c r="AQ760" s="234"/>
      <c r="AR760" s="234"/>
      <c r="AS760" s="234"/>
      <c r="AT760" s="234"/>
      <c r="AU760" s="234"/>
      <c r="AV760" s="234"/>
      <c r="AW760" s="234"/>
      <c r="AX760" s="234"/>
      <c r="AY760" s="234"/>
      <c r="AZ760" s="234"/>
      <c r="BA760" s="234"/>
      <c r="BB760" s="234"/>
      <c r="BC760" s="234"/>
      <c r="BD760" s="234"/>
      <c r="BE760" s="234"/>
      <c r="BF760" s="234"/>
      <c r="BG760" s="234"/>
      <c r="BH760" s="234"/>
      <c r="BI760" s="234"/>
      <c r="BJ760" s="234"/>
      <c r="BK760" s="234"/>
      <c r="BL760" s="234"/>
      <c r="BM760" s="234"/>
      <c r="BN760" s="234"/>
      <c r="BO760" s="234"/>
    </row>
    <row r="761" spans="1:67" ht="24" customHeight="1" x14ac:dyDescent="0.25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  <c r="AB761" s="234"/>
      <c r="AC761" s="234"/>
      <c r="AD761" s="234"/>
      <c r="AE761" s="234"/>
      <c r="AF761" s="234"/>
      <c r="AG761" s="234"/>
      <c r="AH761" s="234"/>
      <c r="AI761" s="234"/>
      <c r="AJ761" s="234"/>
      <c r="AK761" s="234"/>
      <c r="AL761" s="234"/>
      <c r="AM761" s="234"/>
      <c r="AN761" s="234"/>
      <c r="AO761" s="234"/>
      <c r="AP761" s="234"/>
      <c r="AQ761" s="234"/>
      <c r="AR761" s="234"/>
      <c r="AS761" s="234"/>
      <c r="AT761" s="234"/>
      <c r="AU761" s="234"/>
      <c r="AV761" s="234"/>
      <c r="AW761" s="234"/>
      <c r="AX761" s="234"/>
      <c r="AY761" s="234"/>
      <c r="AZ761" s="234"/>
      <c r="BA761" s="234"/>
      <c r="BB761" s="234"/>
      <c r="BC761" s="234"/>
      <c r="BD761" s="234"/>
      <c r="BE761" s="234"/>
      <c r="BF761" s="234"/>
      <c r="BG761" s="234"/>
      <c r="BH761" s="234"/>
      <c r="BI761" s="234"/>
      <c r="BJ761" s="234"/>
      <c r="BK761" s="234"/>
      <c r="BL761" s="234"/>
      <c r="BM761" s="234"/>
      <c r="BN761" s="234"/>
      <c r="BO761" s="234"/>
    </row>
    <row r="762" spans="1:67" ht="24" customHeight="1" x14ac:dyDescent="0.25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  <c r="AB762" s="234"/>
      <c r="AC762" s="234"/>
      <c r="AD762" s="234"/>
      <c r="AE762" s="234"/>
      <c r="AF762" s="234"/>
      <c r="AG762" s="234"/>
      <c r="AH762" s="234"/>
      <c r="AI762" s="234"/>
      <c r="AJ762" s="234"/>
      <c r="AK762" s="234"/>
      <c r="AL762" s="234"/>
      <c r="AM762" s="234"/>
      <c r="AN762" s="234"/>
      <c r="AO762" s="234"/>
      <c r="AP762" s="234"/>
      <c r="AQ762" s="234"/>
      <c r="AR762" s="234"/>
      <c r="AS762" s="234"/>
      <c r="AT762" s="234"/>
      <c r="AU762" s="234"/>
      <c r="AV762" s="234"/>
      <c r="AW762" s="234"/>
      <c r="AX762" s="234"/>
      <c r="AY762" s="234"/>
      <c r="AZ762" s="234"/>
      <c r="BA762" s="234"/>
      <c r="BB762" s="234"/>
      <c r="BC762" s="234"/>
      <c r="BD762" s="234"/>
      <c r="BE762" s="234"/>
      <c r="BF762" s="234"/>
      <c r="BG762" s="234"/>
      <c r="BH762" s="234"/>
      <c r="BI762" s="234"/>
      <c r="BJ762" s="234"/>
      <c r="BK762" s="234"/>
      <c r="BL762" s="234"/>
      <c r="BM762" s="234"/>
      <c r="BN762" s="234"/>
      <c r="BO762" s="234"/>
    </row>
    <row r="763" spans="1:67" ht="24" customHeight="1" x14ac:dyDescent="0.25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  <c r="AB763" s="234"/>
      <c r="AC763" s="234"/>
      <c r="AD763" s="234"/>
      <c r="AE763" s="234"/>
      <c r="AF763" s="234"/>
      <c r="AG763" s="234"/>
      <c r="AH763" s="234"/>
      <c r="AI763" s="234"/>
      <c r="AJ763" s="234"/>
      <c r="AK763" s="234"/>
      <c r="AL763" s="234"/>
      <c r="AM763" s="234"/>
      <c r="AN763" s="234"/>
      <c r="AO763" s="234"/>
      <c r="AP763" s="234"/>
      <c r="AQ763" s="234"/>
      <c r="AR763" s="234"/>
      <c r="AS763" s="234"/>
      <c r="AT763" s="234"/>
      <c r="AU763" s="234"/>
      <c r="AV763" s="234"/>
      <c r="AW763" s="234"/>
      <c r="AX763" s="234"/>
      <c r="AY763" s="234"/>
      <c r="AZ763" s="234"/>
      <c r="BA763" s="234"/>
      <c r="BB763" s="234"/>
      <c r="BC763" s="234"/>
      <c r="BD763" s="234"/>
      <c r="BE763" s="234"/>
      <c r="BF763" s="234"/>
      <c r="BG763" s="234"/>
      <c r="BH763" s="234"/>
      <c r="BI763" s="234"/>
      <c r="BJ763" s="234"/>
      <c r="BK763" s="234"/>
      <c r="BL763" s="234"/>
      <c r="BM763" s="234"/>
      <c r="BN763" s="234"/>
      <c r="BO763" s="234"/>
    </row>
    <row r="764" spans="1:67" ht="24" customHeight="1" x14ac:dyDescent="0.25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  <c r="AB764" s="234"/>
      <c r="AC764" s="234"/>
      <c r="AD764" s="234"/>
      <c r="AE764" s="234"/>
      <c r="AF764" s="234"/>
      <c r="AG764" s="234"/>
      <c r="AH764" s="234"/>
      <c r="AI764" s="234"/>
      <c r="AJ764" s="234"/>
      <c r="AK764" s="234"/>
      <c r="AL764" s="234"/>
      <c r="AM764" s="234"/>
      <c r="AN764" s="234"/>
      <c r="AO764" s="234"/>
      <c r="AP764" s="234"/>
      <c r="AQ764" s="234"/>
      <c r="AR764" s="234"/>
      <c r="AS764" s="234"/>
      <c r="AT764" s="234"/>
      <c r="AU764" s="234"/>
      <c r="AV764" s="234"/>
      <c r="AW764" s="234"/>
      <c r="AX764" s="234"/>
      <c r="AY764" s="234"/>
      <c r="AZ764" s="234"/>
      <c r="BA764" s="234"/>
      <c r="BB764" s="234"/>
      <c r="BC764" s="234"/>
      <c r="BD764" s="234"/>
      <c r="BE764" s="234"/>
      <c r="BF764" s="234"/>
      <c r="BG764" s="234"/>
      <c r="BH764" s="234"/>
      <c r="BI764" s="234"/>
      <c r="BJ764" s="234"/>
      <c r="BK764" s="234"/>
      <c r="BL764" s="234"/>
      <c r="BM764" s="234"/>
      <c r="BN764" s="234"/>
      <c r="BO764" s="234"/>
    </row>
    <row r="765" spans="1:67" ht="24" customHeight="1" x14ac:dyDescent="0.2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  <c r="AB765" s="234"/>
      <c r="AC765" s="234"/>
      <c r="AD765" s="234"/>
      <c r="AE765" s="234"/>
      <c r="AF765" s="234"/>
      <c r="AG765" s="234"/>
      <c r="AH765" s="234"/>
      <c r="AI765" s="234"/>
      <c r="AJ765" s="234"/>
      <c r="AK765" s="234"/>
      <c r="AL765" s="234"/>
      <c r="AM765" s="234"/>
      <c r="AN765" s="234"/>
      <c r="AO765" s="234"/>
      <c r="AP765" s="234"/>
      <c r="AQ765" s="234"/>
      <c r="AR765" s="234"/>
      <c r="AS765" s="234"/>
      <c r="AT765" s="234"/>
      <c r="AU765" s="234"/>
      <c r="AV765" s="234"/>
      <c r="AW765" s="234"/>
      <c r="AX765" s="234"/>
      <c r="AY765" s="234"/>
      <c r="AZ765" s="234"/>
      <c r="BA765" s="234"/>
      <c r="BB765" s="234"/>
      <c r="BC765" s="234"/>
      <c r="BD765" s="234"/>
      <c r="BE765" s="234"/>
      <c r="BF765" s="234"/>
      <c r="BG765" s="234"/>
      <c r="BH765" s="234"/>
      <c r="BI765" s="234"/>
      <c r="BJ765" s="234"/>
      <c r="BK765" s="234"/>
      <c r="BL765" s="234"/>
      <c r="BM765" s="234"/>
      <c r="BN765" s="234"/>
      <c r="BO765" s="234"/>
    </row>
    <row r="766" spans="1:67" ht="24" customHeight="1" x14ac:dyDescent="0.25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  <c r="AB766" s="234"/>
      <c r="AC766" s="234"/>
      <c r="AD766" s="234"/>
      <c r="AE766" s="234"/>
      <c r="AF766" s="234"/>
      <c r="AG766" s="234"/>
      <c r="AH766" s="234"/>
      <c r="AI766" s="234"/>
      <c r="AJ766" s="234"/>
      <c r="AK766" s="234"/>
      <c r="AL766" s="234"/>
      <c r="AM766" s="234"/>
      <c r="AN766" s="234"/>
      <c r="AO766" s="234"/>
      <c r="AP766" s="234"/>
      <c r="AQ766" s="234"/>
      <c r="AR766" s="234"/>
      <c r="AS766" s="234"/>
      <c r="AT766" s="234"/>
      <c r="AU766" s="234"/>
      <c r="AV766" s="234"/>
      <c r="AW766" s="234"/>
      <c r="AX766" s="234"/>
      <c r="AY766" s="234"/>
      <c r="AZ766" s="234"/>
      <c r="BA766" s="234"/>
      <c r="BB766" s="234"/>
      <c r="BC766" s="234"/>
      <c r="BD766" s="234"/>
      <c r="BE766" s="234"/>
      <c r="BF766" s="234"/>
      <c r="BG766" s="234"/>
      <c r="BH766" s="234"/>
      <c r="BI766" s="234"/>
      <c r="BJ766" s="234"/>
      <c r="BK766" s="234"/>
      <c r="BL766" s="234"/>
      <c r="BM766" s="234"/>
      <c r="BN766" s="234"/>
      <c r="BO766" s="234"/>
    </row>
    <row r="767" spans="1:67" ht="24" customHeight="1" x14ac:dyDescent="0.25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  <c r="AB767" s="234"/>
      <c r="AC767" s="234"/>
      <c r="AD767" s="234"/>
      <c r="AE767" s="234"/>
      <c r="AF767" s="234"/>
      <c r="AG767" s="234"/>
      <c r="AH767" s="234"/>
      <c r="AI767" s="234"/>
      <c r="AJ767" s="234"/>
      <c r="AK767" s="234"/>
      <c r="AL767" s="234"/>
      <c r="AM767" s="234"/>
      <c r="AN767" s="234"/>
      <c r="AO767" s="234"/>
      <c r="AP767" s="234"/>
      <c r="AQ767" s="234"/>
      <c r="AR767" s="234"/>
      <c r="AS767" s="234"/>
      <c r="AT767" s="234"/>
      <c r="AU767" s="234"/>
      <c r="AV767" s="234"/>
      <c r="AW767" s="234"/>
      <c r="AX767" s="234"/>
      <c r="AY767" s="234"/>
      <c r="AZ767" s="234"/>
      <c r="BA767" s="234"/>
      <c r="BB767" s="234"/>
      <c r="BC767" s="234"/>
      <c r="BD767" s="234"/>
      <c r="BE767" s="234"/>
      <c r="BF767" s="234"/>
      <c r="BG767" s="234"/>
      <c r="BH767" s="234"/>
      <c r="BI767" s="234"/>
      <c r="BJ767" s="234"/>
      <c r="BK767" s="234"/>
      <c r="BL767" s="234"/>
      <c r="BM767" s="234"/>
      <c r="BN767" s="234"/>
      <c r="BO767" s="234"/>
    </row>
    <row r="768" spans="1:67" ht="24" customHeight="1" x14ac:dyDescent="0.25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  <c r="AB768" s="234"/>
      <c r="AC768" s="234"/>
      <c r="AD768" s="234"/>
      <c r="AE768" s="234"/>
      <c r="AF768" s="234"/>
      <c r="AG768" s="234"/>
      <c r="AH768" s="234"/>
      <c r="AI768" s="234"/>
      <c r="AJ768" s="234"/>
      <c r="AK768" s="234"/>
      <c r="AL768" s="234"/>
      <c r="AM768" s="234"/>
      <c r="AN768" s="234"/>
      <c r="AO768" s="234"/>
      <c r="AP768" s="234"/>
      <c r="AQ768" s="234"/>
      <c r="AR768" s="234"/>
      <c r="AS768" s="234"/>
      <c r="AT768" s="234"/>
      <c r="AU768" s="234"/>
      <c r="AV768" s="234"/>
      <c r="AW768" s="234"/>
      <c r="AX768" s="234"/>
      <c r="AY768" s="234"/>
      <c r="AZ768" s="234"/>
      <c r="BA768" s="234"/>
      <c r="BB768" s="234"/>
      <c r="BC768" s="234"/>
      <c r="BD768" s="234"/>
      <c r="BE768" s="234"/>
      <c r="BF768" s="234"/>
      <c r="BG768" s="234"/>
      <c r="BH768" s="234"/>
      <c r="BI768" s="234"/>
      <c r="BJ768" s="234"/>
      <c r="BK768" s="234"/>
      <c r="BL768" s="234"/>
      <c r="BM768" s="234"/>
      <c r="BN768" s="234"/>
      <c r="BO768" s="234"/>
    </row>
    <row r="769" spans="1:67" ht="24" customHeight="1" x14ac:dyDescent="0.25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  <c r="AB769" s="234"/>
      <c r="AC769" s="234"/>
      <c r="AD769" s="234"/>
      <c r="AE769" s="234"/>
      <c r="AF769" s="234"/>
      <c r="AG769" s="234"/>
      <c r="AH769" s="234"/>
      <c r="AI769" s="234"/>
      <c r="AJ769" s="234"/>
      <c r="AK769" s="234"/>
      <c r="AL769" s="234"/>
      <c r="AM769" s="234"/>
      <c r="AN769" s="234"/>
      <c r="AO769" s="234"/>
      <c r="AP769" s="234"/>
      <c r="AQ769" s="234"/>
      <c r="AR769" s="234"/>
      <c r="AS769" s="234"/>
      <c r="AT769" s="234"/>
      <c r="AU769" s="234"/>
      <c r="AV769" s="234"/>
      <c r="AW769" s="234"/>
      <c r="AX769" s="234"/>
      <c r="AY769" s="234"/>
      <c r="AZ769" s="234"/>
      <c r="BA769" s="234"/>
      <c r="BB769" s="234"/>
      <c r="BC769" s="234"/>
      <c r="BD769" s="234"/>
      <c r="BE769" s="234"/>
      <c r="BF769" s="234"/>
      <c r="BG769" s="234"/>
      <c r="BH769" s="234"/>
      <c r="BI769" s="234"/>
      <c r="BJ769" s="234"/>
      <c r="BK769" s="234"/>
      <c r="BL769" s="234"/>
      <c r="BM769" s="234"/>
      <c r="BN769" s="234"/>
      <c r="BO769" s="234"/>
    </row>
    <row r="770" spans="1:67" ht="24" customHeight="1" x14ac:dyDescent="0.25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  <c r="AB770" s="234"/>
      <c r="AC770" s="234"/>
      <c r="AD770" s="234"/>
      <c r="AE770" s="234"/>
      <c r="AF770" s="234"/>
      <c r="AG770" s="234"/>
      <c r="AH770" s="234"/>
      <c r="AI770" s="234"/>
      <c r="AJ770" s="234"/>
      <c r="AK770" s="234"/>
      <c r="AL770" s="234"/>
      <c r="AM770" s="234"/>
      <c r="AN770" s="234"/>
      <c r="AO770" s="234"/>
      <c r="AP770" s="234"/>
      <c r="AQ770" s="234"/>
      <c r="AR770" s="234"/>
      <c r="AS770" s="234"/>
      <c r="AT770" s="234"/>
      <c r="AU770" s="234"/>
      <c r="AV770" s="234"/>
      <c r="AW770" s="234"/>
      <c r="AX770" s="234"/>
      <c r="AY770" s="234"/>
      <c r="AZ770" s="234"/>
      <c r="BA770" s="234"/>
      <c r="BB770" s="234"/>
      <c r="BC770" s="234"/>
      <c r="BD770" s="234"/>
      <c r="BE770" s="234"/>
      <c r="BF770" s="234"/>
      <c r="BG770" s="234"/>
      <c r="BH770" s="234"/>
      <c r="BI770" s="234"/>
      <c r="BJ770" s="234"/>
      <c r="BK770" s="234"/>
      <c r="BL770" s="234"/>
      <c r="BM770" s="234"/>
      <c r="BN770" s="234"/>
      <c r="BO770" s="234"/>
    </row>
    <row r="771" spans="1:67" ht="24" customHeight="1" x14ac:dyDescent="0.25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  <c r="AB771" s="234"/>
      <c r="AC771" s="234"/>
      <c r="AD771" s="234"/>
      <c r="AE771" s="234"/>
      <c r="AF771" s="234"/>
      <c r="AG771" s="234"/>
      <c r="AH771" s="234"/>
      <c r="AI771" s="234"/>
      <c r="AJ771" s="234"/>
      <c r="AK771" s="234"/>
      <c r="AL771" s="234"/>
      <c r="AM771" s="234"/>
      <c r="AN771" s="234"/>
      <c r="AO771" s="234"/>
      <c r="AP771" s="234"/>
      <c r="AQ771" s="234"/>
      <c r="AR771" s="234"/>
      <c r="AS771" s="234"/>
      <c r="AT771" s="234"/>
      <c r="AU771" s="234"/>
      <c r="AV771" s="234"/>
      <c r="AW771" s="234"/>
      <c r="AX771" s="234"/>
      <c r="AY771" s="234"/>
      <c r="AZ771" s="234"/>
      <c r="BA771" s="234"/>
      <c r="BB771" s="234"/>
      <c r="BC771" s="234"/>
      <c r="BD771" s="234"/>
      <c r="BE771" s="234"/>
      <c r="BF771" s="234"/>
      <c r="BG771" s="234"/>
      <c r="BH771" s="234"/>
      <c r="BI771" s="234"/>
      <c r="BJ771" s="234"/>
      <c r="BK771" s="234"/>
      <c r="BL771" s="234"/>
      <c r="BM771" s="234"/>
      <c r="BN771" s="234"/>
      <c r="BO771" s="234"/>
    </row>
    <row r="772" spans="1:67" ht="24" customHeight="1" x14ac:dyDescent="0.25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  <c r="AB772" s="234"/>
      <c r="AC772" s="234"/>
      <c r="AD772" s="234"/>
      <c r="AE772" s="234"/>
      <c r="AF772" s="234"/>
      <c r="AG772" s="234"/>
      <c r="AH772" s="234"/>
      <c r="AI772" s="234"/>
      <c r="AJ772" s="234"/>
      <c r="AK772" s="234"/>
      <c r="AL772" s="234"/>
      <c r="AM772" s="234"/>
      <c r="AN772" s="234"/>
      <c r="AO772" s="234"/>
      <c r="AP772" s="234"/>
      <c r="AQ772" s="234"/>
      <c r="AR772" s="234"/>
      <c r="AS772" s="234"/>
      <c r="AT772" s="234"/>
      <c r="AU772" s="234"/>
      <c r="AV772" s="234"/>
      <c r="AW772" s="234"/>
      <c r="AX772" s="234"/>
      <c r="AY772" s="234"/>
      <c r="AZ772" s="234"/>
      <c r="BA772" s="234"/>
      <c r="BB772" s="234"/>
      <c r="BC772" s="234"/>
      <c r="BD772" s="234"/>
      <c r="BE772" s="234"/>
      <c r="BF772" s="234"/>
      <c r="BG772" s="234"/>
      <c r="BH772" s="234"/>
      <c r="BI772" s="234"/>
      <c r="BJ772" s="234"/>
      <c r="BK772" s="234"/>
      <c r="BL772" s="234"/>
      <c r="BM772" s="234"/>
      <c r="BN772" s="234"/>
      <c r="BO772" s="234"/>
    </row>
    <row r="773" spans="1:67" ht="24" customHeight="1" x14ac:dyDescent="0.25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  <c r="AB773" s="234"/>
      <c r="AC773" s="234"/>
      <c r="AD773" s="234"/>
      <c r="AE773" s="234"/>
      <c r="AF773" s="234"/>
      <c r="AG773" s="234"/>
      <c r="AH773" s="234"/>
      <c r="AI773" s="234"/>
      <c r="AJ773" s="234"/>
      <c r="AK773" s="234"/>
      <c r="AL773" s="234"/>
      <c r="AM773" s="234"/>
      <c r="AN773" s="234"/>
      <c r="AO773" s="234"/>
      <c r="AP773" s="234"/>
      <c r="AQ773" s="234"/>
      <c r="AR773" s="234"/>
      <c r="AS773" s="234"/>
      <c r="AT773" s="234"/>
      <c r="AU773" s="234"/>
      <c r="AV773" s="234"/>
      <c r="AW773" s="234"/>
      <c r="AX773" s="234"/>
      <c r="AY773" s="234"/>
      <c r="AZ773" s="234"/>
      <c r="BA773" s="234"/>
      <c r="BB773" s="234"/>
      <c r="BC773" s="234"/>
      <c r="BD773" s="234"/>
      <c r="BE773" s="234"/>
      <c r="BF773" s="234"/>
      <c r="BG773" s="234"/>
      <c r="BH773" s="234"/>
      <c r="BI773" s="234"/>
      <c r="BJ773" s="234"/>
      <c r="BK773" s="234"/>
      <c r="BL773" s="234"/>
      <c r="BM773" s="234"/>
      <c r="BN773" s="234"/>
      <c r="BO773" s="234"/>
    </row>
    <row r="774" spans="1:67" ht="24" customHeight="1" x14ac:dyDescent="0.25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  <c r="AB774" s="234"/>
      <c r="AC774" s="234"/>
      <c r="AD774" s="234"/>
      <c r="AE774" s="234"/>
      <c r="AF774" s="234"/>
      <c r="AG774" s="234"/>
      <c r="AH774" s="234"/>
      <c r="AI774" s="234"/>
      <c r="AJ774" s="234"/>
      <c r="AK774" s="234"/>
      <c r="AL774" s="234"/>
      <c r="AM774" s="234"/>
      <c r="AN774" s="234"/>
      <c r="AO774" s="234"/>
      <c r="AP774" s="234"/>
      <c r="AQ774" s="234"/>
      <c r="AR774" s="234"/>
      <c r="AS774" s="234"/>
      <c r="AT774" s="234"/>
      <c r="AU774" s="234"/>
      <c r="AV774" s="234"/>
      <c r="AW774" s="234"/>
      <c r="AX774" s="234"/>
      <c r="AY774" s="234"/>
      <c r="AZ774" s="234"/>
      <c r="BA774" s="234"/>
      <c r="BB774" s="234"/>
      <c r="BC774" s="234"/>
      <c r="BD774" s="234"/>
      <c r="BE774" s="234"/>
      <c r="BF774" s="234"/>
      <c r="BG774" s="234"/>
      <c r="BH774" s="234"/>
      <c r="BI774" s="234"/>
      <c r="BJ774" s="234"/>
      <c r="BK774" s="234"/>
      <c r="BL774" s="234"/>
      <c r="BM774" s="234"/>
      <c r="BN774" s="234"/>
      <c r="BO774" s="234"/>
    </row>
    <row r="775" spans="1:67" ht="24" customHeight="1" x14ac:dyDescent="0.2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  <c r="AB775" s="234"/>
      <c r="AC775" s="234"/>
      <c r="AD775" s="234"/>
      <c r="AE775" s="234"/>
      <c r="AF775" s="234"/>
      <c r="AG775" s="234"/>
      <c r="AH775" s="234"/>
      <c r="AI775" s="234"/>
      <c r="AJ775" s="234"/>
      <c r="AK775" s="234"/>
      <c r="AL775" s="234"/>
      <c r="AM775" s="234"/>
      <c r="AN775" s="234"/>
      <c r="AO775" s="234"/>
      <c r="AP775" s="234"/>
      <c r="AQ775" s="234"/>
      <c r="AR775" s="234"/>
      <c r="AS775" s="234"/>
      <c r="AT775" s="234"/>
      <c r="AU775" s="234"/>
      <c r="AV775" s="234"/>
      <c r="AW775" s="234"/>
      <c r="AX775" s="234"/>
      <c r="AY775" s="234"/>
      <c r="AZ775" s="234"/>
      <c r="BA775" s="234"/>
      <c r="BB775" s="234"/>
      <c r="BC775" s="234"/>
      <c r="BD775" s="234"/>
      <c r="BE775" s="234"/>
      <c r="BF775" s="234"/>
      <c r="BG775" s="234"/>
      <c r="BH775" s="234"/>
      <c r="BI775" s="234"/>
      <c r="BJ775" s="234"/>
      <c r="BK775" s="234"/>
      <c r="BL775" s="234"/>
      <c r="BM775" s="234"/>
      <c r="BN775" s="234"/>
      <c r="BO775" s="234"/>
    </row>
    <row r="776" spans="1:67" ht="24" customHeight="1" x14ac:dyDescent="0.25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  <c r="AB776" s="234"/>
      <c r="AC776" s="234"/>
      <c r="AD776" s="234"/>
      <c r="AE776" s="234"/>
      <c r="AF776" s="234"/>
      <c r="AG776" s="234"/>
      <c r="AH776" s="234"/>
      <c r="AI776" s="234"/>
      <c r="AJ776" s="234"/>
      <c r="AK776" s="234"/>
      <c r="AL776" s="234"/>
      <c r="AM776" s="234"/>
      <c r="AN776" s="234"/>
      <c r="AO776" s="234"/>
      <c r="AP776" s="234"/>
      <c r="AQ776" s="234"/>
      <c r="AR776" s="234"/>
      <c r="AS776" s="234"/>
      <c r="AT776" s="234"/>
      <c r="AU776" s="234"/>
      <c r="AV776" s="234"/>
      <c r="AW776" s="234"/>
      <c r="AX776" s="234"/>
      <c r="AY776" s="234"/>
      <c r="AZ776" s="234"/>
      <c r="BA776" s="234"/>
      <c r="BB776" s="234"/>
      <c r="BC776" s="234"/>
      <c r="BD776" s="234"/>
      <c r="BE776" s="234"/>
      <c r="BF776" s="234"/>
      <c r="BG776" s="234"/>
      <c r="BH776" s="234"/>
      <c r="BI776" s="234"/>
      <c r="BJ776" s="234"/>
      <c r="BK776" s="234"/>
      <c r="BL776" s="234"/>
      <c r="BM776" s="234"/>
      <c r="BN776" s="234"/>
      <c r="BO776" s="234"/>
    </row>
    <row r="777" spans="1:67" ht="24" customHeight="1" x14ac:dyDescent="0.25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  <c r="AB777" s="234"/>
      <c r="AC777" s="234"/>
      <c r="AD777" s="234"/>
      <c r="AE777" s="234"/>
      <c r="AF777" s="234"/>
      <c r="AG777" s="234"/>
      <c r="AH777" s="234"/>
      <c r="AI777" s="234"/>
      <c r="AJ777" s="234"/>
      <c r="AK777" s="234"/>
      <c r="AL777" s="234"/>
      <c r="AM777" s="234"/>
      <c r="AN777" s="234"/>
      <c r="AO777" s="234"/>
      <c r="AP777" s="234"/>
      <c r="AQ777" s="234"/>
      <c r="AR777" s="234"/>
      <c r="AS777" s="234"/>
      <c r="AT777" s="234"/>
      <c r="AU777" s="234"/>
      <c r="AV777" s="234"/>
      <c r="AW777" s="234"/>
      <c r="AX777" s="234"/>
      <c r="AY777" s="234"/>
      <c r="AZ777" s="234"/>
      <c r="BA777" s="234"/>
      <c r="BB777" s="234"/>
      <c r="BC777" s="234"/>
      <c r="BD777" s="234"/>
      <c r="BE777" s="234"/>
      <c r="BF777" s="234"/>
      <c r="BG777" s="234"/>
      <c r="BH777" s="234"/>
      <c r="BI777" s="234"/>
      <c r="BJ777" s="234"/>
      <c r="BK777" s="234"/>
      <c r="BL777" s="234"/>
      <c r="BM777" s="234"/>
      <c r="BN777" s="234"/>
      <c r="BO777" s="234"/>
    </row>
    <row r="778" spans="1:67" ht="24" customHeight="1" x14ac:dyDescent="0.25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  <c r="AB778" s="234"/>
      <c r="AC778" s="234"/>
      <c r="AD778" s="234"/>
      <c r="AE778" s="234"/>
      <c r="AF778" s="234"/>
      <c r="AG778" s="234"/>
      <c r="AH778" s="234"/>
      <c r="AI778" s="234"/>
      <c r="AJ778" s="234"/>
      <c r="AK778" s="234"/>
      <c r="AL778" s="234"/>
      <c r="AM778" s="234"/>
      <c r="AN778" s="234"/>
      <c r="AO778" s="234"/>
      <c r="AP778" s="234"/>
      <c r="AQ778" s="234"/>
      <c r="AR778" s="234"/>
      <c r="AS778" s="234"/>
      <c r="AT778" s="234"/>
      <c r="AU778" s="234"/>
      <c r="AV778" s="234"/>
      <c r="AW778" s="234"/>
      <c r="AX778" s="234"/>
      <c r="AY778" s="234"/>
      <c r="AZ778" s="234"/>
      <c r="BA778" s="234"/>
      <c r="BB778" s="234"/>
      <c r="BC778" s="234"/>
      <c r="BD778" s="234"/>
      <c r="BE778" s="234"/>
      <c r="BF778" s="234"/>
      <c r="BG778" s="234"/>
      <c r="BH778" s="234"/>
      <c r="BI778" s="234"/>
      <c r="BJ778" s="234"/>
      <c r="BK778" s="234"/>
      <c r="BL778" s="234"/>
      <c r="BM778" s="234"/>
      <c r="BN778" s="234"/>
      <c r="BO778" s="234"/>
    </row>
    <row r="779" spans="1:67" ht="24" customHeight="1" x14ac:dyDescent="0.25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  <c r="AB779" s="234"/>
      <c r="AC779" s="234"/>
      <c r="AD779" s="234"/>
      <c r="AE779" s="234"/>
      <c r="AF779" s="234"/>
      <c r="AG779" s="234"/>
      <c r="AH779" s="234"/>
      <c r="AI779" s="234"/>
      <c r="AJ779" s="234"/>
      <c r="AK779" s="234"/>
      <c r="AL779" s="234"/>
      <c r="AM779" s="234"/>
      <c r="AN779" s="234"/>
      <c r="AO779" s="234"/>
      <c r="AP779" s="234"/>
      <c r="AQ779" s="234"/>
      <c r="AR779" s="234"/>
      <c r="AS779" s="234"/>
      <c r="AT779" s="234"/>
      <c r="AU779" s="234"/>
      <c r="AV779" s="234"/>
      <c r="AW779" s="234"/>
      <c r="AX779" s="234"/>
      <c r="AY779" s="234"/>
      <c r="AZ779" s="234"/>
      <c r="BA779" s="234"/>
      <c r="BB779" s="234"/>
      <c r="BC779" s="234"/>
      <c r="BD779" s="234"/>
      <c r="BE779" s="234"/>
      <c r="BF779" s="234"/>
      <c r="BG779" s="234"/>
      <c r="BH779" s="234"/>
      <c r="BI779" s="234"/>
      <c r="BJ779" s="234"/>
      <c r="BK779" s="234"/>
      <c r="BL779" s="234"/>
      <c r="BM779" s="234"/>
      <c r="BN779" s="234"/>
      <c r="BO779" s="234"/>
    </row>
    <row r="780" spans="1:67" ht="24" customHeight="1" x14ac:dyDescent="0.25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  <c r="AB780" s="234"/>
      <c r="AC780" s="234"/>
      <c r="AD780" s="234"/>
      <c r="AE780" s="234"/>
      <c r="AF780" s="234"/>
      <c r="AG780" s="234"/>
      <c r="AH780" s="234"/>
      <c r="AI780" s="234"/>
      <c r="AJ780" s="234"/>
      <c r="AK780" s="234"/>
      <c r="AL780" s="234"/>
      <c r="AM780" s="234"/>
      <c r="AN780" s="234"/>
      <c r="AO780" s="234"/>
      <c r="AP780" s="234"/>
      <c r="AQ780" s="234"/>
      <c r="AR780" s="234"/>
      <c r="AS780" s="234"/>
      <c r="AT780" s="234"/>
      <c r="AU780" s="234"/>
      <c r="AV780" s="234"/>
      <c r="AW780" s="234"/>
      <c r="AX780" s="234"/>
      <c r="AY780" s="234"/>
      <c r="AZ780" s="234"/>
      <c r="BA780" s="234"/>
      <c r="BB780" s="234"/>
      <c r="BC780" s="234"/>
      <c r="BD780" s="234"/>
      <c r="BE780" s="234"/>
      <c r="BF780" s="234"/>
      <c r="BG780" s="234"/>
      <c r="BH780" s="234"/>
      <c r="BI780" s="234"/>
      <c r="BJ780" s="234"/>
      <c r="BK780" s="234"/>
      <c r="BL780" s="234"/>
      <c r="BM780" s="234"/>
      <c r="BN780" s="234"/>
      <c r="BO780" s="234"/>
    </row>
    <row r="781" spans="1:67" ht="24" customHeight="1" x14ac:dyDescent="0.25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  <c r="AB781" s="234"/>
      <c r="AC781" s="234"/>
      <c r="AD781" s="234"/>
      <c r="AE781" s="234"/>
      <c r="AF781" s="234"/>
      <c r="AG781" s="234"/>
      <c r="AH781" s="234"/>
      <c r="AI781" s="234"/>
      <c r="AJ781" s="234"/>
      <c r="AK781" s="234"/>
      <c r="AL781" s="234"/>
      <c r="AM781" s="234"/>
      <c r="AN781" s="234"/>
      <c r="AO781" s="234"/>
      <c r="AP781" s="234"/>
      <c r="AQ781" s="234"/>
      <c r="AR781" s="234"/>
      <c r="AS781" s="234"/>
      <c r="AT781" s="234"/>
      <c r="AU781" s="234"/>
      <c r="AV781" s="234"/>
      <c r="AW781" s="234"/>
      <c r="AX781" s="234"/>
      <c r="AY781" s="234"/>
      <c r="AZ781" s="234"/>
      <c r="BA781" s="234"/>
      <c r="BB781" s="234"/>
      <c r="BC781" s="234"/>
      <c r="BD781" s="234"/>
      <c r="BE781" s="234"/>
      <c r="BF781" s="234"/>
      <c r="BG781" s="234"/>
      <c r="BH781" s="234"/>
      <c r="BI781" s="234"/>
      <c r="BJ781" s="234"/>
      <c r="BK781" s="234"/>
      <c r="BL781" s="234"/>
      <c r="BM781" s="234"/>
      <c r="BN781" s="234"/>
      <c r="BO781" s="234"/>
    </row>
    <row r="782" spans="1:67" ht="24" customHeight="1" x14ac:dyDescent="0.25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  <c r="AB782" s="234"/>
      <c r="AC782" s="234"/>
      <c r="AD782" s="234"/>
      <c r="AE782" s="234"/>
      <c r="AF782" s="234"/>
      <c r="AG782" s="234"/>
      <c r="AH782" s="234"/>
      <c r="AI782" s="234"/>
      <c r="AJ782" s="234"/>
      <c r="AK782" s="234"/>
      <c r="AL782" s="234"/>
      <c r="AM782" s="234"/>
      <c r="AN782" s="234"/>
      <c r="AO782" s="234"/>
      <c r="AP782" s="234"/>
      <c r="AQ782" s="234"/>
      <c r="AR782" s="234"/>
      <c r="AS782" s="234"/>
      <c r="AT782" s="234"/>
      <c r="AU782" s="234"/>
      <c r="AV782" s="234"/>
      <c r="AW782" s="234"/>
      <c r="AX782" s="234"/>
      <c r="AY782" s="234"/>
      <c r="AZ782" s="234"/>
      <c r="BA782" s="234"/>
      <c r="BB782" s="234"/>
      <c r="BC782" s="234"/>
      <c r="BD782" s="234"/>
      <c r="BE782" s="234"/>
      <c r="BF782" s="234"/>
      <c r="BG782" s="234"/>
      <c r="BH782" s="234"/>
      <c r="BI782" s="234"/>
      <c r="BJ782" s="234"/>
      <c r="BK782" s="234"/>
      <c r="BL782" s="234"/>
      <c r="BM782" s="234"/>
      <c r="BN782" s="234"/>
      <c r="BO782" s="234"/>
    </row>
    <row r="783" spans="1:67" ht="24" customHeight="1" x14ac:dyDescent="0.25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  <c r="AB783" s="234"/>
      <c r="AC783" s="234"/>
      <c r="AD783" s="234"/>
      <c r="AE783" s="234"/>
      <c r="AF783" s="234"/>
      <c r="AG783" s="234"/>
      <c r="AH783" s="234"/>
      <c r="AI783" s="234"/>
      <c r="AJ783" s="234"/>
      <c r="AK783" s="234"/>
      <c r="AL783" s="234"/>
      <c r="AM783" s="234"/>
      <c r="AN783" s="234"/>
      <c r="AO783" s="234"/>
      <c r="AP783" s="234"/>
      <c r="AQ783" s="234"/>
      <c r="AR783" s="234"/>
      <c r="AS783" s="234"/>
      <c r="AT783" s="234"/>
      <c r="AU783" s="234"/>
      <c r="AV783" s="234"/>
      <c r="AW783" s="234"/>
      <c r="AX783" s="234"/>
      <c r="AY783" s="234"/>
      <c r="AZ783" s="234"/>
      <c r="BA783" s="234"/>
      <c r="BB783" s="234"/>
      <c r="BC783" s="234"/>
      <c r="BD783" s="234"/>
      <c r="BE783" s="234"/>
      <c r="BF783" s="234"/>
      <c r="BG783" s="234"/>
      <c r="BH783" s="234"/>
      <c r="BI783" s="234"/>
      <c r="BJ783" s="234"/>
      <c r="BK783" s="234"/>
      <c r="BL783" s="234"/>
      <c r="BM783" s="234"/>
      <c r="BN783" s="234"/>
      <c r="BO783" s="234"/>
    </row>
    <row r="784" spans="1:67" ht="24" customHeight="1" x14ac:dyDescent="0.25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  <c r="AB784" s="234"/>
      <c r="AC784" s="234"/>
      <c r="AD784" s="234"/>
      <c r="AE784" s="234"/>
      <c r="AF784" s="234"/>
      <c r="AG784" s="234"/>
      <c r="AH784" s="234"/>
      <c r="AI784" s="234"/>
      <c r="AJ784" s="234"/>
      <c r="AK784" s="234"/>
      <c r="AL784" s="234"/>
      <c r="AM784" s="234"/>
      <c r="AN784" s="234"/>
      <c r="AO784" s="234"/>
      <c r="AP784" s="234"/>
      <c r="AQ784" s="234"/>
      <c r="AR784" s="234"/>
      <c r="AS784" s="234"/>
      <c r="AT784" s="234"/>
      <c r="AU784" s="234"/>
      <c r="AV784" s="234"/>
      <c r="AW784" s="234"/>
      <c r="AX784" s="234"/>
      <c r="AY784" s="234"/>
      <c r="AZ784" s="234"/>
      <c r="BA784" s="234"/>
      <c r="BB784" s="234"/>
      <c r="BC784" s="234"/>
      <c r="BD784" s="234"/>
      <c r="BE784" s="234"/>
      <c r="BF784" s="234"/>
      <c r="BG784" s="234"/>
      <c r="BH784" s="234"/>
      <c r="BI784" s="234"/>
      <c r="BJ784" s="234"/>
      <c r="BK784" s="234"/>
      <c r="BL784" s="234"/>
      <c r="BM784" s="234"/>
      <c r="BN784" s="234"/>
      <c r="BO784" s="234"/>
    </row>
    <row r="785" spans="1:67" ht="24" customHeight="1" x14ac:dyDescent="0.2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  <c r="AB785" s="234"/>
      <c r="AC785" s="234"/>
      <c r="AD785" s="234"/>
      <c r="AE785" s="234"/>
      <c r="AF785" s="234"/>
      <c r="AG785" s="234"/>
      <c r="AH785" s="234"/>
      <c r="AI785" s="234"/>
      <c r="AJ785" s="234"/>
      <c r="AK785" s="234"/>
      <c r="AL785" s="234"/>
      <c r="AM785" s="234"/>
      <c r="AN785" s="234"/>
      <c r="AO785" s="234"/>
      <c r="AP785" s="234"/>
      <c r="AQ785" s="234"/>
      <c r="AR785" s="234"/>
      <c r="AS785" s="234"/>
      <c r="AT785" s="234"/>
      <c r="AU785" s="234"/>
      <c r="AV785" s="234"/>
      <c r="AW785" s="234"/>
      <c r="AX785" s="234"/>
      <c r="AY785" s="234"/>
      <c r="AZ785" s="234"/>
      <c r="BA785" s="234"/>
      <c r="BB785" s="234"/>
      <c r="BC785" s="234"/>
      <c r="BD785" s="234"/>
      <c r="BE785" s="234"/>
      <c r="BF785" s="234"/>
      <c r="BG785" s="234"/>
      <c r="BH785" s="234"/>
      <c r="BI785" s="234"/>
      <c r="BJ785" s="234"/>
      <c r="BK785" s="234"/>
      <c r="BL785" s="234"/>
      <c r="BM785" s="234"/>
      <c r="BN785" s="234"/>
      <c r="BO785" s="234"/>
    </row>
    <row r="786" spans="1:67" ht="24" customHeight="1" x14ac:dyDescent="0.25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  <c r="AB786" s="234"/>
      <c r="AC786" s="234"/>
      <c r="AD786" s="234"/>
      <c r="AE786" s="234"/>
      <c r="AF786" s="234"/>
      <c r="AG786" s="234"/>
      <c r="AH786" s="234"/>
      <c r="AI786" s="234"/>
      <c r="AJ786" s="234"/>
      <c r="AK786" s="234"/>
      <c r="AL786" s="234"/>
      <c r="AM786" s="234"/>
      <c r="AN786" s="234"/>
      <c r="AO786" s="234"/>
      <c r="AP786" s="234"/>
      <c r="AQ786" s="234"/>
      <c r="AR786" s="234"/>
      <c r="AS786" s="234"/>
      <c r="AT786" s="234"/>
      <c r="AU786" s="234"/>
      <c r="AV786" s="234"/>
      <c r="AW786" s="234"/>
      <c r="AX786" s="234"/>
      <c r="AY786" s="234"/>
      <c r="AZ786" s="234"/>
      <c r="BA786" s="234"/>
      <c r="BB786" s="234"/>
      <c r="BC786" s="234"/>
      <c r="BD786" s="234"/>
      <c r="BE786" s="234"/>
      <c r="BF786" s="234"/>
      <c r="BG786" s="234"/>
      <c r="BH786" s="234"/>
      <c r="BI786" s="234"/>
      <c r="BJ786" s="234"/>
      <c r="BK786" s="234"/>
      <c r="BL786" s="234"/>
      <c r="BM786" s="234"/>
      <c r="BN786" s="234"/>
      <c r="BO786" s="234"/>
    </row>
    <row r="787" spans="1:67" ht="24" customHeight="1" x14ac:dyDescent="0.25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  <c r="AB787" s="234"/>
      <c r="AC787" s="234"/>
      <c r="AD787" s="234"/>
      <c r="AE787" s="234"/>
      <c r="AF787" s="234"/>
      <c r="AG787" s="234"/>
      <c r="AH787" s="234"/>
      <c r="AI787" s="234"/>
      <c r="AJ787" s="234"/>
      <c r="AK787" s="234"/>
      <c r="AL787" s="234"/>
      <c r="AM787" s="234"/>
      <c r="AN787" s="234"/>
      <c r="AO787" s="234"/>
      <c r="AP787" s="234"/>
      <c r="AQ787" s="234"/>
      <c r="AR787" s="234"/>
      <c r="AS787" s="234"/>
      <c r="AT787" s="234"/>
      <c r="AU787" s="234"/>
      <c r="AV787" s="234"/>
      <c r="AW787" s="234"/>
      <c r="AX787" s="234"/>
      <c r="AY787" s="234"/>
      <c r="AZ787" s="234"/>
      <c r="BA787" s="234"/>
      <c r="BB787" s="234"/>
      <c r="BC787" s="234"/>
      <c r="BD787" s="234"/>
      <c r="BE787" s="234"/>
      <c r="BF787" s="234"/>
      <c r="BG787" s="234"/>
      <c r="BH787" s="234"/>
      <c r="BI787" s="234"/>
      <c r="BJ787" s="234"/>
      <c r="BK787" s="234"/>
      <c r="BL787" s="234"/>
      <c r="BM787" s="234"/>
      <c r="BN787" s="234"/>
      <c r="BO787" s="234"/>
    </row>
    <row r="788" spans="1:67" ht="24" customHeight="1" x14ac:dyDescent="0.25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  <c r="AB788" s="234"/>
      <c r="AC788" s="234"/>
      <c r="AD788" s="234"/>
      <c r="AE788" s="234"/>
      <c r="AF788" s="234"/>
      <c r="AG788" s="234"/>
      <c r="AH788" s="234"/>
      <c r="AI788" s="234"/>
      <c r="AJ788" s="234"/>
      <c r="AK788" s="234"/>
      <c r="AL788" s="234"/>
      <c r="AM788" s="234"/>
      <c r="AN788" s="234"/>
      <c r="AO788" s="234"/>
      <c r="AP788" s="234"/>
      <c r="AQ788" s="234"/>
      <c r="AR788" s="234"/>
      <c r="AS788" s="234"/>
      <c r="AT788" s="234"/>
      <c r="AU788" s="234"/>
      <c r="AV788" s="234"/>
      <c r="AW788" s="234"/>
      <c r="AX788" s="234"/>
      <c r="AY788" s="234"/>
      <c r="AZ788" s="234"/>
      <c r="BA788" s="234"/>
      <c r="BB788" s="234"/>
      <c r="BC788" s="234"/>
      <c r="BD788" s="234"/>
      <c r="BE788" s="234"/>
      <c r="BF788" s="234"/>
      <c r="BG788" s="234"/>
      <c r="BH788" s="234"/>
      <c r="BI788" s="234"/>
      <c r="BJ788" s="234"/>
      <c r="BK788" s="234"/>
      <c r="BL788" s="234"/>
      <c r="BM788" s="234"/>
      <c r="BN788" s="234"/>
      <c r="BO788" s="234"/>
    </row>
    <row r="789" spans="1:67" ht="24" customHeight="1" x14ac:dyDescent="0.25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  <c r="AB789" s="234"/>
      <c r="AC789" s="234"/>
      <c r="AD789" s="234"/>
      <c r="AE789" s="234"/>
      <c r="AF789" s="234"/>
      <c r="AG789" s="234"/>
      <c r="AH789" s="234"/>
      <c r="AI789" s="234"/>
      <c r="AJ789" s="234"/>
      <c r="AK789" s="234"/>
      <c r="AL789" s="234"/>
      <c r="AM789" s="234"/>
      <c r="AN789" s="234"/>
      <c r="AO789" s="234"/>
      <c r="AP789" s="234"/>
      <c r="AQ789" s="234"/>
      <c r="AR789" s="234"/>
      <c r="AS789" s="234"/>
      <c r="AT789" s="234"/>
      <c r="AU789" s="234"/>
      <c r="AV789" s="234"/>
      <c r="AW789" s="234"/>
      <c r="AX789" s="234"/>
      <c r="AY789" s="234"/>
      <c r="AZ789" s="234"/>
      <c r="BA789" s="234"/>
      <c r="BB789" s="234"/>
      <c r="BC789" s="234"/>
      <c r="BD789" s="234"/>
      <c r="BE789" s="234"/>
      <c r="BF789" s="234"/>
      <c r="BG789" s="234"/>
      <c r="BH789" s="234"/>
      <c r="BI789" s="234"/>
      <c r="BJ789" s="234"/>
      <c r="BK789" s="234"/>
      <c r="BL789" s="234"/>
      <c r="BM789" s="234"/>
      <c r="BN789" s="234"/>
      <c r="BO789" s="234"/>
    </row>
    <row r="790" spans="1:67" ht="24" customHeight="1" x14ac:dyDescent="0.25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  <c r="AB790" s="234"/>
      <c r="AC790" s="234"/>
      <c r="AD790" s="234"/>
      <c r="AE790" s="234"/>
      <c r="AF790" s="234"/>
      <c r="AG790" s="234"/>
      <c r="AH790" s="234"/>
      <c r="AI790" s="234"/>
      <c r="AJ790" s="234"/>
      <c r="AK790" s="234"/>
      <c r="AL790" s="234"/>
      <c r="AM790" s="234"/>
      <c r="AN790" s="234"/>
      <c r="AO790" s="234"/>
      <c r="AP790" s="234"/>
      <c r="AQ790" s="234"/>
      <c r="AR790" s="234"/>
      <c r="AS790" s="234"/>
      <c r="AT790" s="234"/>
      <c r="AU790" s="234"/>
      <c r="AV790" s="234"/>
      <c r="AW790" s="234"/>
      <c r="AX790" s="234"/>
      <c r="AY790" s="234"/>
      <c r="AZ790" s="234"/>
      <c r="BA790" s="234"/>
      <c r="BB790" s="234"/>
      <c r="BC790" s="234"/>
      <c r="BD790" s="234"/>
      <c r="BE790" s="234"/>
      <c r="BF790" s="234"/>
      <c r="BG790" s="234"/>
      <c r="BH790" s="234"/>
      <c r="BI790" s="234"/>
      <c r="BJ790" s="234"/>
      <c r="BK790" s="234"/>
      <c r="BL790" s="234"/>
      <c r="BM790" s="234"/>
      <c r="BN790" s="234"/>
      <c r="BO790" s="234"/>
    </row>
    <row r="791" spans="1:67" ht="24" customHeight="1" x14ac:dyDescent="0.25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  <c r="AB791" s="234"/>
      <c r="AC791" s="234"/>
      <c r="AD791" s="234"/>
      <c r="AE791" s="234"/>
      <c r="AF791" s="234"/>
      <c r="AG791" s="234"/>
      <c r="AH791" s="234"/>
      <c r="AI791" s="234"/>
      <c r="AJ791" s="234"/>
      <c r="AK791" s="234"/>
      <c r="AL791" s="234"/>
      <c r="AM791" s="234"/>
      <c r="AN791" s="234"/>
      <c r="AO791" s="234"/>
      <c r="AP791" s="234"/>
      <c r="AQ791" s="234"/>
      <c r="AR791" s="234"/>
      <c r="AS791" s="234"/>
      <c r="AT791" s="234"/>
      <c r="AU791" s="234"/>
      <c r="AV791" s="234"/>
      <c r="AW791" s="234"/>
      <c r="AX791" s="234"/>
      <c r="AY791" s="234"/>
      <c r="AZ791" s="234"/>
      <c r="BA791" s="234"/>
      <c r="BB791" s="234"/>
      <c r="BC791" s="234"/>
      <c r="BD791" s="234"/>
      <c r="BE791" s="234"/>
      <c r="BF791" s="234"/>
      <c r="BG791" s="234"/>
      <c r="BH791" s="234"/>
      <c r="BI791" s="234"/>
      <c r="BJ791" s="234"/>
      <c r="BK791" s="234"/>
      <c r="BL791" s="234"/>
      <c r="BM791" s="234"/>
      <c r="BN791" s="234"/>
      <c r="BO791" s="234"/>
    </row>
    <row r="792" spans="1:67" ht="24" customHeight="1" x14ac:dyDescent="0.25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  <c r="AB792" s="234"/>
      <c r="AC792" s="234"/>
      <c r="AD792" s="234"/>
      <c r="AE792" s="234"/>
      <c r="AF792" s="234"/>
      <c r="AG792" s="234"/>
      <c r="AH792" s="234"/>
      <c r="AI792" s="234"/>
      <c r="AJ792" s="234"/>
      <c r="AK792" s="234"/>
      <c r="AL792" s="234"/>
      <c r="AM792" s="234"/>
      <c r="AN792" s="234"/>
      <c r="AO792" s="234"/>
      <c r="AP792" s="234"/>
      <c r="AQ792" s="234"/>
      <c r="AR792" s="234"/>
      <c r="AS792" s="234"/>
      <c r="AT792" s="234"/>
      <c r="AU792" s="234"/>
      <c r="AV792" s="234"/>
      <c r="AW792" s="234"/>
      <c r="AX792" s="234"/>
      <c r="AY792" s="234"/>
      <c r="AZ792" s="234"/>
      <c r="BA792" s="234"/>
      <c r="BB792" s="234"/>
      <c r="BC792" s="234"/>
      <c r="BD792" s="234"/>
      <c r="BE792" s="234"/>
      <c r="BF792" s="234"/>
      <c r="BG792" s="234"/>
      <c r="BH792" s="234"/>
      <c r="BI792" s="234"/>
      <c r="BJ792" s="234"/>
      <c r="BK792" s="234"/>
      <c r="BL792" s="234"/>
      <c r="BM792" s="234"/>
      <c r="BN792" s="234"/>
      <c r="BO792" s="234"/>
    </row>
    <row r="793" spans="1:67" ht="24" customHeight="1" x14ac:dyDescent="0.25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  <c r="AB793" s="234"/>
      <c r="AC793" s="234"/>
      <c r="AD793" s="234"/>
      <c r="AE793" s="234"/>
      <c r="AF793" s="234"/>
      <c r="AG793" s="234"/>
      <c r="AH793" s="234"/>
      <c r="AI793" s="234"/>
      <c r="AJ793" s="234"/>
      <c r="AK793" s="234"/>
      <c r="AL793" s="234"/>
      <c r="AM793" s="234"/>
      <c r="AN793" s="234"/>
      <c r="AO793" s="234"/>
      <c r="AP793" s="234"/>
      <c r="AQ793" s="234"/>
      <c r="AR793" s="234"/>
      <c r="AS793" s="234"/>
      <c r="AT793" s="234"/>
      <c r="AU793" s="234"/>
      <c r="AV793" s="234"/>
      <c r="AW793" s="234"/>
      <c r="AX793" s="234"/>
      <c r="AY793" s="234"/>
      <c r="AZ793" s="234"/>
      <c r="BA793" s="234"/>
      <c r="BB793" s="234"/>
      <c r="BC793" s="234"/>
      <c r="BD793" s="234"/>
      <c r="BE793" s="234"/>
      <c r="BF793" s="234"/>
      <c r="BG793" s="234"/>
      <c r="BH793" s="234"/>
      <c r="BI793" s="234"/>
      <c r="BJ793" s="234"/>
      <c r="BK793" s="234"/>
      <c r="BL793" s="234"/>
      <c r="BM793" s="234"/>
      <c r="BN793" s="234"/>
      <c r="BO793" s="234"/>
    </row>
    <row r="794" spans="1:67" ht="24" customHeight="1" x14ac:dyDescent="0.25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  <c r="AB794" s="234"/>
      <c r="AC794" s="234"/>
      <c r="AD794" s="234"/>
      <c r="AE794" s="234"/>
      <c r="AF794" s="234"/>
      <c r="AG794" s="234"/>
      <c r="AH794" s="234"/>
      <c r="AI794" s="234"/>
      <c r="AJ794" s="234"/>
      <c r="AK794" s="234"/>
      <c r="AL794" s="234"/>
      <c r="AM794" s="234"/>
      <c r="AN794" s="234"/>
      <c r="AO794" s="234"/>
      <c r="AP794" s="234"/>
      <c r="AQ794" s="234"/>
      <c r="AR794" s="234"/>
      <c r="AS794" s="234"/>
      <c r="AT794" s="234"/>
      <c r="AU794" s="234"/>
      <c r="AV794" s="234"/>
      <c r="AW794" s="234"/>
      <c r="AX794" s="234"/>
      <c r="AY794" s="234"/>
      <c r="AZ794" s="234"/>
      <c r="BA794" s="234"/>
      <c r="BB794" s="234"/>
      <c r="BC794" s="234"/>
      <c r="BD794" s="234"/>
      <c r="BE794" s="234"/>
      <c r="BF794" s="234"/>
      <c r="BG794" s="234"/>
      <c r="BH794" s="234"/>
      <c r="BI794" s="234"/>
      <c r="BJ794" s="234"/>
      <c r="BK794" s="234"/>
      <c r="BL794" s="234"/>
      <c r="BM794" s="234"/>
      <c r="BN794" s="234"/>
      <c r="BO794" s="234"/>
    </row>
    <row r="795" spans="1:67" ht="24" customHeight="1" x14ac:dyDescent="0.2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  <c r="AB795" s="234"/>
      <c r="AC795" s="234"/>
      <c r="AD795" s="234"/>
      <c r="AE795" s="234"/>
      <c r="AF795" s="234"/>
      <c r="AG795" s="234"/>
      <c r="AH795" s="234"/>
      <c r="AI795" s="234"/>
      <c r="AJ795" s="234"/>
      <c r="AK795" s="234"/>
      <c r="AL795" s="234"/>
      <c r="AM795" s="234"/>
      <c r="AN795" s="234"/>
      <c r="AO795" s="234"/>
      <c r="AP795" s="234"/>
      <c r="AQ795" s="234"/>
      <c r="AR795" s="234"/>
      <c r="AS795" s="234"/>
      <c r="AT795" s="234"/>
      <c r="AU795" s="234"/>
      <c r="AV795" s="234"/>
      <c r="AW795" s="234"/>
      <c r="AX795" s="234"/>
      <c r="AY795" s="234"/>
      <c r="AZ795" s="234"/>
      <c r="BA795" s="234"/>
      <c r="BB795" s="234"/>
      <c r="BC795" s="234"/>
      <c r="BD795" s="234"/>
      <c r="BE795" s="234"/>
      <c r="BF795" s="234"/>
      <c r="BG795" s="234"/>
      <c r="BH795" s="234"/>
      <c r="BI795" s="234"/>
      <c r="BJ795" s="234"/>
      <c r="BK795" s="234"/>
      <c r="BL795" s="234"/>
      <c r="BM795" s="234"/>
      <c r="BN795" s="234"/>
      <c r="BO795" s="234"/>
    </row>
    <row r="796" spans="1:67" ht="24" customHeight="1" x14ac:dyDescent="0.25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  <c r="AB796" s="234"/>
      <c r="AC796" s="234"/>
      <c r="AD796" s="234"/>
      <c r="AE796" s="234"/>
      <c r="AF796" s="234"/>
      <c r="AG796" s="234"/>
      <c r="AH796" s="234"/>
      <c r="AI796" s="234"/>
      <c r="AJ796" s="234"/>
      <c r="AK796" s="234"/>
      <c r="AL796" s="234"/>
      <c r="AM796" s="234"/>
      <c r="AN796" s="234"/>
      <c r="AO796" s="234"/>
      <c r="AP796" s="234"/>
      <c r="AQ796" s="234"/>
      <c r="AR796" s="234"/>
      <c r="AS796" s="234"/>
      <c r="AT796" s="234"/>
      <c r="AU796" s="234"/>
      <c r="AV796" s="234"/>
      <c r="AW796" s="234"/>
      <c r="AX796" s="234"/>
      <c r="AY796" s="234"/>
      <c r="AZ796" s="234"/>
      <c r="BA796" s="234"/>
      <c r="BB796" s="234"/>
      <c r="BC796" s="234"/>
      <c r="BD796" s="234"/>
      <c r="BE796" s="234"/>
      <c r="BF796" s="234"/>
      <c r="BG796" s="234"/>
      <c r="BH796" s="234"/>
      <c r="BI796" s="234"/>
      <c r="BJ796" s="234"/>
      <c r="BK796" s="234"/>
      <c r="BL796" s="234"/>
      <c r="BM796" s="234"/>
      <c r="BN796" s="234"/>
      <c r="BO796" s="234"/>
    </row>
    <row r="797" spans="1:67" ht="24" customHeight="1" x14ac:dyDescent="0.25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  <c r="AB797" s="234"/>
      <c r="AC797" s="234"/>
      <c r="AD797" s="234"/>
      <c r="AE797" s="234"/>
      <c r="AF797" s="234"/>
      <c r="AG797" s="234"/>
      <c r="AH797" s="234"/>
      <c r="AI797" s="234"/>
      <c r="AJ797" s="234"/>
      <c r="AK797" s="234"/>
      <c r="AL797" s="234"/>
      <c r="AM797" s="234"/>
      <c r="AN797" s="234"/>
      <c r="AO797" s="234"/>
      <c r="AP797" s="234"/>
      <c r="AQ797" s="234"/>
      <c r="AR797" s="234"/>
      <c r="AS797" s="234"/>
      <c r="AT797" s="234"/>
      <c r="AU797" s="234"/>
      <c r="AV797" s="234"/>
      <c r="AW797" s="234"/>
      <c r="AX797" s="234"/>
      <c r="AY797" s="234"/>
      <c r="AZ797" s="234"/>
      <c r="BA797" s="234"/>
      <c r="BB797" s="234"/>
      <c r="BC797" s="234"/>
      <c r="BD797" s="234"/>
      <c r="BE797" s="234"/>
      <c r="BF797" s="234"/>
      <c r="BG797" s="234"/>
      <c r="BH797" s="234"/>
      <c r="BI797" s="234"/>
      <c r="BJ797" s="234"/>
      <c r="BK797" s="234"/>
      <c r="BL797" s="234"/>
      <c r="BM797" s="234"/>
      <c r="BN797" s="234"/>
      <c r="BO797" s="234"/>
    </row>
    <row r="798" spans="1:67" ht="24" customHeight="1" x14ac:dyDescent="0.25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  <c r="AB798" s="234"/>
      <c r="AC798" s="234"/>
      <c r="AD798" s="234"/>
      <c r="AE798" s="234"/>
      <c r="AF798" s="234"/>
      <c r="AG798" s="234"/>
      <c r="AH798" s="234"/>
      <c r="AI798" s="234"/>
      <c r="AJ798" s="234"/>
      <c r="AK798" s="234"/>
      <c r="AL798" s="234"/>
      <c r="AM798" s="234"/>
      <c r="AN798" s="234"/>
      <c r="AO798" s="234"/>
      <c r="AP798" s="234"/>
      <c r="AQ798" s="234"/>
      <c r="AR798" s="234"/>
      <c r="AS798" s="234"/>
      <c r="AT798" s="234"/>
      <c r="AU798" s="234"/>
      <c r="AV798" s="234"/>
      <c r="AW798" s="234"/>
      <c r="AX798" s="234"/>
      <c r="AY798" s="234"/>
      <c r="AZ798" s="234"/>
      <c r="BA798" s="234"/>
      <c r="BB798" s="234"/>
      <c r="BC798" s="234"/>
      <c r="BD798" s="234"/>
      <c r="BE798" s="234"/>
      <c r="BF798" s="234"/>
      <c r="BG798" s="234"/>
      <c r="BH798" s="234"/>
      <c r="BI798" s="234"/>
      <c r="BJ798" s="234"/>
      <c r="BK798" s="234"/>
      <c r="BL798" s="234"/>
      <c r="BM798" s="234"/>
      <c r="BN798" s="234"/>
      <c r="BO798" s="234"/>
    </row>
    <row r="799" spans="1:67" ht="24" customHeight="1" x14ac:dyDescent="0.25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  <c r="AB799" s="234"/>
      <c r="AC799" s="234"/>
      <c r="AD799" s="234"/>
      <c r="AE799" s="234"/>
      <c r="AF799" s="234"/>
      <c r="AG799" s="234"/>
      <c r="AH799" s="234"/>
      <c r="AI799" s="234"/>
      <c r="AJ799" s="234"/>
      <c r="AK799" s="234"/>
      <c r="AL799" s="234"/>
      <c r="AM799" s="234"/>
      <c r="AN799" s="234"/>
      <c r="AO799" s="234"/>
      <c r="AP799" s="234"/>
      <c r="AQ799" s="234"/>
      <c r="AR799" s="234"/>
      <c r="AS799" s="234"/>
      <c r="AT799" s="234"/>
      <c r="AU799" s="234"/>
      <c r="AV799" s="234"/>
      <c r="AW799" s="234"/>
      <c r="AX799" s="234"/>
      <c r="AY799" s="234"/>
      <c r="AZ799" s="234"/>
      <c r="BA799" s="234"/>
      <c r="BB799" s="234"/>
      <c r="BC799" s="234"/>
      <c r="BD799" s="234"/>
      <c r="BE799" s="234"/>
      <c r="BF799" s="234"/>
      <c r="BG799" s="234"/>
      <c r="BH799" s="234"/>
      <c r="BI799" s="234"/>
      <c r="BJ799" s="234"/>
      <c r="BK799" s="234"/>
      <c r="BL799" s="234"/>
      <c r="BM799" s="234"/>
      <c r="BN799" s="234"/>
      <c r="BO799" s="234"/>
    </row>
    <row r="800" spans="1:67" ht="24" customHeight="1" x14ac:dyDescent="0.25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  <c r="AB800" s="234"/>
      <c r="AC800" s="234"/>
      <c r="AD800" s="234"/>
      <c r="AE800" s="234"/>
      <c r="AF800" s="234"/>
      <c r="AG800" s="234"/>
      <c r="AH800" s="234"/>
      <c r="AI800" s="234"/>
      <c r="AJ800" s="234"/>
      <c r="AK800" s="234"/>
      <c r="AL800" s="234"/>
      <c r="AM800" s="234"/>
      <c r="AN800" s="234"/>
      <c r="AO800" s="234"/>
      <c r="AP800" s="234"/>
      <c r="AQ800" s="234"/>
      <c r="AR800" s="234"/>
      <c r="AS800" s="234"/>
      <c r="AT800" s="234"/>
      <c r="AU800" s="234"/>
      <c r="AV800" s="234"/>
      <c r="AW800" s="234"/>
      <c r="AX800" s="234"/>
      <c r="AY800" s="234"/>
      <c r="AZ800" s="234"/>
      <c r="BA800" s="234"/>
      <c r="BB800" s="234"/>
      <c r="BC800" s="234"/>
      <c r="BD800" s="234"/>
      <c r="BE800" s="234"/>
      <c r="BF800" s="234"/>
      <c r="BG800" s="234"/>
      <c r="BH800" s="234"/>
      <c r="BI800" s="234"/>
      <c r="BJ800" s="234"/>
      <c r="BK800" s="234"/>
      <c r="BL800" s="234"/>
      <c r="BM800" s="234"/>
      <c r="BN800" s="234"/>
      <c r="BO800" s="234"/>
    </row>
    <row r="801" spans="1:67" ht="24" customHeight="1" x14ac:dyDescent="0.25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  <c r="AB801" s="234"/>
      <c r="AC801" s="234"/>
      <c r="AD801" s="234"/>
      <c r="AE801" s="234"/>
      <c r="AF801" s="234"/>
      <c r="AG801" s="234"/>
      <c r="AH801" s="234"/>
      <c r="AI801" s="234"/>
      <c r="AJ801" s="234"/>
      <c r="AK801" s="234"/>
      <c r="AL801" s="234"/>
      <c r="AM801" s="234"/>
      <c r="AN801" s="234"/>
      <c r="AO801" s="234"/>
      <c r="AP801" s="234"/>
      <c r="AQ801" s="234"/>
      <c r="AR801" s="234"/>
      <c r="AS801" s="234"/>
      <c r="AT801" s="234"/>
      <c r="AU801" s="234"/>
      <c r="AV801" s="234"/>
      <c r="AW801" s="234"/>
      <c r="AX801" s="234"/>
      <c r="AY801" s="234"/>
      <c r="AZ801" s="234"/>
      <c r="BA801" s="234"/>
      <c r="BB801" s="234"/>
      <c r="BC801" s="234"/>
      <c r="BD801" s="234"/>
      <c r="BE801" s="234"/>
      <c r="BF801" s="234"/>
      <c r="BG801" s="234"/>
      <c r="BH801" s="234"/>
      <c r="BI801" s="234"/>
      <c r="BJ801" s="234"/>
      <c r="BK801" s="234"/>
      <c r="BL801" s="234"/>
      <c r="BM801" s="234"/>
      <c r="BN801" s="234"/>
      <c r="BO801" s="234"/>
    </row>
    <row r="802" spans="1:67" ht="24" customHeight="1" x14ac:dyDescent="0.25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  <c r="AB802" s="234"/>
      <c r="AC802" s="234"/>
      <c r="AD802" s="234"/>
      <c r="AE802" s="234"/>
      <c r="AF802" s="234"/>
      <c r="AG802" s="234"/>
      <c r="AH802" s="234"/>
      <c r="AI802" s="234"/>
      <c r="AJ802" s="234"/>
      <c r="AK802" s="234"/>
      <c r="AL802" s="234"/>
      <c r="AM802" s="234"/>
      <c r="AN802" s="234"/>
      <c r="AO802" s="234"/>
      <c r="AP802" s="234"/>
      <c r="AQ802" s="234"/>
      <c r="AR802" s="234"/>
      <c r="AS802" s="234"/>
      <c r="AT802" s="234"/>
      <c r="AU802" s="234"/>
      <c r="AV802" s="234"/>
      <c r="AW802" s="234"/>
      <c r="AX802" s="234"/>
      <c r="AY802" s="234"/>
      <c r="AZ802" s="234"/>
      <c r="BA802" s="234"/>
      <c r="BB802" s="234"/>
      <c r="BC802" s="234"/>
      <c r="BD802" s="234"/>
      <c r="BE802" s="234"/>
      <c r="BF802" s="234"/>
      <c r="BG802" s="234"/>
      <c r="BH802" s="234"/>
      <c r="BI802" s="234"/>
      <c r="BJ802" s="234"/>
      <c r="BK802" s="234"/>
      <c r="BL802" s="234"/>
      <c r="BM802" s="234"/>
      <c r="BN802" s="234"/>
      <c r="BO802" s="234"/>
    </row>
    <row r="803" spans="1:67" ht="24" customHeight="1" x14ac:dyDescent="0.25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  <c r="AB803" s="234"/>
      <c r="AC803" s="234"/>
      <c r="AD803" s="234"/>
      <c r="AE803" s="234"/>
      <c r="AF803" s="234"/>
      <c r="AG803" s="234"/>
      <c r="AH803" s="234"/>
      <c r="AI803" s="234"/>
      <c r="AJ803" s="234"/>
      <c r="AK803" s="234"/>
      <c r="AL803" s="234"/>
      <c r="AM803" s="234"/>
      <c r="AN803" s="234"/>
      <c r="AO803" s="234"/>
      <c r="AP803" s="234"/>
      <c r="AQ803" s="234"/>
      <c r="AR803" s="234"/>
      <c r="AS803" s="234"/>
      <c r="AT803" s="234"/>
      <c r="AU803" s="234"/>
      <c r="AV803" s="234"/>
      <c r="AW803" s="234"/>
      <c r="AX803" s="234"/>
      <c r="AY803" s="234"/>
      <c r="AZ803" s="234"/>
      <c r="BA803" s="234"/>
      <c r="BB803" s="234"/>
      <c r="BC803" s="234"/>
      <c r="BD803" s="234"/>
      <c r="BE803" s="234"/>
      <c r="BF803" s="234"/>
      <c r="BG803" s="234"/>
      <c r="BH803" s="234"/>
      <c r="BI803" s="234"/>
      <c r="BJ803" s="234"/>
      <c r="BK803" s="234"/>
      <c r="BL803" s="234"/>
      <c r="BM803" s="234"/>
      <c r="BN803" s="234"/>
      <c r="BO803" s="234"/>
    </row>
    <row r="804" spans="1:67" ht="24" customHeight="1" x14ac:dyDescent="0.25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  <c r="AB804" s="234"/>
      <c r="AC804" s="234"/>
      <c r="AD804" s="234"/>
      <c r="AE804" s="234"/>
      <c r="AF804" s="234"/>
      <c r="AG804" s="234"/>
      <c r="AH804" s="234"/>
      <c r="AI804" s="234"/>
      <c r="AJ804" s="234"/>
      <c r="AK804" s="234"/>
      <c r="AL804" s="234"/>
      <c r="AM804" s="234"/>
      <c r="AN804" s="234"/>
      <c r="AO804" s="234"/>
      <c r="AP804" s="234"/>
      <c r="AQ804" s="234"/>
      <c r="AR804" s="234"/>
      <c r="AS804" s="234"/>
      <c r="AT804" s="234"/>
      <c r="AU804" s="234"/>
      <c r="AV804" s="234"/>
      <c r="AW804" s="234"/>
      <c r="AX804" s="234"/>
      <c r="AY804" s="234"/>
      <c r="AZ804" s="234"/>
      <c r="BA804" s="234"/>
      <c r="BB804" s="234"/>
      <c r="BC804" s="234"/>
      <c r="BD804" s="234"/>
      <c r="BE804" s="234"/>
      <c r="BF804" s="234"/>
      <c r="BG804" s="234"/>
      <c r="BH804" s="234"/>
      <c r="BI804" s="234"/>
      <c r="BJ804" s="234"/>
      <c r="BK804" s="234"/>
      <c r="BL804" s="234"/>
      <c r="BM804" s="234"/>
      <c r="BN804" s="234"/>
      <c r="BO804" s="234"/>
    </row>
    <row r="805" spans="1:67" ht="24" customHeight="1" x14ac:dyDescent="0.2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  <c r="AB805" s="234"/>
      <c r="AC805" s="234"/>
      <c r="AD805" s="234"/>
      <c r="AE805" s="234"/>
      <c r="AF805" s="234"/>
      <c r="AG805" s="234"/>
      <c r="AH805" s="234"/>
      <c r="AI805" s="234"/>
      <c r="AJ805" s="234"/>
      <c r="AK805" s="234"/>
      <c r="AL805" s="234"/>
      <c r="AM805" s="234"/>
      <c r="AN805" s="234"/>
      <c r="AO805" s="234"/>
      <c r="AP805" s="234"/>
      <c r="AQ805" s="234"/>
      <c r="AR805" s="234"/>
      <c r="AS805" s="234"/>
      <c r="AT805" s="234"/>
      <c r="AU805" s="234"/>
      <c r="AV805" s="234"/>
      <c r="AW805" s="234"/>
      <c r="AX805" s="234"/>
      <c r="AY805" s="234"/>
      <c r="AZ805" s="234"/>
      <c r="BA805" s="234"/>
      <c r="BB805" s="234"/>
      <c r="BC805" s="234"/>
      <c r="BD805" s="234"/>
      <c r="BE805" s="234"/>
      <c r="BF805" s="234"/>
      <c r="BG805" s="234"/>
      <c r="BH805" s="234"/>
      <c r="BI805" s="234"/>
      <c r="BJ805" s="234"/>
      <c r="BK805" s="234"/>
      <c r="BL805" s="234"/>
      <c r="BM805" s="234"/>
      <c r="BN805" s="234"/>
      <c r="BO805" s="234"/>
    </row>
    <row r="806" spans="1:67" ht="24" customHeight="1" x14ac:dyDescent="0.25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  <c r="AB806" s="234"/>
      <c r="AC806" s="234"/>
      <c r="AD806" s="234"/>
      <c r="AE806" s="234"/>
      <c r="AF806" s="234"/>
      <c r="AG806" s="234"/>
      <c r="AH806" s="234"/>
      <c r="AI806" s="234"/>
      <c r="AJ806" s="234"/>
      <c r="AK806" s="234"/>
      <c r="AL806" s="234"/>
      <c r="AM806" s="234"/>
      <c r="AN806" s="234"/>
      <c r="AO806" s="234"/>
      <c r="AP806" s="234"/>
      <c r="AQ806" s="234"/>
      <c r="AR806" s="234"/>
      <c r="AS806" s="234"/>
      <c r="AT806" s="234"/>
      <c r="AU806" s="234"/>
      <c r="AV806" s="234"/>
      <c r="AW806" s="234"/>
      <c r="AX806" s="234"/>
      <c r="AY806" s="234"/>
      <c r="AZ806" s="234"/>
      <c r="BA806" s="234"/>
      <c r="BB806" s="234"/>
      <c r="BC806" s="234"/>
      <c r="BD806" s="234"/>
      <c r="BE806" s="234"/>
      <c r="BF806" s="234"/>
      <c r="BG806" s="234"/>
      <c r="BH806" s="234"/>
      <c r="BI806" s="234"/>
      <c r="BJ806" s="234"/>
      <c r="BK806" s="234"/>
      <c r="BL806" s="234"/>
      <c r="BM806" s="234"/>
      <c r="BN806" s="234"/>
      <c r="BO806" s="234"/>
    </row>
    <row r="807" spans="1:67" ht="24" customHeight="1" x14ac:dyDescent="0.25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  <c r="AC807" s="234"/>
      <c r="AD807" s="234"/>
      <c r="AE807" s="234"/>
      <c r="AF807" s="234"/>
      <c r="AG807" s="234"/>
      <c r="AH807" s="234"/>
      <c r="AI807" s="234"/>
      <c r="AJ807" s="234"/>
      <c r="AK807" s="234"/>
      <c r="AL807" s="234"/>
      <c r="AM807" s="234"/>
      <c r="AN807" s="234"/>
      <c r="AO807" s="234"/>
      <c r="AP807" s="234"/>
      <c r="AQ807" s="234"/>
      <c r="AR807" s="234"/>
      <c r="AS807" s="234"/>
      <c r="AT807" s="234"/>
      <c r="AU807" s="234"/>
      <c r="AV807" s="234"/>
      <c r="AW807" s="234"/>
      <c r="AX807" s="234"/>
      <c r="AY807" s="234"/>
      <c r="AZ807" s="234"/>
      <c r="BA807" s="234"/>
      <c r="BB807" s="234"/>
      <c r="BC807" s="234"/>
      <c r="BD807" s="234"/>
      <c r="BE807" s="234"/>
      <c r="BF807" s="234"/>
      <c r="BG807" s="234"/>
      <c r="BH807" s="234"/>
      <c r="BI807" s="234"/>
      <c r="BJ807" s="234"/>
      <c r="BK807" s="234"/>
      <c r="BL807" s="234"/>
      <c r="BM807" s="234"/>
      <c r="BN807" s="234"/>
      <c r="BO807" s="234"/>
    </row>
    <row r="808" spans="1:67" ht="24" customHeight="1" x14ac:dyDescent="0.25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  <c r="AB808" s="234"/>
      <c r="AC808" s="234"/>
      <c r="AD808" s="234"/>
      <c r="AE808" s="234"/>
      <c r="AF808" s="234"/>
      <c r="AG808" s="234"/>
      <c r="AH808" s="234"/>
      <c r="AI808" s="234"/>
      <c r="AJ808" s="234"/>
      <c r="AK808" s="234"/>
      <c r="AL808" s="234"/>
      <c r="AM808" s="234"/>
      <c r="AN808" s="234"/>
      <c r="AO808" s="234"/>
      <c r="AP808" s="234"/>
      <c r="AQ808" s="234"/>
      <c r="AR808" s="234"/>
      <c r="AS808" s="234"/>
      <c r="AT808" s="234"/>
      <c r="AU808" s="234"/>
      <c r="AV808" s="234"/>
      <c r="AW808" s="234"/>
      <c r="AX808" s="234"/>
      <c r="AY808" s="234"/>
      <c r="AZ808" s="234"/>
      <c r="BA808" s="234"/>
      <c r="BB808" s="234"/>
      <c r="BC808" s="234"/>
      <c r="BD808" s="234"/>
      <c r="BE808" s="234"/>
      <c r="BF808" s="234"/>
      <c r="BG808" s="234"/>
      <c r="BH808" s="234"/>
      <c r="BI808" s="234"/>
      <c r="BJ808" s="234"/>
      <c r="BK808" s="234"/>
      <c r="BL808" s="234"/>
      <c r="BM808" s="234"/>
      <c r="BN808" s="234"/>
      <c r="BO808" s="234"/>
    </row>
    <row r="809" spans="1:67" ht="24" customHeight="1" x14ac:dyDescent="0.25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  <c r="AB809" s="234"/>
      <c r="AC809" s="234"/>
      <c r="AD809" s="234"/>
      <c r="AE809" s="234"/>
      <c r="AF809" s="234"/>
      <c r="AG809" s="234"/>
      <c r="AH809" s="234"/>
      <c r="AI809" s="234"/>
      <c r="AJ809" s="234"/>
      <c r="AK809" s="234"/>
      <c r="AL809" s="234"/>
      <c r="AM809" s="234"/>
      <c r="AN809" s="234"/>
      <c r="AO809" s="234"/>
      <c r="AP809" s="234"/>
      <c r="AQ809" s="234"/>
      <c r="AR809" s="234"/>
      <c r="AS809" s="234"/>
      <c r="AT809" s="234"/>
      <c r="AU809" s="234"/>
      <c r="AV809" s="234"/>
      <c r="AW809" s="234"/>
      <c r="AX809" s="234"/>
      <c r="AY809" s="234"/>
      <c r="AZ809" s="234"/>
      <c r="BA809" s="234"/>
      <c r="BB809" s="234"/>
      <c r="BC809" s="234"/>
      <c r="BD809" s="234"/>
      <c r="BE809" s="234"/>
      <c r="BF809" s="234"/>
      <c r="BG809" s="234"/>
      <c r="BH809" s="234"/>
      <c r="BI809" s="234"/>
      <c r="BJ809" s="234"/>
      <c r="BK809" s="234"/>
      <c r="BL809" s="234"/>
      <c r="BM809" s="234"/>
      <c r="BN809" s="234"/>
      <c r="BO809" s="234"/>
    </row>
    <row r="810" spans="1:67" ht="24" customHeight="1" x14ac:dyDescent="0.25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  <c r="AB810" s="234"/>
      <c r="AC810" s="234"/>
      <c r="AD810" s="234"/>
      <c r="AE810" s="234"/>
      <c r="AF810" s="234"/>
      <c r="AG810" s="234"/>
      <c r="AH810" s="234"/>
      <c r="AI810" s="234"/>
      <c r="AJ810" s="234"/>
      <c r="AK810" s="234"/>
      <c r="AL810" s="234"/>
      <c r="AM810" s="234"/>
      <c r="AN810" s="234"/>
      <c r="AO810" s="234"/>
      <c r="AP810" s="234"/>
      <c r="AQ810" s="234"/>
      <c r="AR810" s="234"/>
      <c r="AS810" s="234"/>
      <c r="AT810" s="234"/>
      <c r="AU810" s="234"/>
      <c r="AV810" s="234"/>
      <c r="AW810" s="234"/>
      <c r="AX810" s="234"/>
      <c r="AY810" s="234"/>
      <c r="AZ810" s="234"/>
      <c r="BA810" s="234"/>
      <c r="BB810" s="234"/>
      <c r="BC810" s="234"/>
      <c r="BD810" s="234"/>
      <c r="BE810" s="234"/>
      <c r="BF810" s="234"/>
      <c r="BG810" s="234"/>
      <c r="BH810" s="234"/>
      <c r="BI810" s="234"/>
      <c r="BJ810" s="234"/>
      <c r="BK810" s="234"/>
      <c r="BL810" s="234"/>
      <c r="BM810" s="234"/>
      <c r="BN810" s="234"/>
      <c r="BO810" s="234"/>
    </row>
    <row r="811" spans="1:67" ht="24" customHeight="1" x14ac:dyDescent="0.25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  <c r="AB811" s="234"/>
      <c r="AC811" s="234"/>
      <c r="AD811" s="234"/>
      <c r="AE811" s="234"/>
      <c r="AF811" s="234"/>
      <c r="AG811" s="234"/>
      <c r="AH811" s="234"/>
      <c r="AI811" s="234"/>
      <c r="AJ811" s="234"/>
      <c r="AK811" s="234"/>
      <c r="AL811" s="234"/>
      <c r="AM811" s="234"/>
      <c r="AN811" s="234"/>
      <c r="AO811" s="234"/>
      <c r="AP811" s="234"/>
      <c r="AQ811" s="234"/>
      <c r="AR811" s="234"/>
      <c r="AS811" s="234"/>
      <c r="AT811" s="234"/>
      <c r="AU811" s="234"/>
      <c r="AV811" s="234"/>
      <c r="AW811" s="234"/>
      <c r="AX811" s="234"/>
      <c r="AY811" s="234"/>
      <c r="AZ811" s="234"/>
      <c r="BA811" s="234"/>
      <c r="BB811" s="234"/>
      <c r="BC811" s="234"/>
      <c r="BD811" s="234"/>
      <c r="BE811" s="234"/>
      <c r="BF811" s="234"/>
      <c r="BG811" s="234"/>
      <c r="BH811" s="234"/>
      <c r="BI811" s="234"/>
      <c r="BJ811" s="234"/>
      <c r="BK811" s="234"/>
      <c r="BL811" s="234"/>
      <c r="BM811" s="234"/>
      <c r="BN811" s="234"/>
      <c r="BO811" s="234"/>
    </row>
    <row r="812" spans="1:67" ht="24" customHeight="1" x14ac:dyDescent="0.25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  <c r="AB812" s="234"/>
      <c r="AC812" s="234"/>
      <c r="AD812" s="234"/>
      <c r="AE812" s="234"/>
      <c r="AF812" s="234"/>
      <c r="AG812" s="234"/>
      <c r="AH812" s="234"/>
      <c r="AI812" s="234"/>
      <c r="AJ812" s="234"/>
      <c r="AK812" s="234"/>
      <c r="AL812" s="234"/>
      <c r="AM812" s="234"/>
      <c r="AN812" s="234"/>
      <c r="AO812" s="234"/>
      <c r="AP812" s="234"/>
      <c r="AQ812" s="234"/>
      <c r="AR812" s="234"/>
      <c r="AS812" s="234"/>
      <c r="AT812" s="234"/>
      <c r="AU812" s="234"/>
      <c r="AV812" s="234"/>
      <c r="AW812" s="234"/>
      <c r="AX812" s="234"/>
      <c r="AY812" s="234"/>
      <c r="AZ812" s="234"/>
      <c r="BA812" s="234"/>
      <c r="BB812" s="234"/>
      <c r="BC812" s="234"/>
      <c r="BD812" s="234"/>
      <c r="BE812" s="234"/>
      <c r="BF812" s="234"/>
      <c r="BG812" s="234"/>
      <c r="BH812" s="234"/>
      <c r="BI812" s="234"/>
      <c r="BJ812" s="234"/>
      <c r="BK812" s="234"/>
      <c r="BL812" s="234"/>
      <c r="BM812" s="234"/>
      <c r="BN812" s="234"/>
      <c r="BO812" s="234"/>
    </row>
    <row r="813" spans="1:67" ht="24" customHeight="1" x14ac:dyDescent="0.25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  <c r="AB813" s="234"/>
      <c r="AC813" s="234"/>
      <c r="AD813" s="234"/>
      <c r="AE813" s="234"/>
      <c r="AF813" s="234"/>
      <c r="AG813" s="234"/>
      <c r="AH813" s="234"/>
      <c r="AI813" s="234"/>
      <c r="AJ813" s="234"/>
      <c r="AK813" s="234"/>
      <c r="AL813" s="234"/>
      <c r="AM813" s="234"/>
      <c r="AN813" s="234"/>
      <c r="AO813" s="234"/>
      <c r="AP813" s="234"/>
      <c r="AQ813" s="234"/>
      <c r="AR813" s="234"/>
      <c r="AS813" s="234"/>
      <c r="AT813" s="234"/>
      <c r="AU813" s="234"/>
      <c r="AV813" s="234"/>
      <c r="AW813" s="234"/>
      <c r="AX813" s="234"/>
      <c r="AY813" s="234"/>
      <c r="AZ813" s="234"/>
      <c r="BA813" s="234"/>
      <c r="BB813" s="234"/>
      <c r="BC813" s="234"/>
      <c r="BD813" s="234"/>
      <c r="BE813" s="234"/>
      <c r="BF813" s="234"/>
      <c r="BG813" s="234"/>
      <c r="BH813" s="234"/>
      <c r="BI813" s="234"/>
      <c r="BJ813" s="234"/>
      <c r="BK813" s="234"/>
      <c r="BL813" s="234"/>
      <c r="BM813" s="234"/>
      <c r="BN813" s="234"/>
      <c r="BO813" s="234"/>
    </row>
    <row r="814" spans="1:67" ht="24" customHeight="1" x14ac:dyDescent="0.25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  <c r="AB814" s="234"/>
      <c r="AC814" s="234"/>
      <c r="AD814" s="234"/>
      <c r="AE814" s="234"/>
      <c r="AF814" s="234"/>
      <c r="AG814" s="234"/>
      <c r="AH814" s="234"/>
      <c r="AI814" s="234"/>
      <c r="AJ814" s="234"/>
      <c r="AK814" s="234"/>
      <c r="AL814" s="234"/>
      <c r="AM814" s="234"/>
      <c r="AN814" s="234"/>
      <c r="AO814" s="234"/>
      <c r="AP814" s="234"/>
      <c r="AQ814" s="234"/>
      <c r="AR814" s="234"/>
      <c r="AS814" s="234"/>
      <c r="AT814" s="234"/>
      <c r="AU814" s="234"/>
      <c r="AV814" s="234"/>
      <c r="AW814" s="234"/>
      <c r="AX814" s="234"/>
      <c r="AY814" s="234"/>
      <c r="AZ814" s="234"/>
      <c r="BA814" s="234"/>
      <c r="BB814" s="234"/>
      <c r="BC814" s="234"/>
      <c r="BD814" s="234"/>
      <c r="BE814" s="234"/>
      <c r="BF814" s="234"/>
      <c r="BG814" s="234"/>
      <c r="BH814" s="234"/>
      <c r="BI814" s="234"/>
      <c r="BJ814" s="234"/>
      <c r="BK814" s="234"/>
      <c r="BL814" s="234"/>
      <c r="BM814" s="234"/>
      <c r="BN814" s="234"/>
      <c r="BO814" s="234"/>
    </row>
    <row r="815" spans="1:67" ht="24" customHeight="1" x14ac:dyDescent="0.2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  <c r="AB815" s="234"/>
      <c r="AC815" s="234"/>
      <c r="AD815" s="234"/>
      <c r="AE815" s="234"/>
      <c r="AF815" s="234"/>
      <c r="AG815" s="234"/>
      <c r="AH815" s="234"/>
      <c r="AI815" s="234"/>
      <c r="AJ815" s="234"/>
      <c r="AK815" s="234"/>
      <c r="AL815" s="234"/>
      <c r="AM815" s="234"/>
      <c r="AN815" s="234"/>
      <c r="AO815" s="234"/>
      <c r="AP815" s="234"/>
      <c r="AQ815" s="234"/>
      <c r="AR815" s="234"/>
      <c r="AS815" s="234"/>
      <c r="AT815" s="234"/>
      <c r="AU815" s="234"/>
      <c r="AV815" s="234"/>
      <c r="AW815" s="234"/>
      <c r="AX815" s="234"/>
      <c r="AY815" s="234"/>
      <c r="AZ815" s="234"/>
      <c r="BA815" s="234"/>
      <c r="BB815" s="234"/>
      <c r="BC815" s="234"/>
      <c r="BD815" s="234"/>
      <c r="BE815" s="234"/>
      <c r="BF815" s="234"/>
      <c r="BG815" s="234"/>
      <c r="BH815" s="234"/>
      <c r="BI815" s="234"/>
      <c r="BJ815" s="234"/>
      <c r="BK815" s="234"/>
      <c r="BL815" s="234"/>
      <c r="BM815" s="234"/>
      <c r="BN815" s="234"/>
      <c r="BO815" s="234"/>
    </row>
    <row r="816" spans="1:67" ht="24" customHeight="1" x14ac:dyDescent="0.25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  <c r="AB816" s="234"/>
      <c r="AC816" s="234"/>
      <c r="AD816" s="234"/>
      <c r="AE816" s="234"/>
      <c r="AF816" s="234"/>
      <c r="AG816" s="234"/>
      <c r="AH816" s="234"/>
      <c r="AI816" s="234"/>
      <c r="AJ816" s="234"/>
      <c r="AK816" s="234"/>
      <c r="AL816" s="234"/>
      <c r="AM816" s="234"/>
      <c r="AN816" s="234"/>
      <c r="AO816" s="234"/>
      <c r="AP816" s="234"/>
      <c r="AQ816" s="234"/>
      <c r="AR816" s="234"/>
      <c r="AS816" s="234"/>
      <c r="AT816" s="234"/>
      <c r="AU816" s="234"/>
      <c r="AV816" s="234"/>
      <c r="AW816" s="234"/>
      <c r="AX816" s="234"/>
      <c r="AY816" s="234"/>
      <c r="AZ816" s="234"/>
      <c r="BA816" s="234"/>
      <c r="BB816" s="234"/>
      <c r="BC816" s="234"/>
      <c r="BD816" s="234"/>
      <c r="BE816" s="234"/>
      <c r="BF816" s="234"/>
      <c r="BG816" s="234"/>
      <c r="BH816" s="234"/>
      <c r="BI816" s="234"/>
      <c r="BJ816" s="234"/>
      <c r="BK816" s="234"/>
      <c r="BL816" s="234"/>
      <c r="BM816" s="234"/>
      <c r="BN816" s="234"/>
      <c r="BO816" s="234"/>
    </row>
    <row r="817" spans="1:67" ht="24" customHeight="1" x14ac:dyDescent="0.25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  <c r="AB817" s="234"/>
      <c r="AC817" s="234"/>
      <c r="AD817" s="234"/>
      <c r="AE817" s="234"/>
      <c r="AF817" s="234"/>
      <c r="AG817" s="234"/>
      <c r="AH817" s="234"/>
      <c r="AI817" s="234"/>
      <c r="AJ817" s="234"/>
      <c r="AK817" s="234"/>
      <c r="AL817" s="234"/>
      <c r="AM817" s="234"/>
      <c r="AN817" s="234"/>
      <c r="AO817" s="234"/>
      <c r="AP817" s="234"/>
      <c r="AQ817" s="234"/>
      <c r="AR817" s="234"/>
      <c r="AS817" s="234"/>
      <c r="AT817" s="234"/>
      <c r="AU817" s="234"/>
      <c r="AV817" s="234"/>
      <c r="AW817" s="234"/>
      <c r="AX817" s="234"/>
      <c r="AY817" s="234"/>
      <c r="AZ817" s="234"/>
      <c r="BA817" s="234"/>
      <c r="BB817" s="234"/>
      <c r="BC817" s="234"/>
      <c r="BD817" s="234"/>
      <c r="BE817" s="234"/>
      <c r="BF817" s="234"/>
      <c r="BG817" s="234"/>
      <c r="BH817" s="234"/>
      <c r="BI817" s="234"/>
      <c r="BJ817" s="234"/>
      <c r="BK817" s="234"/>
      <c r="BL817" s="234"/>
      <c r="BM817" s="234"/>
      <c r="BN817" s="234"/>
      <c r="BO817" s="234"/>
    </row>
    <row r="818" spans="1:67" ht="24" customHeight="1" x14ac:dyDescent="0.25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  <c r="AB818" s="234"/>
      <c r="AC818" s="234"/>
      <c r="AD818" s="234"/>
      <c r="AE818" s="234"/>
      <c r="AF818" s="234"/>
      <c r="AG818" s="234"/>
      <c r="AH818" s="234"/>
      <c r="AI818" s="234"/>
      <c r="AJ818" s="234"/>
      <c r="AK818" s="234"/>
      <c r="AL818" s="234"/>
      <c r="AM818" s="234"/>
      <c r="AN818" s="234"/>
      <c r="AO818" s="234"/>
      <c r="AP818" s="234"/>
      <c r="AQ818" s="234"/>
      <c r="AR818" s="234"/>
      <c r="AS818" s="234"/>
      <c r="AT818" s="234"/>
      <c r="AU818" s="234"/>
      <c r="AV818" s="234"/>
      <c r="AW818" s="234"/>
      <c r="AX818" s="234"/>
      <c r="AY818" s="234"/>
      <c r="AZ818" s="234"/>
      <c r="BA818" s="234"/>
      <c r="BB818" s="234"/>
      <c r="BC818" s="234"/>
      <c r="BD818" s="234"/>
      <c r="BE818" s="234"/>
      <c r="BF818" s="234"/>
      <c r="BG818" s="234"/>
      <c r="BH818" s="234"/>
      <c r="BI818" s="234"/>
      <c r="BJ818" s="234"/>
      <c r="BK818" s="234"/>
      <c r="BL818" s="234"/>
      <c r="BM818" s="234"/>
      <c r="BN818" s="234"/>
      <c r="BO818" s="234"/>
    </row>
    <row r="819" spans="1:67" ht="24" customHeight="1" x14ac:dyDescent="0.25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  <c r="AB819" s="234"/>
      <c r="AC819" s="234"/>
      <c r="AD819" s="234"/>
      <c r="AE819" s="234"/>
      <c r="AF819" s="234"/>
      <c r="AG819" s="234"/>
      <c r="AH819" s="234"/>
      <c r="AI819" s="234"/>
      <c r="AJ819" s="234"/>
      <c r="AK819" s="234"/>
      <c r="AL819" s="234"/>
      <c r="AM819" s="234"/>
      <c r="AN819" s="234"/>
      <c r="AO819" s="234"/>
      <c r="AP819" s="234"/>
      <c r="AQ819" s="234"/>
      <c r="AR819" s="234"/>
      <c r="AS819" s="234"/>
      <c r="AT819" s="234"/>
      <c r="AU819" s="234"/>
      <c r="AV819" s="234"/>
      <c r="AW819" s="234"/>
      <c r="AX819" s="234"/>
      <c r="AY819" s="234"/>
      <c r="AZ819" s="234"/>
      <c r="BA819" s="234"/>
      <c r="BB819" s="234"/>
      <c r="BC819" s="234"/>
      <c r="BD819" s="234"/>
      <c r="BE819" s="234"/>
      <c r="BF819" s="234"/>
      <c r="BG819" s="234"/>
      <c r="BH819" s="234"/>
      <c r="BI819" s="234"/>
      <c r="BJ819" s="234"/>
      <c r="BK819" s="234"/>
      <c r="BL819" s="234"/>
      <c r="BM819" s="234"/>
      <c r="BN819" s="234"/>
      <c r="BO819" s="234"/>
    </row>
    <row r="820" spans="1:67" ht="24" customHeight="1" x14ac:dyDescent="0.25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  <c r="AB820" s="234"/>
      <c r="AC820" s="234"/>
      <c r="AD820" s="234"/>
      <c r="AE820" s="234"/>
      <c r="AF820" s="234"/>
      <c r="AG820" s="234"/>
      <c r="AH820" s="234"/>
      <c r="AI820" s="234"/>
      <c r="AJ820" s="234"/>
      <c r="AK820" s="234"/>
      <c r="AL820" s="234"/>
      <c r="AM820" s="234"/>
      <c r="AN820" s="234"/>
      <c r="AO820" s="234"/>
      <c r="AP820" s="234"/>
      <c r="AQ820" s="234"/>
      <c r="AR820" s="234"/>
      <c r="AS820" s="234"/>
      <c r="AT820" s="234"/>
      <c r="AU820" s="234"/>
      <c r="AV820" s="234"/>
      <c r="AW820" s="234"/>
      <c r="AX820" s="234"/>
      <c r="AY820" s="234"/>
      <c r="AZ820" s="234"/>
      <c r="BA820" s="234"/>
      <c r="BB820" s="234"/>
      <c r="BC820" s="234"/>
      <c r="BD820" s="234"/>
      <c r="BE820" s="234"/>
      <c r="BF820" s="234"/>
      <c r="BG820" s="234"/>
      <c r="BH820" s="234"/>
      <c r="BI820" s="234"/>
      <c r="BJ820" s="234"/>
      <c r="BK820" s="234"/>
      <c r="BL820" s="234"/>
      <c r="BM820" s="234"/>
      <c r="BN820" s="234"/>
      <c r="BO820" s="234"/>
    </row>
    <row r="821" spans="1:67" ht="24" customHeight="1" x14ac:dyDescent="0.25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  <c r="AB821" s="234"/>
      <c r="AC821" s="234"/>
      <c r="AD821" s="234"/>
      <c r="AE821" s="234"/>
      <c r="AF821" s="234"/>
      <c r="AG821" s="234"/>
      <c r="AH821" s="234"/>
      <c r="AI821" s="234"/>
      <c r="AJ821" s="234"/>
      <c r="AK821" s="234"/>
      <c r="AL821" s="234"/>
      <c r="AM821" s="234"/>
      <c r="AN821" s="234"/>
      <c r="AO821" s="234"/>
      <c r="AP821" s="234"/>
      <c r="AQ821" s="234"/>
      <c r="AR821" s="234"/>
      <c r="AS821" s="234"/>
      <c r="AT821" s="234"/>
      <c r="AU821" s="234"/>
      <c r="AV821" s="234"/>
      <c r="AW821" s="234"/>
      <c r="AX821" s="234"/>
      <c r="AY821" s="234"/>
      <c r="AZ821" s="234"/>
      <c r="BA821" s="234"/>
      <c r="BB821" s="234"/>
      <c r="BC821" s="234"/>
      <c r="BD821" s="234"/>
      <c r="BE821" s="234"/>
      <c r="BF821" s="234"/>
      <c r="BG821" s="234"/>
      <c r="BH821" s="234"/>
      <c r="BI821" s="234"/>
      <c r="BJ821" s="234"/>
      <c r="BK821" s="234"/>
      <c r="BL821" s="234"/>
      <c r="BM821" s="234"/>
      <c r="BN821" s="234"/>
      <c r="BO821" s="234"/>
    </row>
    <row r="822" spans="1:67" ht="24" customHeight="1" x14ac:dyDescent="0.25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  <c r="AB822" s="234"/>
      <c r="AC822" s="234"/>
      <c r="AD822" s="234"/>
      <c r="AE822" s="234"/>
      <c r="AF822" s="234"/>
      <c r="AG822" s="234"/>
      <c r="AH822" s="234"/>
      <c r="AI822" s="234"/>
      <c r="AJ822" s="234"/>
      <c r="AK822" s="234"/>
      <c r="AL822" s="234"/>
      <c r="AM822" s="234"/>
      <c r="AN822" s="234"/>
      <c r="AO822" s="234"/>
      <c r="AP822" s="234"/>
      <c r="AQ822" s="234"/>
      <c r="AR822" s="234"/>
      <c r="AS822" s="234"/>
      <c r="AT822" s="234"/>
      <c r="AU822" s="234"/>
      <c r="AV822" s="234"/>
      <c r="AW822" s="234"/>
      <c r="AX822" s="234"/>
      <c r="AY822" s="234"/>
      <c r="AZ822" s="234"/>
      <c r="BA822" s="234"/>
      <c r="BB822" s="234"/>
      <c r="BC822" s="234"/>
      <c r="BD822" s="234"/>
      <c r="BE822" s="234"/>
      <c r="BF822" s="234"/>
      <c r="BG822" s="234"/>
      <c r="BH822" s="234"/>
      <c r="BI822" s="234"/>
      <c r="BJ822" s="234"/>
      <c r="BK822" s="234"/>
      <c r="BL822" s="234"/>
      <c r="BM822" s="234"/>
      <c r="BN822" s="234"/>
      <c r="BO822" s="234"/>
    </row>
    <row r="823" spans="1:67" ht="24" customHeight="1" x14ac:dyDescent="0.25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  <c r="AB823" s="234"/>
      <c r="AC823" s="234"/>
      <c r="AD823" s="234"/>
      <c r="AE823" s="234"/>
      <c r="AF823" s="234"/>
      <c r="AG823" s="234"/>
      <c r="AH823" s="234"/>
      <c r="AI823" s="234"/>
      <c r="AJ823" s="234"/>
      <c r="AK823" s="234"/>
      <c r="AL823" s="234"/>
      <c r="AM823" s="234"/>
      <c r="AN823" s="234"/>
      <c r="AO823" s="234"/>
      <c r="AP823" s="234"/>
      <c r="AQ823" s="234"/>
      <c r="AR823" s="234"/>
      <c r="AS823" s="234"/>
      <c r="AT823" s="234"/>
      <c r="AU823" s="234"/>
      <c r="AV823" s="234"/>
      <c r="AW823" s="234"/>
      <c r="AX823" s="234"/>
      <c r="AY823" s="234"/>
      <c r="AZ823" s="234"/>
      <c r="BA823" s="234"/>
      <c r="BB823" s="234"/>
      <c r="BC823" s="234"/>
      <c r="BD823" s="234"/>
      <c r="BE823" s="234"/>
      <c r="BF823" s="234"/>
      <c r="BG823" s="234"/>
      <c r="BH823" s="234"/>
      <c r="BI823" s="234"/>
      <c r="BJ823" s="234"/>
      <c r="BK823" s="234"/>
      <c r="BL823" s="234"/>
      <c r="BM823" s="234"/>
      <c r="BN823" s="234"/>
      <c r="BO823" s="234"/>
    </row>
    <row r="824" spans="1:67" ht="24" customHeight="1" x14ac:dyDescent="0.25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  <c r="AB824" s="234"/>
      <c r="AC824" s="234"/>
      <c r="AD824" s="234"/>
      <c r="AE824" s="234"/>
      <c r="AF824" s="234"/>
      <c r="AG824" s="234"/>
      <c r="AH824" s="234"/>
      <c r="AI824" s="234"/>
      <c r="AJ824" s="234"/>
      <c r="AK824" s="234"/>
      <c r="AL824" s="234"/>
      <c r="AM824" s="234"/>
      <c r="AN824" s="234"/>
      <c r="AO824" s="234"/>
      <c r="AP824" s="234"/>
      <c r="AQ824" s="234"/>
      <c r="AR824" s="234"/>
      <c r="AS824" s="234"/>
      <c r="AT824" s="234"/>
      <c r="AU824" s="234"/>
      <c r="AV824" s="234"/>
      <c r="AW824" s="234"/>
      <c r="AX824" s="234"/>
      <c r="AY824" s="234"/>
      <c r="AZ824" s="234"/>
      <c r="BA824" s="234"/>
      <c r="BB824" s="234"/>
      <c r="BC824" s="234"/>
      <c r="BD824" s="234"/>
      <c r="BE824" s="234"/>
      <c r="BF824" s="234"/>
      <c r="BG824" s="234"/>
      <c r="BH824" s="234"/>
      <c r="BI824" s="234"/>
      <c r="BJ824" s="234"/>
      <c r="BK824" s="234"/>
      <c r="BL824" s="234"/>
      <c r="BM824" s="234"/>
      <c r="BN824" s="234"/>
      <c r="BO824" s="234"/>
    </row>
    <row r="825" spans="1:67" ht="24" customHeight="1" x14ac:dyDescent="0.2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  <c r="AB825" s="234"/>
      <c r="AC825" s="234"/>
      <c r="AD825" s="234"/>
      <c r="AE825" s="234"/>
      <c r="AF825" s="234"/>
      <c r="AG825" s="234"/>
      <c r="AH825" s="234"/>
      <c r="AI825" s="234"/>
      <c r="AJ825" s="234"/>
      <c r="AK825" s="234"/>
      <c r="AL825" s="234"/>
      <c r="AM825" s="234"/>
      <c r="AN825" s="234"/>
      <c r="AO825" s="234"/>
      <c r="AP825" s="234"/>
      <c r="AQ825" s="234"/>
      <c r="AR825" s="234"/>
      <c r="AS825" s="234"/>
      <c r="AT825" s="234"/>
      <c r="AU825" s="234"/>
      <c r="AV825" s="234"/>
      <c r="AW825" s="234"/>
      <c r="AX825" s="234"/>
      <c r="AY825" s="234"/>
      <c r="AZ825" s="234"/>
      <c r="BA825" s="234"/>
      <c r="BB825" s="234"/>
      <c r="BC825" s="234"/>
      <c r="BD825" s="234"/>
      <c r="BE825" s="234"/>
      <c r="BF825" s="234"/>
      <c r="BG825" s="234"/>
      <c r="BH825" s="234"/>
      <c r="BI825" s="234"/>
      <c r="BJ825" s="234"/>
      <c r="BK825" s="234"/>
      <c r="BL825" s="234"/>
      <c r="BM825" s="234"/>
      <c r="BN825" s="234"/>
      <c r="BO825" s="234"/>
    </row>
    <row r="826" spans="1:67" ht="24" customHeight="1" x14ac:dyDescent="0.25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  <c r="AB826" s="234"/>
      <c r="AC826" s="234"/>
      <c r="AD826" s="234"/>
      <c r="AE826" s="234"/>
      <c r="AF826" s="234"/>
      <c r="AG826" s="234"/>
      <c r="AH826" s="234"/>
      <c r="AI826" s="234"/>
      <c r="AJ826" s="234"/>
      <c r="AK826" s="234"/>
      <c r="AL826" s="234"/>
      <c r="AM826" s="234"/>
      <c r="AN826" s="234"/>
      <c r="AO826" s="234"/>
      <c r="AP826" s="234"/>
      <c r="AQ826" s="234"/>
      <c r="AR826" s="234"/>
      <c r="AS826" s="234"/>
      <c r="AT826" s="234"/>
      <c r="AU826" s="234"/>
      <c r="AV826" s="234"/>
      <c r="AW826" s="234"/>
      <c r="AX826" s="234"/>
      <c r="AY826" s="234"/>
      <c r="AZ826" s="234"/>
      <c r="BA826" s="234"/>
      <c r="BB826" s="234"/>
      <c r="BC826" s="234"/>
      <c r="BD826" s="234"/>
      <c r="BE826" s="234"/>
      <c r="BF826" s="234"/>
      <c r="BG826" s="234"/>
      <c r="BH826" s="234"/>
      <c r="BI826" s="234"/>
      <c r="BJ826" s="234"/>
      <c r="BK826" s="234"/>
      <c r="BL826" s="234"/>
      <c r="BM826" s="234"/>
      <c r="BN826" s="234"/>
      <c r="BO826" s="234"/>
    </row>
    <row r="827" spans="1:67" ht="24" customHeight="1" x14ac:dyDescent="0.25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  <c r="AB827" s="234"/>
      <c r="AC827" s="234"/>
      <c r="AD827" s="234"/>
      <c r="AE827" s="234"/>
      <c r="AF827" s="234"/>
      <c r="AG827" s="234"/>
      <c r="AH827" s="234"/>
      <c r="AI827" s="234"/>
      <c r="AJ827" s="234"/>
      <c r="AK827" s="234"/>
      <c r="AL827" s="234"/>
      <c r="AM827" s="234"/>
      <c r="AN827" s="234"/>
      <c r="AO827" s="234"/>
      <c r="AP827" s="234"/>
      <c r="AQ827" s="234"/>
      <c r="AR827" s="234"/>
      <c r="AS827" s="234"/>
      <c r="AT827" s="234"/>
      <c r="AU827" s="234"/>
      <c r="AV827" s="234"/>
      <c r="AW827" s="234"/>
      <c r="AX827" s="234"/>
      <c r="AY827" s="234"/>
      <c r="AZ827" s="234"/>
      <c r="BA827" s="234"/>
      <c r="BB827" s="234"/>
      <c r="BC827" s="234"/>
      <c r="BD827" s="234"/>
      <c r="BE827" s="234"/>
      <c r="BF827" s="234"/>
      <c r="BG827" s="234"/>
      <c r="BH827" s="234"/>
      <c r="BI827" s="234"/>
      <c r="BJ827" s="234"/>
      <c r="BK827" s="234"/>
      <c r="BL827" s="234"/>
      <c r="BM827" s="234"/>
      <c r="BN827" s="234"/>
      <c r="BO827" s="234"/>
    </row>
    <row r="828" spans="1:67" ht="24" customHeight="1" x14ac:dyDescent="0.25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  <c r="AB828" s="234"/>
      <c r="AC828" s="234"/>
      <c r="AD828" s="234"/>
      <c r="AE828" s="234"/>
      <c r="AF828" s="234"/>
      <c r="AG828" s="234"/>
      <c r="AH828" s="234"/>
      <c r="AI828" s="234"/>
      <c r="AJ828" s="234"/>
      <c r="AK828" s="234"/>
      <c r="AL828" s="234"/>
      <c r="AM828" s="234"/>
      <c r="AN828" s="234"/>
      <c r="AO828" s="234"/>
      <c r="AP828" s="234"/>
      <c r="AQ828" s="234"/>
      <c r="AR828" s="234"/>
      <c r="AS828" s="234"/>
      <c r="AT828" s="234"/>
      <c r="AU828" s="234"/>
      <c r="AV828" s="234"/>
      <c r="AW828" s="234"/>
      <c r="AX828" s="234"/>
      <c r="AY828" s="234"/>
      <c r="AZ828" s="234"/>
      <c r="BA828" s="234"/>
      <c r="BB828" s="234"/>
      <c r="BC828" s="234"/>
      <c r="BD828" s="234"/>
      <c r="BE828" s="234"/>
      <c r="BF828" s="234"/>
      <c r="BG828" s="234"/>
      <c r="BH828" s="234"/>
      <c r="BI828" s="234"/>
      <c r="BJ828" s="234"/>
      <c r="BK828" s="234"/>
      <c r="BL828" s="234"/>
      <c r="BM828" s="234"/>
      <c r="BN828" s="234"/>
      <c r="BO828" s="234"/>
    </row>
    <row r="829" spans="1:67" ht="24" customHeight="1" x14ac:dyDescent="0.25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  <c r="AB829" s="234"/>
      <c r="AC829" s="234"/>
      <c r="AD829" s="234"/>
      <c r="AE829" s="234"/>
      <c r="AF829" s="234"/>
      <c r="AG829" s="234"/>
      <c r="AH829" s="234"/>
      <c r="AI829" s="234"/>
      <c r="AJ829" s="234"/>
      <c r="AK829" s="234"/>
      <c r="AL829" s="234"/>
      <c r="AM829" s="234"/>
      <c r="AN829" s="234"/>
      <c r="AO829" s="234"/>
      <c r="AP829" s="234"/>
      <c r="AQ829" s="234"/>
      <c r="AR829" s="234"/>
      <c r="AS829" s="234"/>
      <c r="AT829" s="234"/>
      <c r="AU829" s="234"/>
      <c r="AV829" s="234"/>
      <c r="AW829" s="234"/>
      <c r="AX829" s="234"/>
      <c r="AY829" s="234"/>
      <c r="AZ829" s="234"/>
      <c r="BA829" s="234"/>
      <c r="BB829" s="234"/>
      <c r="BC829" s="234"/>
      <c r="BD829" s="234"/>
      <c r="BE829" s="234"/>
      <c r="BF829" s="234"/>
      <c r="BG829" s="234"/>
      <c r="BH829" s="234"/>
      <c r="BI829" s="234"/>
      <c r="BJ829" s="234"/>
      <c r="BK829" s="234"/>
      <c r="BL829" s="234"/>
      <c r="BM829" s="234"/>
      <c r="BN829" s="234"/>
      <c r="BO829" s="234"/>
    </row>
    <row r="830" spans="1:67" ht="24" customHeight="1" x14ac:dyDescent="0.25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  <c r="AB830" s="234"/>
      <c r="AC830" s="234"/>
      <c r="AD830" s="234"/>
      <c r="AE830" s="234"/>
      <c r="AF830" s="234"/>
      <c r="AG830" s="234"/>
      <c r="AH830" s="234"/>
      <c r="AI830" s="234"/>
      <c r="AJ830" s="234"/>
      <c r="AK830" s="234"/>
      <c r="AL830" s="234"/>
      <c r="AM830" s="234"/>
      <c r="AN830" s="234"/>
      <c r="AO830" s="234"/>
      <c r="AP830" s="234"/>
      <c r="AQ830" s="234"/>
      <c r="AR830" s="234"/>
      <c r="AS830" s="234"/>
      <c r="AT830" s="234"/>
      <c r="AU830" s="234"/>
      <c r="AV830" s="234"/>
      <c r="AW830" s="234"/>
      <c r="AX830" s="234"/>
      <c r="AY830" s="234"/>
      <c r="AZ830" s="234"/>
      <c r="BA830" s="234"/>
      <c r="BB830" s="234"/>
      <c r="BC830" s="234"/>
      <c r="BD830" s="234"/>
      <c r="BE830" s="234"/>
      <c r="BF830" s="234"/>
      <c r="BG830" s="234"/>
      <c r="BH830" s="234"/>
      <c r="BI830" s="234"/>
      <c r="BJ830" s="234"/>
      <c r="BK830" s="234"/>
      <c r="BL830" s="234"/>
      <c r="BM830" s="234"/>
      <c r="BN830" s="234"/>
      <c r="BO830" s="234"/>
    </row>
    <row r="831" spans="1:67" ht="24" customHeight="1" x14ac:dyDescent="0.25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  <c r="AB831" s="234"/>
      <c r="AC831" s="234"/>
      <c r="AD831" s="234"/>
      <c r="AE831" s="234"/>
      <c r="AF831" s="234"/>
      <c r="AG831" s="234"/>
      <c r="AH831" s="234"/>
      <c r="AI831" s="234"/>
      <c r="AJ831" s="234"/>
      <c r="AK831" s="234"/>
      <c r="AL831" s="234"/>
      <c r="AM831" s="234"/>
      <c r="AN831" s="234"/>
      <c r="AO831" s="234"/>
      <c r="AP831" s="234"/>
      <c r="AQ831" s="234"/>
      <c r="AR831" s="234"/>
      <c r="AS831" s="234"/>
      <c r="AT831" s="234"/>
      <c r="AU831" s="234"/>
      <c r="AV831" s="234"/>
      <c r="AW831" s="234"/>
      <c r="AX831" s="234"/>
      <c r="AY831" s="234"/>
      <c r="AZ831" s="234"/>
      <c r="BA831" s="234"/>
      <c r="BB831" s="234"/>
      <c r="BC831" s="234"/>
      <c r="BD831" s="234"/>
      <c r="BE831" s="234"/>
      <c r="BF831" s="234"/>
      <c r="BG831" s="234"/>
      <c r="BH831" s="234"/>
      <c r="BI831" s="234"/>
      <c r="BJ831" s="234"/>
      <c r="BK831" s="234"/>
      <c r="BL831" s="234"/>
      <c r="BM831" s="234"/>
      <c r="BN831" s="234"/>
      <c r="BO831" s="234"/>
    </row>
    <row r="832" spans="1:67" ht="24" customHeight="1" x14ac:dyDescent="0.25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  <c r="AB832" s="234"/>
      <c r="AC832" s="234"/>
      <c r="AD832" s="234"/>
      <c r="AE832" s="234"/>
      <c r="AF832" s="234"/>
      <c r="AG832" s="234"/>
      <c r="AH832" s="234"/>
      <c r="AI832" s="234"/>
      <c r="AJ832" s="234"/>
      <c r="AK832" s="234"/>
      <c r="AL832" s="234"/>
      <c r="AM832" s="234"/>
      <c r="AN832" s="234"/>
      <c r="AO832" s="234"/>
      <c r="AP832" s="234"/>
      <c r="AQ832" s="234"/>
      <c r="AR832" s="234"/>
      <c r="AS832" s="234"/>
      <c r="AT832" s="234"/>
      <c r="AU832" s="234"/>
      <c r="AV832" s="234"/>
      <c r="AW832" s="234"/>
      <c r="AX832" s="234"/>
      <c r="AY832" s="234"/>
      <c r="AZ832" s="234"/>
      <c r="BA832" s="234"/>
      <c r="BB832" s="234"/>
      <c r="BC832" s="234"/>
      <c r="BD832" s="234"/>
      <c r="BE832" s="234"/>
      <c r="BF832" s="234"/>
      <c r="BG832" s="234"/>
      <c r="BH832" s="234"/>
      <c r="BI832" s="234"/>
      <c r="BJ832" s="234"/>
      <c r="BK832" s="234"/>
      <c r="BL832" s="234"/>
      <c r="BM832" s="234"/>
      <c r="BN832" s="234"/>
      <c r="BO832" s="234"/>
    </row>
    <row r="833" spans="1:67" ht="24" customHeight="1" x14ac:dyDescent="0.25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  <c r="AB833" s="234"/>
      <c r="AC833" s="234"/>
      <c r="AD833" s="234"/>
      <c r="AE833" s="234"/>
      <c r="AF833" s="234"/>
      <c r="AG833" s="234"/>
      <c r="AH833" s="234"/>
      <c r="AI833" s="234"/>
      <c r="AJ833" s="234"/>
      <c r="AK833" s="234"/>
      <c r="AL833" s="234"/>
      <c r="AM833" s="234"/>
      <c r="AN833" s="234"/>
      <c r="AO833" s="234"/>
      <c r="AP833" s="234"/>
      <c r="AQ833" s="234"/>
      <c r="AR833" s="234"/>
      <c r="AS833" s="234"/>
      <c r="AT833" s="234"/>
      <c r="AU833" s="234"/>
      <c r="AV833" s="234"/>
      <c r="AW833" s="234"/>
      <c r="AX833" s="234"/>
      <c r="AY833" s="234"/>
      <c r="AZ833" s="234"/>
      <c r="BA833" s="234"/>
      <c r="BB833" s="234"/>
      <c r="BC833" s="234"/>
      <c r="BD833" s="234"/>
      <c r="BE833" s="234"/>
      <c r="BF833" s="234"/>
      <c r="BG833" s="234"/>
      <c r="BH833" s="234"/>
      <c r="BI833" s="234"/>
      <c r="BJ833" s="234"/>
      <c r="BK833" s="234"/>
      <c r="BL833" s="234"/>
      <c r="BM833" s="234"/>
      <c r="BN833" s="234"/>
      <c r="BO833" s="234"/>
    </row>
    <row r="834" spans="1:67" ht="24" customHeight="1" x14ac:dyDescent="0.25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  <c r="AB834" s="234"/>
      <c r="AC834" s="234"/>
      <c r="AD834" s="234"/>
      <c r="AE834" s="234"/>
      <c r="AF834" s="234"/>
      <c r="AG834" s="234"/>
      <c r="AH834" s="234"/>
      <c r="AI834" s="234"/>
      <c r="AJ834" s="234"/>
      <c r="AK834" s="234"/>
      <c r="AL834" s="234"/>
      <c r="AM834" s="234"/>
      <c r="AN834" s="234"/>
      <c r="AO834" s="234"/>
      <c r="AP834" s="234"/>
      <c r="AQ834" s="234"/>
      <c r="AR834" s="234"/>
      <c r="AS834" s="234"/>
      <c r="AT834" s="234"/>
      <c r="AU834" s="234"/>
      <c r="AV834" s="234"/>
      <c r="AW834" s="234"/>
      <c r="AX834" s="234"/>
      <c r="AY834" s="234"/>
      <c r="AZ834" s="234"/>
      <c r="BA834" s="234"/>
      <c r="BB834" s="234"/>
      <c r="BC834" s="234"/>
      <c r="BD834" s="234"/>
      <c r="BE834" s="234"/>
      <c r="BF834" s="234"/>
      <c r="BG834" s="234"/>
      <c r="BH834" s="234"/>
      <c r="BI834" s="234"/>
      <c r="BJ834" s="234"/>
      <c r="BK834" s="234"/>
      <c r="BL834" s="234"/>
      <c r="BM834" s="234"/>
      <c r="BN834" s="234"/>
      <c r="BO834" s="234"/>
    </row>
    <row r="835" spans="1:67" ht="24" customHeight="1" x14ac:dyDescent="0.2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  <c r="AB835" s="234"/>
      <c r="AC835" s="234"/>
      <c r="AD835" s="234"/>
      <c r="AE835" s="234"/>
      <c r="AF835" s="234"/>
      <c r="AG835" s="234"/>
      <c r="AH835" s="234"/>
      <c r="AI835" s="234"/>
      <c r="AJ835" s="234"/>
      <c r="AK835" s="234"/>
      <c r="AL835" s="234"/>
      <c r="AM835" s="234"/>
      <c r="AN835" s="234"/>
      <c r="AO835" s="234"/>
      <c r="AP835" s="234"/>
      <c r="AQ835" s="234"/>
      <c r="AR835" s="234"/>
      <c r="AS835" s="234"/>
      <c r="AT835" s="234"/>
      <c r="AU835" s="234"/>
      <c r="AV835" s="234"/>
      <c r="AW835" s="234"/>
      <c r="AX835" s="234"/>
      <c r="AY835" s="234"/>
      <c r="AZ835" s="234"/>
      <c r="BA835" s="234"/>
      <c r="BB835" s="234"/>
      <c r="BC835" s="234"/>
      <c r="BD835" s="234"/>
      <c r="BE835" s="234"/>
      <c r="BF835" s="234"/>
      <c r="BG835" s="234"/>
      <c r="BH835" s="234"/>
      <c r="BI835" s="234"/>
      <c r="BJ835" s="234"/>
      <c r="BK835" s="234"/>
      <c r="BL835" s="234"/>
      <c r="BM835" s="234"/>
      <c r="BN835" s="234"/>
      <c r="BO835" s="234"/>
    </row>
    <row r="836" spans="1:67" ht="24" customHeight="1" x14ac:dyDescent="0.25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  <c r="AB836" s="234"/>
      <c r="AC836" s="234"/>
      <c r="AD836" s="234"/>
      <c r="AE836" s="234"/>
      <c r="AF836" s="234"/>
      <c r="AG836" s="234"/>
      <c r="AH836" s="234"/>
      <c r="AI836" s="234"/>
      <c r="AJ836" s="234"/>
      <c r="AK836" s="234"/>
      <c r="AL836" s="234"/>
      <c r="AM836" s="234"/>
      <c r="AN836" s="234"/>
      <c r="AO836" s="234"/>
      <c r="AP836" s="234"/>
      <c r="AQ836" s="234"/>
      <c r="AR836" s="234"/>
      <c r="AS836" s="234"/>
      <c r="AT836" s="234"/>
      <c r="AU836" s="234"/>
      <c r="AV836" s="234"/>
      <c r="AW836" s="234"/>
      <c r="AX836" s="234"/>
      <c r="AY836" s="234"/>
      <c r="AZ836" s="234"/>
      <c r="BA836" s="234"/>
      <c r="BB836" s="234"/>
      <c r="BC836" s="234"/>
      <c r="BD836" s="234"/>
      <c r="BE836" s="234"/>
      <c r="BF836" s="234"/>
      <c r="BG836" s="234"/>
      <c r="BH836" s="234"/>
      <c r="BI836" s="234"/>
      <c r="BJ836" s="234"/>
      <c r="BK836" s="234"/>
      <c r="BL836" s="234"/>
      <c r="BM836" s="234"/>
      <c r="BN836" s="234"/>
      <c r="BO836" s="234"/>
    </row>
    <row r="837" spans="1:67" ht="24" customHeight="1" x14ac:dyDescent="0.25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  <c r="AB837" s="234"/>
      <c r="AC837" s="234"/>
      <c r="AD837" s="234"/>
      <c r="AE837" s="234"/>
      <c r="AF837" s="234"/>
      <c r="AG837" s="234"/>
      <c r="AH837" s="234"/>
      <c r="AI837" s="234"/>
      <c r="AJ837" s="234"/>
      <c r="AK837" s="234"/>
      <c r="AL837" s="234"/>
      <c r="AM837" s="234"/>
      <c r="AN837" s="234"/>
      <c r="AO837" s="234"/>
      <c r="AP837" s="234"/>
      <c r="AQ837" s="234"/>
      <c r="AR837" s="234"/>
      <c r="AS837" s="234"/>
      <c r="AT837" s="234"/>
      <c r="AU837" s="234"/>
      <c r="AV837" s="234"/>
      <c r="AW837" s="234"/>
      <c r="AX837" s="234"/>
      <c r="AY837" s="234"/>
      <c r="AZ837" s="234"/>
      <c r="BA837" s="234"/>
      <c r="BB837" s="234"/>
      <c r="BC837" s="234"/>
      <c r="BD837" s="234"/>
      <c r="BE837" s="234"/>
      <c r="BF837" s="234"/>
      <c r="BG837" s="234"/>
      <c r="BH837" s="234"/>
      <c r="BI837" s="234"/>
      <c r="BJ837" s="234"/>
      <c r="BK837" s="234"/>
      <c r="BL837" s="234"/>
      <c r="BM837" s="234"/>
      <c r="BN837" s="234"/>
      <c r="BO837" s="234"/>
    </row>
    <row r="838" spans="1:67" ht="24" customHeight="1" x14ac:dyDescent="0.25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  <c r="AB838" s="234"/>
      <c r="AC838" s="234"/>
      <c r="AD838" s="234"/>
      <c r="AE838" s="234"/>
      <c r="AF838" s="234"/>
      <c r="AG838" s="234"/>
      <c r="AH838" s="234"/>
      <c r="AI838" s="234"/>
      <c r="AJ838" s="234"/>
      <c r="AK838" s="234"/>
      <c r="AL838" s="234"/>
      <c r="AM838" s="234"/>
      <c r="AN838" s="234"/>
      <c r="AO838" s="234"/>
      <c r="AP838" s="234"/>
      <c r="AQ838" s="234"/>
      <c r="AR838" s="234"/>
      <c r="AS838" s="234"/>
      <c r="AT838" s="234"/>
      <c r="AU838" s="234"/>
      <c r="AV838" s="234"/>
      <c r="AW838" s="234"/>
      <c r="AX838" s="234"/>
      <c r="AY838" s="234"/>
      <c r="AZ838" s="234"/>
      <c r="BA838" s="234"/>
      <c r="BB838" s="234"/>
      <c r="BC838" s="234"/>
      <c r="BD838" s="234"/>
      <c r="BE838" s="234"/>
      <c r="BF838" s="234"/>
      <c r="BG838" s="234"/>
      <c r="BH838" s="234"/>
      <c r="BI838" s="234"/>
      <c r="BJ838" s="234"/>
      <c r="BK838" s="234"/>
      <c r="BL838" s="234"/>
      <c r="BM838" s="234"/>
      <c r="BN838" s="234"/>
      <c r="BO838" s="234"/>
    </row>
    <row r="839" spans="1:67" ht="24" customHeight="1" x14ac:dyDescent="0.25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  <c r="AB839" s="234"/>
      <c r="AC839" s="234"/>
      <c r="AD839" s="234"/>
      <c r="AE839" s="234"/>
      <c r="AF839" s="234"/>
      <c r="AG839" s="234"/>
      <c r="AH839" s="234"/>
      <c r="AI839" s="234"/>
      <c r="AJ839" s="234"/>
      <c r="AK839" s="234"/>
      <c r="AL839" s="234"/>
      <c r="AM839" s="234"/>
      <c r="AN839" s="234"/>
      <c r="AO839" s="234"/>
      <c r="AP839" s="234"/>
      <c r="AQ839" s="234"/>
      <c r="AR839" s="234"/>
      <c r="AS839" s="234"/>
      <c r="AT839" s="234"/>
      <c r="AU839" s="234"/>
      <c r="AV839" s="234"/>
      <c r="AW839" s="234"/>
      <c r="AX839" s="234"/>
      <c r="AY839" s="234"/>
      <c r="AZ839" s="234"/>
      <c r="BA839" s="234"/>
      <c r="BB839" s="234"/>
      <c r="BC839" s="234"/>
      <c r="BD839" s="234"/>
      <c r="BE839" s="234"/>
      <c r="BF839" s="234"/>
      <c r="BG839" s="234"/>
      <c r="BH839" s="234"/>
      <c r="BI839" s="234"/>
      <c r="BJ839" s="234"/>
      <c r="BK839" s="234"/>
      <c r="BL839" s="234"/>
      <c r="BM839" s="234"/>
      <c r="BN839" s="234"/>
      <c r="BO839" s="234"/>
    </row>
    <row r="840" spans="1:67" ht="24" customHeight="1" x14ac:dyDescent="0.25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  <c r="AB840" s="234"/>
      <c r="AC840" s="234"/>
      <c r="AD840" s="234"/>
      <c r="AE840" s="234"/>
      <c r="AF840" s="234"/>
      <c r="AG840" s="234"/>
      <c r="AH840" s="234"/>
      <c r="AI840" s="234"/>
      <c r="AJ840" s="234"/>
      <c r="AK840" s="234"/>
      <c r="AL840" s="234"/>
      <c r="AM840" s="234"/>
      <c r="AN840" s="234"/>
      <c r="AO840" s="234"/>
      <c r="AP840" s="234"/>
      <c r="AQ840" s="234"/>
      <c r="AR840" s="234"/>
      <c r="AS840" s="234"/>
      <c r="AT840" s="234"/>
      <c r="AU840" s="234"/>
      <c r="AV840" s="234"/>
      <c r="AW840" s="234"/>
      <c r="AX840" s="234"/>
      <c r="AY840" s="234"/>
      <c r="AZ840" s="234"/>
      <c r="BA840" s="234"/>
      <c r="BB840" s="234"/>
      <c r="BC840" s="234"/>
      <c r="BD840" s="234"/>
      <c r="BE840" s="234"/>
      <c r="BF840" s="234"/>
      <c r="BG840" s="234"/>
      <c r="BH840" s="234"/>
      <c r="BI840" s="234"/>
      <c r="BJ840" s="234"/>
      <c r="BK840" s="234"/>
      <c r="BL840" s="234"/>
      <c r="BM840" s="234"/>
      <c r="BN840" s="234"/>
      <c r="BO840" s="234"/>
    </row>
    <row r="841" spans="1:67" ht="24" customHeight="1" x14ac:dyDescent="0.25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  <c r="AB841" s="234"/>
      <c r="AC841" s="234"/>
      <c r="AD841" s="234"/>
      <c r="AE841" s="234"/>
      <c r="AF841" s="234"/>
      <c r="AG841" s="234"/>
      <c r="AH841" s="234"/>
      <c r="AI841" s="234"/>
      <c r="AJ841" s="234"/>
      <c r="AK841" s="234"/>
      <c r="AL841" s="234"/>
      <c r="AM841" s="234"/>
      <c r="AN841" s="234"/>
      <c r="AO841" s="234"/>
      <c r="AP841" s="234"/>
      <c r="AQ841" s="234"/>
      <c r="AR841" s="234"/>
      <c r="AS841" s="234"/>
      <c r="AT841" s="234"/>
      <c r="AU841" s="234"/>
      <c r="AV841" s="234"/>
      <c r="AW841" s="234"/>
      <c r="AX841" s="234"/>
      <c r="AY841" s="234"/>
      <c r="AZ841" s="234"/>
      <c r="BA841" s="234"/>
      <c r="BB841" s="234"/>
      <c r="BC841" s="234"/>
      <c r="BD841" s="234"/>
      <c r="BE841" s="234"/>
      <c r="BF841" s="234"/>
      <c r="BG841" s="234"/>
      <c r="BH841" s="234"/>
      <c r="BI841" s="234"/>
      <c r="BJ841" s="234"/>
      <c r="BK841" s="234"/>
      <c r="BL841" s="234"/>
      <c r="BM841" s="234"/>
      <c r="BN841" s="234"/>
      <c r="BO841" s="234"/>
    </row>
    <row r="842" spans="1:67" ht="24" customHeight="1" x14ac:dyDescent="0.25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  <c r="AB842" s="234"/>
      <c r="AC842" s="234"/>
      <c r="AD842" s="234"/>
      <c r="AE842" s="234"/>
      <c r="AF842" s="234"/>
      <c r="AG842" s="234"/>
      <c r="AH842" s="234"/>
      <c r="AI842" s="234"/>
      <c r="AJ842" s="234"/>
      <c r="AK842" s="234"/>
      <c r="AL842" s="234"/>
      <c r="AM842" s="234"/>
      <c r="AN842" s="234"/>
      <c r="AO842" s="234"/>
      <c r="AP842" s="234"/>
      <c r="AQ842" s="234"/>
      <c r="AR842" s="234"/>
      <c r="AS842" s="234"/>
      <c r="AT842" s="234"/>
      <c r="AU842" s="234"/>
      <c r="AV842" s="234"/>
      <c r="AW842" s="234"/>
      <c r="AX842" s="234"/>
      <c r="AY842" s="234"/>
      <c r="AZ842" s="234"/>
      <c r="BA842" s="234"/>
      <c r="BB842" s="234"/>
      <c r="BC842" s="234"/>
      <c r="BD842" s="234"/>
      <c r="BE842" s="234"/>
      <c r="BF842" s="234"/>
      <c r="BG842" s="234"/>
      <c r="BH842" s="234"/>
      <c r="BI842" s="234"/>
      <c r="BJ842" s="234"/>
      <c r="BK842" s="234"/>
      <c r="BL842" s="234"/>
      <c r="BM842" s="234"/>
      <c r="BN842" s="234"/>
      <c r="BO842" s="234"/>
    </row>
    <row r="843" spans="1:67" ht="24" customHeight="1" x14ac:dyDescent="0.25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  <c r="AB843" s="234"/>
      <c r="AC843" s="234"/>
      <c r="AD843" s="234"/>
      <c r="AE843" s="234"/>
      <c r="AF843" s="234"/>
      <c r="AG843" s="234"/>
      <c r="AH843" s="234"/>
      <c r="AI843" s="234"/>
      <c r="AJ843" s="234"/>
      <c r="AK843" s="234"/>
      <c r="AL843" s="234"/>
      <c r="AM843" s="234"/>
      <c r="AN843" s="234"/>
      <c r="AO843" s="234"/>
      <c r="AP843" s="234"/>
      <c r="AQ843" s="234"/>
      <c r="AR843" s="234"/>
      <c r="AS843" s="234"/>
      <c r="AT843" s="234"/>
      <c r="AU843" s="234"/>
      <c r="AV843" s="234"/>
      <c r="AW843" s="234"/>
      <c r="AX843" s="234"/>
      <c r="AY843" s="234"/>
      <c r="AZ843" s="234"/>
      <c r="BA843" s="234"/>
      <c r="BB843" s="234"/>
      <c r="BC843" s="234"/>
      <c r="BD843" s="234"/>
      <c r="BE843" s="234"/>
      <c r="BF843" s="234"/>
      <c r="BG843" s="234"/>
      <c r="BH843" s="234"/>
      <c r="BI843" s="234"/>
      <c r="BJ843" s="234"/>
      <c r="BK843" s="234"/>
      <c r="BL843" s="234"/>
      <c r="BM843" s="234"/>
      <c r="BN843" s="234"/>
      <c r="BO843" s="234"/>
    </row>
    <row r="844" spans="1:67" ht="24" customHeight="1" x14ac:dyDescent="0.25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  <c r="AB844" s="234"/>
      <c r="AC844" s="234"/>
      <c r="AD844" s="234"/>
      <c r="AE844" s="234"/>
      <c r="AF844" s="234"/>
      <c r="AG844" s="234"/>
      <c r="AH844" s="234"/>
      <c r="AI844" s="234"/>
      <c r="AJ844" s="234"/>
      <c r="AK844" s="234"/>
      <c r="AL844" s="234"/>
      <c r="AM844" s="234"/>
      <c r="AN844" s="234"/>
      <c r="AO844" s="234"/>
      <c r="AP844" s="234"/>
      <c r="AQ844" s="234"/>
      <c r="AR844" s="234"/>
      <c r="AS844" s="234"/>
      <c r="AT844" s="234"/>
      <c r="AU844" s="234"/>
      <c r="AV844" s="234"/>
      <c r="AW844" s="234"/>
      <c r="AX844" s="234"/>
      <c r="AY844" s="234"/>
      <c r="AZ844" s="234"/>
      <c r="BA844" s="234"/>
      <c r="BB844" s="234"/>
      <c r="BC844" s="234"/>
      <c r="BD844" s="234"/>
      <c r="BE844" s="234"/>
      <c r="BF844" s="234"/>
      <c r="BG844" s="234"/>
      <c r="BH844" s="234"/>
      <c r="BI844" s="234"/>
      <c r="BJ844" s="234"/>
      <c r="BK844" s="234"/>
      <c r="BL844" s="234"/>
      <c r="BM844" s="234"/>
      <c r="BN844" s="234"/>
      <c r="BO844" s="234"/>
    </row>
    <row r="845" spans="1:67" ht="24" customHeight="1" x14ac:dyDescent="0.2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  <c r="AB845" s="234"/>
      <c r="AC845" s="234"/>
      <c r="AD845" s="234"/>
      <c r="AE845" s="234"/>
      <c r="AF845" s="234"/>
      <c r="AG845" s="234"/>
      <c r="AH845" s="234"/>
      <c r="AI845" s="234"/>
      <c r="AJ845" s="234"/>
      <c r="AK845" s="234"/>
      <c r="AL845" s="234"/>
      <c r="AM845" s="234"/>
      <c r="AN845" s="234"/>
      <c r="AO845" s="234"/>
      <c r="AP845" s="234"/>
      <c r="AQ845" s="234"/>
      <c r="AR845" s="234"/>
      <c r="AS845" s="234"/>
      <c r="AT845" s="234"/>
      <c r="AU845" s="234"/>
      <c r="AV845" s="234"/>
      <c r="AW845" s="234"/>
      <c r="AX845" s="234"/>
      <c r="AY845" s="234"/>
      <c r="AZ845" s="234"/>
      <c r="BA845" s="234"/>
      <c r="BB845" s="234"/>
      <c r="BC845" s="234"/>
      <c r="BD845" s="234"/>
      <c r="BE845" s="234"/>
      <c r="BF845" s="234"/>
      <c r="BG845" s="234"/>
      <c r="BH845" s="234"/>
      <c r="BI845" s="234"/>
      <c r="BJ845" s="234"/>
      <c r="BK845" s="234"/>
      <c r="BL845" s="234"/>
      <c r="BM845" s="234"/>
      <c r="BN845" s="234"/>
      <c r="BO845" s="234"/>
    </row>
    <row r="846" spans="1:67" ht="24" customHeight="1" x14ac:dyDescent="0.25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  <c r="AB846" s="234"/>
      <c r="AC846" s="234"/>
      <c r="AD846" s="234"/>
      <c r="AE846" s="234"/>
      <c r="AF846" s="234"/>
      <c r="AG846" s="234"/>
      <c r="AH846" s="234"/>
      <c r="AI846" s="234"/>
      <c r="AJ846" s="234"/>
      <c r="AK846" s="234"/>
      <c r="AL846" s="234"/>
      <c r="AM846" s="234"/>
      <c r="AN846" s="234"/>
      <c r="AO846" s="234"/>
      <c r="AP846" s="234"/>
      <c r="AQ846" s="234"/>
      <c r="AR846" s="234"/>
      <c r="AS846" s="234"/>
      <c r="AT846" s="234"/>
      <c r="AU846" s="234"/>
      <c r="AV846" s="234"/>
      <c r="AW846" s="234"/>
      <c r="AX846" s="234"/>
      <c r="AY846" s="234"/>
      <c r="AZ846" s="234"/>
      <c r="BA846" s="234"/>
      <c r="BB846" s="234"/>
      <c r="BC846" s="234"/>
      <c r="BD846" s="234"/>
      <c r="BE846" s="234"/>
      <c r="BF846" s="234"/>
      <c r="BG846" s="234"/>
      <c r="BH846" s="234"/>
      <c r="BI846" s="234"/>
      <c r="BJ846" s="234"/>
      <c r="BK846" s="234"/>
      <c r="BL846" s="234"/>
      <c r="BM846" s="234"/>
      <c r="BN846" s="234"/>
      <c r="BO846" s="234"/>
    </row>
    <row r="847" spans="1:67" ht="24" customHeight="1" x14ac:dyDescent="0.25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  <c r="AB847" s="234"/>
      <c r="AC847" s="234"/>
      <c r="AD847" s="234"/>
      <c r="AE847" s="234"/>
      <c r="AF847" s="234"/>
      <c r="AG847" s="234"/>
      <c r="AH847" s="234"/>
      <c r="AI847" s="234"/>
      <c r="AJ847" s="234"/>
      <c r="AK847" s="234"/>
      <c r="AL847" s="234"/>
      <c r="AM847" s="234"/>
      <c r="AN847" s="234"/>
      <c r="AO847" s="234"/>
      <c r="AP847" s="234"/>
      <c r="AQ847" s="234"/>
      <c r="AR847" s="234"/>
      <c r="AS847" s="234"/>
      <c r="AT847" s="234"/>
      <c r="AU847" s="234"/>
      <c r="AV847" s="234"/>
      <c r="AW847" s="234"/>
      <c r="AX847" s="234"/>
      <c r="AY847" s="234"/>
      <c r="AZ847" s="234"/>
      <c r="BA847" s="234"/>
      <c r="BB847" s="234"/>
      <c r="BC847" s="234"/>
      <c r="BD847" s="234"/>
      <c r="BE847" s="234"/>
      <c r="BF847" s="234"/>
      <c r="BG847" s="234"/>
      <c r="BH847" s="234"/>
      <c r="BI847" s="234"/>
      <c r="BJ847" s="234"/>
      <c r="BK847" s="234"/>
      <c r="BL847" s="234"/>
      <c r="BM847" s="234"/>
      <c r="BN847" s="234"/>
      <c r="BO847" s="234"/>
    </row>
    <row r="848" spans="1:67" ht="24" customHeight="1" x14ac:dyDescent="0.25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  <c r="AB848" s="234"/>
      <c r="AC848" s="234"/>
      <c r="AD848" s="234"/>
      <c r="AE848" s="234"/>
      <c r="AF848" s="234"/>
      <c r="AG848" s="234"/>
      <c r="AH848" s="234"/>
      <c r="AI848" s="234"/>
      <c r="AJ848" s="234"/>
      <c r="AK848" s="234"/>
      <c r="AL848" s="234"/>
      <c r="AM848" s="234"/>
      <c r="AN848" s="234"/>
      <c r="AO848" s="234"/>
      <c r="AP848" s="234"/>
      <c r="AQ848" s="234"/>
      <c r="AR848" s="234"/>
      <c r="AS848" s="234"/>
      <c r="AT848" s="234"/>
      <c r="AU848" s="234"/>
      <c r="AV848" s="234"/>
      <c r="AW848" s="234"/>
      <c r="AX848" s="234"/>
      <c r="AY848" s="234"/>
      <c r="AZ848" s="234"/>
      <c r="BA848" s="234"/>
      <c r="BB848" s="234"/>
      <c r="BC848" s="234"/>
      <c r="BD848" s="234"/>
      <c r="BE848" s="234"/>
      <c r="BF848" s="234"/>
      <c r="BG848" s="234"/>
      <c r="BH848" s="234"/>
      <c r="BI848" s="234"/>
      <c r="BJ848" s="234"/>
      <c r="BK848" s="234"/>
      <c r="BL848" s="234"/>
      <c r="BM848" s="234"/>
      <c r="BN848" s="234"/>
      <c r="BO848" s="234"/>
    </row>
    <row r="849" spans="1:67" ht="24" customHeight="1" x14ac:dyDescent="0.25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  <c r="AB849" s="234"/>
      <c r="AC849" s="234"/>
      <c r="AD849" s="234"/>
      <c r="AE849" s="234"/>
      <c r="AF849" s="234"/>
      <c r="AG849" s="234"/>
      <c r="AH849" s="234"/>
      <c r="AI849" s="234"/>
      <c r="AJ849" s="234"/>
      <c r="AK849" s="234"/>
      <c r="AL849" s="234"/>
      <c r="AM849" s="234"/>
      <c r="AN849" s="234"/>
      <c r="AO849" s="234"/>
      <c r="AP849" s="234"/>
      <c r="AQ849" s="234"/>
      <c r="AR849" s="234"/>
      <c r="AS849" s="234"/>
      <c r="AT849" s="234"/>
      <c r="AU849" s="234"/>
      <c r="AV849" s="234"/>
      <c r="AW849" s="234"/>
      <c r="AX849" s="234"/>
      <c r="AY849" s="234"/>
      <c r="AZ849" s="234"/>
      <c r="BA849" s="234"/>
      <c r="BB849" s="234"/>
      <c r="BC849" s="234"/>
      <c r="BD849" s="234"/>
      <c r="BE849" s="234"/>
      <c r="BF849" s="234"/>
      <c r="BG849" s="234"/>
      <c r="BH849" s="234"/>
      <c r="BI849" s="234"/>
      <c r="BJ849" s="234"/>
      <c r="BK849" s="234"/>
      <c r="BL849" s="234"/>
      <c r="BM849" s="234"/>
      <c r="BN849" s="234"/>
      <c r="BO849" s="234"/>
    </row>
    <row r="850" spans="1:67" ht="24" customHeight="1" x14ac:dyDescent="0.25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  <c r="AB850" s="234"/>
      <c r="AC850" s="234"/>
      <c r="AD850" s="234"/>
      <c r="AE850" s="234"/>
      <c r="AF850" s="234"/>
      <c r="AG850" s="234"/>
      <c r="AH850" s="234"/>
      <c r="AI850" s="234"/>
      <c r="AJ850" s="234"/>
      <c r="AK850" s="234"/>
      <c r="AL850" s="234"/>
      <c r="AM850" s="234"/>
      <c r="AN850" s="234"/>
      <c r="AO850" s="234"/>
      <c r="AP850" s="234"/>
      <c r="AQ850" s="234"/>
      <c r="AR850" s="234"/>
      <c r="AS850" s="234"/>
      <c r="AT850" s="234"/>
      <c r="AU850" s="234"/>
      <c r="AV850" s="234"/>
      <c r="AW850" s="234"/>
      <c r="AX850" s="234"/>
      <c r="AY850" s="234"/>
      <c r="AZ850" s="234"/>
      <c r="BA850" s="234"/>
      <c r="BB850" s="234"/>
      <c r="BC850" s="234"/>
      <c r="BD850" s="234"/>
      <c r="BE850" s="234"/>
      <c r="BF850" s="234"/>
      <c r="BG850" s="234"/>
      <c r="BH850" s="234"/>
      <c r="BI850" s="234"/>
      <c r="BJ850" s="234"/>
      <c r="BK850" s="234"/>
      <c r="BL850" s="234"/>
      <c r="BM850" s="234"/>
      <c r="BN850" s="234"/>
      <c r="BO850" s="234"/>
    </row>
    <row r="851" spans="1:67" ht="24" customHeight="1" x14ac:dyDescent="0.25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  <c r="AB851" s="234"/>
      <c r="AC851" s="234"/>
      <c r="AD851" s="234"/>
      <c r="AE851" s="234"/>
      <c r="AF851" s="234"/>
      <c r="AG851" s="234"/>
      <c r="AH851" s="234"/>
      <c r="AI851" s="234"/>
      <c r="AJ851" s="234"/>
      <c r="AK851" s="234"/>
      <c r="AL851" s="234"/>
      <c r="AM851" s="234"/>
      <c r="AN851" s="234"/>
      <c r="AO851" s="234"/>
      <c r="AP851" s="234"/>
      <c r="AQ851" s="234"/>
      <c r="AR851" s="234"/>
      <c r="AS851" s="234"/>
      <c r="AT851" s="234"/>
      <c r="AU851" s="234"/>
      <c r="AV851" s="234"/>
      <c r="AW851" s="234"/>
      <c r="AX851" s="234"/>
      <c r="AY851" s="234"/>
      <c r="AZ851" s="234"/>
      <c r="BA851" s="234"/>
      <c r="BB851" s="234"/>
      <c r="BC851" s="234"/>
      <c r="BD851" s="234"/>
      <c r="BE851" s="234"/>
      <c r="BF851" s="234"/>
      <c r="BG851" s="234"/>
      <c r="BH851" s="234"/>
      <c r="BI851" s="234"/>
      <c r="BJ851" s="234"/>
      <c r="BK851" s="234"/>
      <c r="BL851" s="234"/>
      <c r="BM851" s="234"/>
      <c r="BN851" s="234"/>
      <c r="BO851" s="234"/>
    </row>
    <row r="852" spans="1:67" ht="24" customHeight="1" x14ac:dyDescent="0.25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  <c r="AB852" s="234"/>
      <c r="AC852" s="234"/>
      <c r="AD852" s="234"/>
      <c r="AE852" s="234"/>
      <c r="AF852" s="234"/>
      <c r="AG852" s="234"/>
      <c r="AH852" s="234"/>
      <c r="AI852" s="234"/>
      <c r="AJ852" s="234"/>
      <c r="AK852" s="234"/>
      <c r="AL852" s="234"/>
      <c r="AM852" s="234"/>
      <c r="AN852" s="234"/>
      <c r="AO852" s="234"/>
      <c r="AP852" s="234"/>
      <c r="AQ852" s="234"/>
      <c r="AR852" s="234"/>
      <c r="AS852" s="234"/>
      <c r="AT852" s="234"/>
      <c r="AU852" s="234"/>
      <c r="AV852" s="234"/>
      <c r="AW852" s="234"/>
      <c r="AX852" s="234"/>
      <c r="AY852" s="234"/>
      <c r="AZ852" s="234"/>
      <c r="BA852" s="234"/>
      <c r="BB852" s="234"/>
      <c r="BC852" s="234"/>
      <c r="BD852" s="234"/>
      <c r="BE852" s="234"/>
      <c r="BF852" s="234"/>
      <c r="BG852" s="234"/>
      <c r="BH852" s="234"/>
      <c r="BI852" s="234"/>
      <c r="BJ852" s="234"/>
      <c r="BK852" s="234"/>
      <c r="BL852" s="234"/>
      <c r="BM852" s="234"/>
      <c r="BN852" s="234"/>
      <c r="BO852" s="234"/>
    </row>
    <row r="853" spans="1:67" ht="24" customHeight="1" x14ac:dyDescent="0.25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  <c r="AB853" s="234"/>
      <c r="AC853" s="234"/>
      <c r="AD853" s="234"/>
      <c r="AE853" s="234"/>
      <c r="AF853" s="234"/>
      <c r="AG853" s="234"/>
      <c r="AH853" s="234"/>
      <c r="AI853" s="234"/>
      <c r="AJ853" s="234"/>
      <c r="AK853" s="234"/>
      <c r="AL853" s="234"/>
      <c r="AM853" s="234"/>
      <c r="AN853" s="234"/>
      <c r="AO853" s="234"/>
      <c r="AP853" s="234"/>
      <c r="AQ853" s="234"/>
      <c r="AR853" s="234"/>
      <c r="AS853" s="234"/>
      <c r="AT853" s="234"/>
      <c r="AU853" s="234"/>
      <c r="AV853" s="234"/>
      <c r="AW853" s="234"/>
      <c r="AX853" s="234"/>
      <c r="AY853" s="234"/>
      <c r="AZ853" s="234"/>
      <c r="BA853" s="234"/>
      <c r="BB853" s="234"/>
      <c r="BC853" s="234"/>
      <c r="BD853" s="234"/>
      <c r="BE853" s="234"/>
      <c r="BF853" s="234"/>
      <c r="BG853" s="234"/>
      <c r="BH853" s="234"/>
      <c r="BI853" s="234"/>
      <c r="BJ853" s="234"/>
      <c r="BK853" s="234"/>
      <c r="BL853" s="234"/>
      <c r="BM853" s="234"/>
      <c r="BN853" s="234"/>
      <c r="BO853" s="234"/>
    </row>
    <row r="854" spans="1:67" ht="24" customHeight="1" x14ac:dyDescent="0.25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  <c r="AB854" s="234"/>
      <c r="AC854" s="234"/>
      <c r="AD854" s="234"/>
      <c r="AE854" s="234"/>
      <c r="AF854" s="234"/>
      <c r="AG854" s="234"/>
      <c r="AH854" s="234"/>
      <c r="AI854" s="234"/>
      <c r="AJ854" s="234"/>
      <c r="AK854" s="234"/>
      <c r="AL854" s="234"/>
      <c r="AM854" s="234"/>
      <c r="AN854" s="234"/>
      <c r="AO854" s="234"/>
      <c r="AP854" s="234"/>
      <c r="AQ854" s="234"/>
      <c r="AR854" s="234"/>
      <c r="AS854" s="234"/>
      <c r="AT854" s="234"/>
      <c r="AU854" s="234"/>
      <c r="AV854" s="234"/>
      <c r="AW854" s="234"/>
      <c r="AX854" s="234"/>
      <c r="AY854" s="234"/>
      <c r="AZ854" s="234"/>
      <c r="BA854" s="234"/>
      <c r="BB854" s="234"/>
      <c r="BC854" s="234"/>
      <c r="BD854" s="234"/>
      <c r="BE854" s="234"/>
      <c r="BF854" s="234"/>
      <c r="BG854" s="234"/>
      <c r="BH854" s="234"/>
      <c r="BI854" s="234"/>
      <c r="BJ854" s="234"/>
      <c r="BK854" s="234"/>
      <c r="BL854" s="234"/>
      <c r="BM854" s="234"/>
      <c r="BN854" s="234"/>
      <c r="BO854" s="234"/>
    </row>
    <row r="855" spans="1:67" ht="24" customHeight="1" x14ac:dyDescent="0.2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  <c r="AB855" s="234"/>
      <c r="AC855" s="234"/>
      <c r="AD855" s="234"/>
      <c r="AE855" s="234"/>
      <c r="AF855" s="234"/>
      <c r="AG855" s="234"/>
      <c r="AH855" s="234"/>
      <c r="AI855" s="234"/>
      <c r="AJ855" s="234"/>
      <c r="AK855" s="234"/>
      <c r="AL855" s="234"/>
      <c r="AM855" s="234"/>
      <c r="AN855" s="234"/>
      <c r="AO855" s="234"/>
      <c r="AP855" s="234"/>
      <c r="AQ855" s="234"/>
      <c r="AR855" s="234"/>
      <c r="AS855" s="234"/>
      <c r="AT855" s="234"/>
      <c r="AU855" s="234"/>
      <c r="AV855" s="234"/>
      <c r="AW855" s="234"/>
      <c r="AX855" s="234"/>
      <c r="AY855" s="234"/>
      <c r="AZ855" s="234"/>
      <c r="BA855" s="234"/>
      <c r="BB855" s="234"/>
      <c r="BC855" s="234"/>
      <c r="BD855" s="234"/>
      <c r="BE855" s="234"/>
      <c r="BF855" s="234"/>
      <c r="BG855" s="234"/>
      <c r="BH855" s="234"/>
      <c r="BI855" s="234"/>
      <c r="BJ855" s="234"/>
      <c r="BK855" s="234"/>
      <c r="BL855" s="234"/>
      <c r="BM855" s="234"/>
      <c r="BN855" s="234"/>
      <c r="BO855" s="234"/>
    </row>
    <row r="856" spans="1:67" ht="24" customHeight="1" x14ac:dyDescent="0.25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  <c r="AB856" s="234"/>
      <c r="AC856" s="234"/>
      <c r="AD856" s="234"/>
      <c r="AE856" s="234"/>
      <c r="AF856" s="234"/>
      <c r="AG856" s="234"/>
      <c r="AH856" s="234"/>
      <c r="AI856" s="234"/>
      <c r="AJ856" s="234"/>
      <c r="AK856" s="234"/>
      <c r="AL856" s="234"/>
      <c r="AM856" s="234"/>
      <c r="AN856" s="234"/>
      <c r="AO856" s="234"/>
      <c r="AP856" s="234"/>
      <c r="AQ856" s="234"/>
      <c r="AR856" s="234"/>
      <c r="AS856" s="234"/>
      <c r="AT856" s="234"/>
      <c r="AU856" s="234"/>
      <c r="AV856" s="234"/>
      <c r="AW856" s="234"/>
      <c r="AX856" s="234"/>
      <c r="AY856" s="234"/>
      <c r="AZ856" s="234"/>
      <c r="BA856" s="234"/>
      <c r="BB856" s="234"/>
      <c r="BC856" s="234"/>
      <c r="BD856" s="234"/>
      <c r="BE856" s="234"/>
      <c r="BF856" s="234"/>
      <c r="BG856" s="234"/>
      <c r="BH856" s="234"/>
      <c r="BI856" s="234"/>
      <c r="BJ856" s="234"/>
      <c r="BK856" s="234"/>
      <c r="BL856" s="234"/>
      <c r="BM856" s="234"/>
      <c r="BN856" s="234"/>
      <c r="BO856" s="234"/>
    </row>
    <row r="857" spans="1:67" ht="24" customHeight="1" x14ac:dyDescent="0.25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  <c r="AB857" s="234"/>
      <c r="AC857" s="234"/>
      <c r="AD857" s="234"/>
      <c r="AE857" s="234"/>
      <c r="AF857" s="234"/>
      <c r="AG857" s="234"/>
      <c r="AH857" s="234"/>
      <c r="AI857" s="234"/>
      <c r="AJ857" s="234"/>
      <c r="AK857" s="234"/>
      <c r="AL857" s="234"/>
      <c r="AM857" s="234"/>
      <c r="AN857" s="234"/>
      <c r="AO857" s="234"/>
      <c r="AP857" s="234"/>
      <c r="AQ857" s="234"/>
      <c r="AR857" s="234"/>
      <c r="AS857" s="234"/>
      <c r="AT857" s="234"/>
      <c r="AU857" s="234"/>
      <c r="AV857" s="234"/>
      <c r="AW857" s="234"/>
      <c r="AX857" s="234"/>
      <c r="AY857" s="234"/>
      <c r="AZ857" s="234"/>
      <c r="BA857" s="234"/>
      <c r="BB857" s="234"/>
      <c r="BC857" s="234"/>
      <c r="BD857" s="234"/>
      <c r="BE857" s="234"/>
      <c r="BF857" s="234"/>
      <c r="BG857" s="234"/>
      <c r="BH857" s="234"/>
      <c r="BI857" s="234"/>
      <c r="BJ857" s="234"/>
      <c r="BK857" s="234"/>
      <c r="BL857" s="234"/>
      <c r="BM857" s="234"/>
      <c r="BN857" s="234"/>
      <c r="BO857" s="234"/>
    </row>
    <row r="858" spans="1:67" ht="24" customHeight="1" x14ac:dyDescent="0.25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  <c r="AB858" s="234"/>
      <c r="AC858" s="234"/>
      <c r="AD858" s="234"/>
      <c r="AE858" s="234"/>
      <c r="AF858" s="234"/>
      <c r="AG858" s="234"/>
      <c r="AH858" s="234"/>
      <c r="AI858" s="234"/>
      <c r="AJ858" s="234"/>
      <c r="AK858" s="234"/>
      <c r="AL858" s="234"/>
      <c r="AM858" s="234"/>
      <c r="AN858" s="234"/>
      <c r="AO858" s="234"/>
      <c r="AP858" s="234"/>
      <c r="AQ858" s="234"/>
      <c r="AR858" s="234"/>
      <c r="AS858" s="234"/>
      <c r="AT858" s="234"/>
      <c r="AU858" s="234"/>
      <c r="AV858" s="234"/>
      <c r="AW858" s="234"/>
      <c r="AX858" s="234"/>
      <c r="AY858" s="234"/>
      <c r="AZ858" s="234"/>
      <c r="BA858" s="234"/>
      <c r="BB858" s="234"/>
      <c r="BC858" s="234"/>
      <c r="BD858" s="234"/>
      <c r="BE858" s="234"/>
      <c r="BF858" s="234"/>
      <c r="BG858" s="234"/>
      <c r="BH858" s="234"/>
      <c r="BI858" s="234"/>
      <c r="BJ858" s="234"/>
      <c r="BK858" s="234"/>
      <c r="BL858" s="234"/>
      <c r="BM858" s="234"/>
      <c r="BN858" s="234"/>
      <c r="BO858" s="234"/>
    </row>
    <row r="859" spans="1:67" ht="24" customHeight="1" x14ac:dyDescent="0.25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  <c r="AB859" s="234"/>
      <c r="AC859" s="234"/>
      <c r="AD859" s="234"/>
      <c r="AE859" s="234"/>
      <c r="AF859" s="234"/>
      <c r="AG859" s="234"/>
      <c r="AH859" s="234"/>
      <c r="AI859" s="234"/>
      <c r="AJ859" s="234"/>
      <c r="AK859" s="234"/>
      <c r="AL859" s="234"/>
      <c r="AM859" s="234"/>
      <c r="AN859" s="234"/>
      <c r="AO859" s="234"/>
      <c r="AP859" s="234"/>
      <c r="AQ859" s="234"/>
      <c r="AR859" s="234"/>
      <c r="AS859" s="234"/>
      <c r="AT859" s="234"/>
      <c r="AU859" s="234"/>
      <c r="AV859" s="234"/>
      <c r="AW859" s="234"/>
      <c r="AX859" s="234"/>
      <c r="AY859" s="234"/>
      <c r="AZ859" s="234"/>
      <c r="BA859" s="234"/>
      <c r="BB859" s="234"/>
      <c r="BC859" s="234"/>
      <c r="BD859" s="234"/>
      <c r="BE859" s="234"/>
      <c r="BF859" s="234"/>
      <c r="BG859" s="234"/>
      <c r="BH859" s="234"/>
      <c r="BI859" s="234"/>
      <c r="BJ859" s="234"/>
      <c r="BK859" s="234"/>
      <c r="BL859" s="234"/>
      <c r="BM859" s="234"/>
      <c r="BN859" s="234"/>
      <c r="BO859" s="234"/>
    </row>
    <row r="860" spans="1:67" ht="24" customHeight="1" x14ac:dyDescent="0.25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  <c r="AC860" s="234"/>
      <c r="AD860" s="234"/>
      <c r="AE860" s="234"/>
      <c r="AF860" s="234"/>
      <c r="AG860" s="234"/>
      <c r="AH860" s="234"/>
      <c r="AI860" s="234"/>
      <c r="AJ860" s="234"/>
      <c r="AK860" s="234"/>
      <c r="AL860" s="234"/>
      <c r="AM860" s="234"/>
      <c r="AN860" s="234"/>
      <c r="AO860" s="234"/>
      <c r="AP860" s="234"/>
      <c r="AQ860" s="234"/>
      <c r="AR860" s="234"/>
      <c r="AS860" s="234"/>
      <c r="AT860" s="234"/>
      <c r="AU860" s="234"/>
      <c r="AV860" s="234"/>
      <c r="AW860" s="234"/>
      <c r="AX860" s="234"/>
      <c r="AY860" s="234"/>
      <c r="AZ860" s="234"/>
      <c r="BA860" s="234"/>
      <c r="BB860" s="234"/>
      <c r="BC860" s="234"/>
      <c r="BD860" s="234"/>
      <c r="BE860" s="234"/>
      <c r="BF860" s="234"/>
      <c r="BG860" s="234"/>
      <c r="BH860" s="234"/>
      <c r="BI860" s="234"/>
      <c r="BJ860" s="234"/>
      <c r="BK860" s="234"/>
      <c r="BL860" s="234"/>
      <c r="BM860" s="234"/>
      <c r="BN860" s="234"/>
      <c r="BO860" s="234"/>
    </row>
    <row r="861" spans="1:67" ht="24" customHeight="1" x14ac:dyDescent="0.25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  <c r="AB861" s="234"/>
      <c r="AC861" s="234"/>
      <c r="AD861" s="234"/>
      <c r="AE861" s="234"/>
      <c r="AF861" s="234"/>
      <c r="AG861" s="234"/>
      <c r="AH861" s="234"/>
      <c r="AI861" s="234"/>
      <c r="AJ861" s="234"/>
      <c r="AK861" s="234"/>
      <c r="AL861" s="234"/>
      <c r="AM861" s="234"/>
      <c r="AN861" s="234"/>
      <c r="AO861" s="234"/>
      <c r="AP861" s="234"/>
      <c r="AQ861" s="234"/>
      <c r="AR861" s="234"/>
      <c r="AS861" s="234"/>
      <c r="AT861" s="234"/>
      <c r="AU861" s="234"/>
      <c r="AV861" s="234"/>
      <c r="AW861" s="234"/>
      <c r="AX861" s="234"/>
      <c r="AY861" s="234"/>
      <c r="AZ861" s="234"/>
      <c r="BA861" s="234"/>
      <c r="BB861" s="234"/>
      <c r="BC861" s="234"/>
      <c r="BD861" s="234"/>
      <c r="BE861" s="234"/>
      <c r="BF861" s="234"/>
      <c r="BG861" s="234"/>
      <c r="BH861" s="234"/>
      <c r="BI861" s="234"/>
      <c r="BJ861" s="234"/>
      <c r="BK861" s="234"/>
      <c r="BL861" s="234"/>
      <c r="BM861" s="234"/>
      <c r="BN861" s="234"/>
      <c r="BO861" s="234"/>
    </row>
    <row r="862" spans="1:67" ht="24" customHeight="1" x14ac:dyDescent="0.25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  <c r="AB862" s="234"/>
      <c r="AC862" s="234"/>
      <c r="AD862" s="234"/>
      <c r="AE862" s="234"/>
      <c r="AF862" s="234"/>
      <c r="AG862" s="234"/>
      <c r="AH862" s="234"/>
      <c r="AI862" s="234"/>
      <c r="AJ862" s="234"/>
      <c r="AK862" s="234"/>
      <c r="AL862" s="234"/>
      <c r="AM862" s="234"/>
      <c r="AN862" s="234"/>
      <c r="AO862" s="234"/>
      <c r="AP862" s="234"/>
      <c r="AQ862" s="234"/>
      <c r="AR862" s="234"/>
      <c r="AS862" s="234"/>
      <c r="AT862" s="234"/>
      <c r="AU862" s="234"/>
      <c r="AV862" s="234"/>
      <c r="AW862" s="234"/>
      <c r="AX862" s="234"/>
      <c r="AY862" s="234"/>
      <c r="AZ862" s="234"/>
      <c r="BA862" s="234"/>
      <c r="BB862" s="234"/>
      <c r="BC862" s="234"/>
      <c r="BD862" s="234"/>
      <c r="BE862" s="234"/>
      <c r="BF862" s="234"/>
      <c r="BG862" s="234"/>
      <c r="BH862" s="234"/>
      <c r="BI862" s="234"/>
      <c r="BJ862" s="234"/>
      <c r="BK862" s="234"/>
      <c r="BL862" s="234"/>
      <c r="BM862" s="234"/>
      <c r="BN862" s="234"/>
      <c r="BO862" s="234"/>
    </row>
    <row r="863" spans="1:67" ht="24" customHeight="1" x14ac:dyDescent="0.25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  <c r="AB863" s="234"/>
      <c r="AC863" s="234"/>
      <c r="AD863" s="234"/>
      <c r="AE863" s="234"/>
      <c r="AF863" s="234"/>
      <c r="AG863" s="234"/>
      <c r="AH863" s="234"/>
      <c r="AI863" s="234"/>
      <c r="AJ863" s="234"/>
      <c r="AK863" s="234"/>
      <c r="AL863" s="234"/>
      <c r="AM863" s="234"/>
      <c r="AN863" s="234"/>
      <c r="AO863" s="234"/>
      <c r="AP863" s="234"/>
      <c r="AQ863" s="234"/>
      <c r="AR863" s="234"/>
      <c r="AS863" s="234"/>
      <c r="AT863" s="234"/>
      <c r="AU863" s="234"/>
      <c r="AV863" s="234"/>
      <c r="AW863" s="234"/>
      <c r="AX863" s="234"/>
      <c r="AY863" s="234"/>
      <c r="AZ863" s="234"/>
      <c r="BA863" s="234"/>
      <c r="BB863" s="234"/>
      <c r="BC863" s="234"/>
      <c r="BD863" s="234"/>
      <c r="BE863" s="234"/>
      <c r="BF863" s="234"/>
      <c r="BG863" s="234"/>
      <c r="BH863" s="234"/>
      <c r="BI863" s="234"/>
      <c r="BJ863" s="234"/>
      <c r="BK863" s="234"/>
      <c r="BL863" s="234"/>
      <c r="BM863" s="234"/>
      <c r="BN863" s="234"/>
      <c r="BO863" s="234"/>
    </row>
    <row r="864" spans="1:67" ht="24" customHeight="1" x14ac:dyDescent="0.25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  <c r="AB864" s="234"/>
      <c r="AC864" s="234"/>
      <c r="AD864" s="234"/>
      <c r="AE864" s="234"/>
      <c r="AF864" s="234"/>
      <c r="AG864" s="234"/>
      <c r="AH864" s="234"/>
      <c r="AI864" s="234"/>
      <c r="AJ864" s="234"/>
      <c r="AK864" s="234"/>
      <c r="AL864" s="234"/>
      <c r="AM864" s="234"/>
      <c r="AN864" s="234"/>
      <c r="AO864" s="234"/>
      <c r="AP864" s="234"/>
      <c r="AQ864" s="234"/>
      <c r="AR864" s="234"/>
      <c r="AS864" s="234"/>
      <c r="AT864" s="234"/>
      <c r="AU864" s="234"/>
      <c r="AV864" s="234"/>
      <c r="AW864" s="234"/>
      <c r="AX864" s="234"/>
      <c r="AY864" s="234"/>
      <c r="AZ864" s="234"/>
      <c r="BA864" s="234"/>
      <c r="BB864" s="234"/>
      <c r="BC864" s="234"/>
      <c r="BD864" s="234"/>
      <c r="BE864" s="234"/>
      <c r="BF864" s="234"/>
      <c r="BG864" s="234"/>
      <c r="BH864" s="234"/>
      <c r="BI864" s="234"/>
      <c r="BJ864" s="234"/>
      <c r="BK864" s="234"/>
      <c r="BL864" s="234"/>
      <c r="BM864" s="234"/>
      <c r="BN864" s="234"/>
      <c r="BO864" s="234"/>
    </row>
    <row r="865" spans="1:67" ht="24" customHeight="1" x14ac:dyDescent="0.2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  <c r="AB865" s="234"/>
      <c r="AC865" s="234"/>
      <c r="AD865" s="234"/>
      <c r="AE865" s="234"/>
      <c r="AF865" s="234"/>
      <c r="AG865" s="234"/>
      <c r="AH865" s="234"/>
      <c r="AI865" s="234"/>
      <c r="AJ865" s="234"/>
      <c r="AK865" s="234"/>
      <c r="AL865" s="234"/>
      <c r="AM865" s="234"/>
      <c r="AN865" s="234"/>
      <c r="AO865" s="234"/>
      <c r="AP865" s="234"/>
      <c r="AQ865" s="234"/>
      <c r="AR865" s="234"/>
      <c r="AS865" s="234"/>
      <c r="AT865" s="234"/>
      <c r="AU865" s="234"/>
      <c r="AV865" s="234"/>
      <c r="AW865" s="234"/>
      <c r="AX865" s="234"/>
      <c r="AY865" s="234"/>
      <c r="AZ865" s="234"/>
      <c r="BA865" s="234"/>
      <c r="BB865" s="234"/>
      <c r="BC865" s="234"/>
      <c r="BD865" s="234"/>
      <c r="BE865" s="234"/>
      <c r="BF865" s="234"/>
      <c r="BG865" s="234"/>
      <c r="BH865" s="234"/>
      <c r="BI865" s="234"/>
      <c r="BJ865" s="234"/>
      <c r="BK865" s="234"/>
      <c r="BL865" s="234"/>
      <c r="BM865" s="234"/>
      <c r="BN865" s="234"/>
      <c r="BO865" s="234"/>
    </row>
    <row r="866" spans="1:67" ht="24" customHeight="1" x14ac:dyDescent="0.25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  <c r="AB866" s="234"/>
      <c r="AC866" s="234"/>
      <c r="AD866" s="234"/>
      <c r="AE866" s="234"/>
      <c r="AF866" s="234"/>
      <c r="AG866" s="234"/>
      <c r="AH866" s="234"/>
      <c r="AI866" s="234"/>
      <c r="AJ866" s="234"/>
      <c r="AK866" s="234"/>
      <c r="AL866" s="234"/>
      <c r="AM866" s="234"/>
      <c r="AN866" s="234"/>
      <c r="AO866" s="234"/>
      <c r="AP866" s="234"/>
      <c r="AQ866" s="234"/>
      <c r="AR866" s="234"/>
      <c r="AS866" s="234"/>
      <c r="AT866" s="234"/>
      <c r="AU866" s="234"/>
      <c r="AV866" s="234"/>
      <c r="AW866" s="234"/>
      <c r="AX866" s="234"/>
      <c r="AY866" s="234"/>
      <c r="AZ866" s="234"/>
      <c r="BA866" s="234"/>
      <c r="BB866" s="234"/>
      <c r="BC866" s="234"/>
      <c r="BD866" s="234"/>
      <c r="BE866" s="234"/>
      <c r="BF866" s="234"/>
      <c r="BG866" s="234"/>
      <c r="BH866" s="234"/>
      <c r="BI866" s="234"/>
      <c r="BJ866" s="234"/>
      <c r="BK866" s="234"/>
      <c r="BL866" s="234"/>
      <c r="BM866" s="234"/>
      <c r="BN866" s="234"/>
      <c r="BO866" s="234"/>
    </row>
    <row r="867" spans="1:67" ht="24" customHeight="1" x14ac:dyDescent="0.25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  <c r="AB867" s="234"/>
      <c r="AC867" s="234"/>
      <c r="AD867" s="234"/>
      <c r="AE867" s="234"/>
      <c r="AF867" s="234"/>
      <c r="AG867" s="234"/>
      <c r="AH867" s="234"/>
      <c r="AI867" s="234"/>
      <c r="AJ867" s="234"/>
      <c r="AK867" s="234"/>
      <c r="AL867" s="234"/>
      <c r="AM867" s="234"/>
      <c r="AN867" s="234"/>
      <c r="AO867" s="234"/>
      <c r="AP867" s="234"/>
      <c r="AQ867" s="234"/>
      <c r="AR867" s="234"/>
      <c r="AS867" s="234"/>
      <c r="AT867" s="234"/>
      <c r="AU867" s="234"/>
      <c r="AV867" s="234"/>
      <c r="AW867" s="234"/>
      <c r="AX867" s="234"/>
      <c r="AY867" s="234"/>
      <c r="AZ867" s="234"/>
      <c r="BA867" s="234"/>
      <c r="BB867" s="234"/>
      <c r="BC867" s="234"/>
      <c r="BD867" s="234"/>
      <c r="BE867" s="234"/>
      <c r="BF867" s="234"/>
      <c r="BG867" s="234"/>
      <c r="BH867" s="234"/>
      <c r="BI867" s="234"/>
      <c r="BJ867" s="234"/>
      <c r="BK867" s="234"/>
      <c r="BL867" s="234"/>
      <c r="BM867" s="234"/>
      <c r="BN867" s="234"/>
      <c r="BO867" s="234"/>
    </row>
    <row r="868" spans="1:67" ht="24" customHeight="1" x14ac:dyDescent="0.25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  <c r="AB868" s="234"/>
      <c r="AC868" s="234"/>
      <c r="AD868" s="234"/>
      <c r="AE868" s="234"/>
      <c r="AF868" s="234"/>
      <c r="AG868" s="234"/>
      <c r="AH868" s="234"/>
      <c r="AI868" s="234"/>
      <c r="AJ868" s="234"/>
      <c r="AK868" s="234"/>
      <c r="AL868" s="234"/>
      <c r="AM868" s="234"/>
      <c r="AN868" s="234"/>
      <c r="AO868" s="234"/>
      <c r="AP868" s="234"/>
      <c r="AQ868" s="234"/>
      <c r="AR868" s="234"/>
      <c r="AS868" s="234"/>
      <c r="AT868" s="234"/>
      <c r="AU868" s="234"/>
      <c r="AV868" s="234"/>
      <c r="AW868" s="234"/>
      <c r="AX868" s="234"/>
      <c r="AY868" s="234"/>
      <c r="AZ868" s="234"/>
      <c r="BA868" s="234"/>
      <c r="BB868" s="234"/>
      <c r="BC868" s="234"/>
      <c r="BD868" s="234"/>
      <c r="BE868" s="234"/>
      <c r="BF868" s="234"/>
      <c r="BG868" s="234"/>
      <c r="BH868" s="234"/>
      <c r="BI868" s="234"/>
      <c r="BJ868" s="234"/>
      <c r="BK868" s="234"/>
      <c r="BL868" s="234"/>
      <c r="BM868" s="234"/>
      <c r="BN868" s="234"/>
      <c r="BO868" s="234"/>
    </row>
    <row r="869" spans="1:67" ht="24" customHeight="1" x14ac:dyDescent="0.25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  <c r="AB869" s="234"/>
      <c r="AC869" s="234"/>
      <c r="AD869" s="234"/>
      <c r="AE869" s="234"/>
      <c r="AF869" s="234"/>
      <c r="AG869" s="234"/>
      <c r="AH869" s="234"/>
      <c r="AI869" s="234"/>
      <c r="AJ869" s="234"/>
      <c r="AK869" s="234"/>
      <c r="AL869" s="234"/>
      <c r="AM869" s="234"/>
      <c r="AN869" s="234"/>
      <c r="AO869" s="234"/>
      <c r="AP869" s="234"/>
      <c r="AQ869" s="234"/>
      <c r="AR869" s="234"/>
      <c r="AS869" s="234"/>
      <c r="AT869" s="234"/>
      <c r="AU869" s="234"/>
      <c r="AV869" s="234"/>
      <c r="AW869" s="234"/>
      <c r="AX869" s="234"/>
      <c r="AY869" s="234"/>
      <c r="AZ869" s="234"/>
      <c r="BA869" s="234"/>
      <c r="BB869" s="234"/>
      <c r="BC869" s="234"/>
      <c r="BD869" s="234"/>
      <c r="BE869" s="234"/>
      <c r="BF869" s="234"/>
      <c r="BG869" s="234"/>
      <c r="BH869" s="234"/>
      <c r="BI869" s="234"/>
      <c r="BJ869" s="234"/>
      <c r="BK869" s="234"/>
      <c r="BL869" s="234"/>
      <c r="BM869" s="234"/>
      <c r="BN869" s="234"/>
      <c r="BO869" s="234"/>
    </row>
    <row r="870" spans="1:67" ht="24" customHeight="1" x14ac:dyDescent="0.25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  <c r="AB870" s="234"/>
      <c r="AC870" s="234"/>
      <c r="AD870" s="234"/>
      <c r="AE870" s="234"/>
      <c r="AF870" s="234"/>
      <c r="AG870" s="234"/>
      <c r="AH870" s="234"/>
      <c r="AI870" s="234"/>
      <c r="AJ870" s="234"/>
      <c r="AK870" s="234"/>
      <c r="AL870" s="234"/>
      <c r="AM870" s="234"/>
      <c r="AN870" s="234"/>
      <c r="AO870" s="234"/>
      <c r="AP870" s="234"/>
      <c r="AQ870" s="234"/>
      <c r="AR870" s="234"/>
      <c r="AS870" s="234"/>
      <c r="AT870" s="234"/>
      <c r="AU870" s="234"/>
      <c r="AV870" s="234"/>
      <c r="AW870" s="234"/>
      <c r="AX870" s="234"/>
      <c r="AY870" s="234"/>
      <c r="AZ870" s="234"/>
      <c r="BA870" s="234"/>
      <c r="BB870" s="234"/>
      <c r="BC870" s="234"/>
      <c r="BD870" s="234"/>
      <c r="BE870" s="234"/>
      <c r="BF870" s="234"/>
      <c r="BG870" s="234"/>
      <c r="BH870" s="234"/>
      <c r="BI870" s="234"/>
      <c r="BJ870" s="234"/>
      <c r="BK870" s="234"/>
      <c r="BL870" s="234"/>
      <c r="BM870" s="234"/>
      <c r="BN870" s="234"/>
      <c r="BO870" s="234"/>
    </row>
    <row r="871" spans="1:67" ht="24" customHeight="1" x14ac:dyDescent="0.25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  <c r="AB871" s="234"/>
      <c r="AC871" s="234"/>
      <c r="AD871" s="234"/>
      <c r="AE871" s="234"/>
      <c r="AF871" s="234"/>
      <c r="AG871" s="234"/>
      <c r="AH871" s="234"/>
      <c r="AI871" s="234"/>
      <c r="AJ871" s="234"/>
      <c r="AK871" s="234"/>
      <c r="AL871" s="234"/>
      <c r="AM871" s="234"/>
      <c r="AN871" s="234"/>
      <c r="AO871" s="234"/>
      <c r="AP871" s="234"/>
      <c r="AQ871" s="234"/>
      <c r="AR871" s="234"/>
      <c r="AS871" s="234"/>
      <c r="AT871" s="234"/>
      <c r="AU871" s="234"/>
      <c r="AV871" s="234"/>
      <c r="AW871" s="234"/>
      <c r="AX871" s="234"/>
      <c r="AY871" s="234"/>
      <c r="AZ871" s="234"/>
      <c r="BA871" s="234"/>
      <c r="BB871" s="234"/>
      <c r="BC871" s="234"/>
      <c r="BD871" s="234"/>
      <c r="BE871" s="234"/>
      <c r="BF871" s="234"/>
      <c r="BG871" s="234"/>
      <c r="BH871" s="234"/>
      <c r="BI871" s="234"/>
      <c r="BJ871" s="234"/>
      <c r="BK871" s="234"/>
      <c r="BL871" s="234"/>
      <c r="BM871" s="234"/>
      <c r="BN871" s="234"/>
      <c r="BO871" s="234"/>
    </row>
    <row r="872" spans="1:67" ht="24" customHeight="1" x14ac:dyDescent="0.25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  <c r="AB872" s="234"/>
      <c r="AC872" s="234"/>
      <c r="AD872" s="234"/>
      <c r="AE872" s="234"/>
      <c r="AF872" s="234"/>
      <c r="AG872" s="234"/>
      <c r="AH872" s="234"/>
      <c r="AI872" s="234"/>
      <c r="AJ872" s="234"/>
      <c r="AK872" s="234"/>
      <c r="AL872" s="234"/>
      <c r="AM872" s="234"/>
      <c r="AN872" s="234"/>
      <c r="AO872" s="234"/>
      <c r="AP872" s="234"/>
      <c r="AQ872" s="234"/>
      <c r="AR872" s="234"/>
      <c r="AS872" s="234"/>
      <c r="AT872" s="234"/>
      <c r="AU872" s="234"/>
      <c r="AV872" s="234"/>
      <c r="AW872" s="234"/>
      <c r="AX872" s="234"/>
      <c r="AY872" s="234"/>
      <c r="AZ872" s="234"/>
      <c r="BA872" s="234"/>
      <c r="BB872" s="234"/>
      <c r="BC872" s="234"/>
      <c r="BD872" s="234"/>
      <c r="BE872" s="234"/>
      <c r="BF872" s="234"/>
      <c r="BG872" s="234"/>
      <c r="BH872" s="234"/>
      <c r="BI872" s="234"/>
      <c r="BJ872" s="234"/>
      <c r="BK872" s="234"/>
      <c r="BL872" s="234"/>
      <c r="BM872" s="234"/>
      <c r="BN872" s="234"/>
      <c r="BO872" s="234"/>
    </row>
    <row r="873" spans="1:67" ht="24" customHeight="1" x14ac:dyDescent="0.25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  <c r="AB873" s="234"/>
      <c r="AC873" s="234"/>
      <c r="AD873" s="234"/>
      <c r="AE873" s="234"/>
      <c r="AF873" s="234"/>
      <c r="AG873" s="234"/>
      <c r="AH873" s="234"/>
      <c r="AI873" s="234"/>
      <c r="AJ873" s="234"/>
      <c r="AK873" s="234"/>
      <c r="AL873" s="234"/>
      <c r="AM873" s="234"/>
      <c r="AN873" s="234"/>
      <c r="AO873" s="234"/>
      <c r="AP873" s="234"/>
      <c r="AQ873" s="234"/>
      <c r="AR873" s="234"/>
      <c r="AS873" s="234"/>
      <c r="AT873" s="234"/>
      <c r="AU873" s="234"/>
      <c r="AV873" s="234"/>
      <c r="AW873" s="234"/>
      <c r="AX873" s="234"/>
      <c r="AY873" s="234"/>
      <c r="AZ873" s="234"/>
      <c r="BA873" s="234"/>
      <c r="BB873" s="234"/>
      <c r="BC873" s="234"/>
      <c r="BD873" s="234"/>
      <c r="BE873" s="234"/>
      <c r="BF873" s="234"/>
      <c r="BG873" s="234"/>
      <c r="BH873" s="234"/>
      <c r="BI873" s="234"/>
      <c r="BJ873" s="234"/>
      <c r="BK873" s="234"/>
      <c r="BL873" s="234"/>
      <c r="BM873" s="234"/>
      <c r="BN873" s="234"/>
      <c r="BO873" s="234"/>
    </row>
    <row r="874" spans="1:67" ht="24" customHeight="1" x14ac:dyDescent="0.25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  <c r="AB874" s="234"/>
      <c r="AC874" s="234"/>
      <c r="AD874" s="234"/>
      <c r="AE874" s="234"/>
      <c r="AF874" s="234"/>
      <c r="AG874" s="234"/>
      <c r="AH874" s="234"/>
      <c r="AI874" s="234"/>
      <c r="AJ874" s="234"/>
      <c r="AK874" s="234"/>
      <c r="AL874" s="234"/>
      <c r="AM874" s="234"/>
      <c r="AN874" s="234"/>
      <c r="AO874" s="234"/>
      <c r="AP874" s="234"/>
      <c r="AQ874" s="234"/>
      <c r="AR874" s="234"/>
      <c r="AS874" s="234"/>
      <c r="AT874" s="234"/>
      <c r="AU874" s="234"/>
      <c r="AV874" s="234"/>
      <c r="AW874" s="234"/>
      <c r="AX874" s="234"/>
      <c r="AY874" s="234"/>
      <c r="AZ874" s="234"/>
      <c r="BA874" s="234"/>
      <c r="BB874" s="234"/>
      <c r="BC874" s="234"/>
      <c r="BD874" s="234"/>
      <c r="BE874" s="234"/>
      <c r="BF874" s="234"/>
      <c r="BG874" s="234"/>
      <c r="BH874" s="234"/>
      <c r="BI874" s="234"/>
      <c r="BJ874" s="234"/>
      <c r="BK874" s="234"/>
      <c r="BL874" s="234"/>
      <c r="BM874" s="234"/>
      <c r="BN874" s="234"/>
      <c r="BO874" s="234"/>
    </row>
    <row r="875" spans="1:67" ht="24" customHeight="1" x14ac:dyDescent="0.2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  <c r="AB875" s="234"/>
      <c r="AC875" s="234"/>
      <c r="AD875" s="234"/>
      <c r="AE875" s="234"/>
      <c r="AF875" s="234"/>
      <c r="AG875" s="234"/>
      <c r="AH875" s="234"/>
      <c r="AI875" s="234"/>
      <c r="AJ875" s="234"/>
      <c r="AK875" s="234"/>
      <c r="AL875" s="234"/>
      <c r="AM875" s="234"/>
      <c r="AN875" s="234"/>
      <c r="AO875" s="234"/>
      <c r="AP875" s="234"/>
      <c r="AQ875" s="234"/>
      <c r="AR875" s="234"/>
      <c r="AS875" s="234"/>
      <c r="AT875" s="234"/>
      <c r="AU875" s="234"/>
      <c r="AV875" s="234"/>
      <c r="AW875" s="234"/>
      <c r="AX875" s="234"/>
      <c r="AY875" s="234"/>
      <c r="AZ875" s="234"/>
      <c r="BA875" s="234"/>
      <c r="BB875" s="234"/>
      <c r="BC875" s="234"/>
      <c r="BD875" s="234"/>
      <c r="BE875" s="234"/>
      <c r="BF875" s="234"/>
      <c r="BG875" s="234"/>
      <c r="BH875" s="234"/>
      <c r="BI875" s="234"/>
      <c r="BJ875" s="234"/>
      <c r="BK875" s="234"/>
      <c r="BL875" s="234"/>
      <c r="BM875" s="234"/>
      <c r="BN875" s="234"/>
      <c r="BO875" s="234"/>
    </row>
    <row r="876" spans="1:67" ht="24" customHeight="1" x14ac:dyDescent="0.25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  <c r="AB876" s="234"/>
      <c r="AC876" s="234"/>
      <c r="AD876" s="234"/>
      <c r="AE876" s="234"/>
      <c r="AF876" s="234"/>
      <c r="AG876" s="234"/>
      <c r="AH876" s="234"/>
      <c r="AI876" s="234"/>
      <c r="AJ876" s="234"/>
      <c r="AK876" s="234"/>
      <c r="AL876" s="234"/>
      <c r="AM876" s="234"/>
      <c r="AN876" s="234"/>
      <c r="AO876" s="234"/>
      <c r="AP876" s="234"/>
      <c r="AQ876" s="234"/>
      <c r="AR876" s="234"/>
      <c r="AS876" s="234"/>
      <c r="AT876" s="234"/>
      <c r="AU876" s="234"/>
      <c r="AV876" s="234"/>
      <c r="AW876" s="234"/>
      <c r="AX876" s="234"/>
      <c r="AY876" s="234"/>
      <c r="AZ876" s="234"/>
      <c r="BA876" s="234"/>
      <c r="BB876" s="234"/>
      <c r="BC876" s="234"/>
      <c r="BD876" s="234"/>
      <c r="BE876" s="234"/>
      <c r="BF876" s="234"/>
      <c r="BG876" s="234"/>
      <c r="BH876" s="234"/>
      <c r="BI876" s="234"/>
      <c r="BJ876" s="234"/>
      <c r="BK876" s="234"/>
      <c r="BL876" s="234"/>
      <c r="BM876" s="234"/>
      <c r="BN876" s="234"/>
      <c r="BO876" s="234"/>
    </row>
    <row r="877" spans="1:67" ht="24" customHeight="1" x14ac:dyDescent="0.25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  <c r="AB877" s="234"/>
      <c r="AC877" s="234"/>
      <c r="AD877" s="234"/>
      <c r="AE877" s="234"/>
      <c r="AF877" s="234"/>
      <c r="AG877" s="234"/>
      <c r="AH877" s="234"/>
      <c r="AI877" s="234"/>
      <c r="AJ877" s="234"/>
      <c r="AK877" s="234"/>
      <c r="AL877" s="234"/>
      <c r="AM877" s="234"/>
      <c r="AN877" s="234"/>
      <c r="AO877" s="234"/>
      <c r="AP877" s="234"/>
      <c r="AQ877" s="234"/>
      <c r="AR877" s="234"/>
      <c r="AS877" s="234"/>
      <c r="AT877" s="234"/>
      <c r="AU877" s="234"/>
      <c r="AV877" s="234"/>
      <c r="AW877" s="234"/>
      <c r="AX877" s="234"/>
      <c r="AY877" s="234"/>
      <c r="AZ877" s="234"/>
      <c r="BA877" s="234"/>
      <c r="BB877" s="234"/>
      <c r="BC877" s="234"/>
      <c r="BD877" s="234"/>
      <c r="BE877" s="234"/>
      <c r="BF877" s="234"/>
      <c r="BG877" s="234"/>
      <c r="BH877" s="234"/>
      <c r="BI877" s="234"/>
      <c r="BJ877" s="234"/>
      <c r="BK877" s="234"/>
      <c r="BL877" s="234"/>
      <c r="BM877" s="234"/>
      <c r="BN877" s="234"/>
      <c r="BO877" s="234"/>
    </row>
    <row r="878" spans="1:67" ht="24" customHeight="1" x14ac:dyDescent="0.25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  <c r="AB878" s="234"/>
      <c r="AC878" s="234"/>
      <c r="AD878" s="234"/>
      <c r="AE878" s="234"/>
      <c r="AF878" s="234"/>
      <c r="AG878" s="234"/>
      <c r="AH878" s="234"/>
      <c r="AI878" s="234"/>
      <c r="AJ878" s="234"/>
      <c r="AK878" s="234"/>
      <c r="AL878" s="234"/>
      <c r="AM878" s="234"/>
      <c r="AN878" s="234"/>
      <c r="AO878" s="234"/>
      <c r="AP878" s="234"/>
      <c r="AQ878" s="234"/>
      <c r="AR878" s="234"/>
      <c r="AS878" s="234"/>
      <c r="AT878" s="234"/>
      <c r="AU878" s="234"/>
      <c r="AV878" s="234"/>
      <c r="AW878" s="234"/>
      <c r="AX878" s="234"/>
      <c r="AY878" s="234"/>
      <c r="AZ878" s="234"/>
      <c r="BA878" s="234"/>
      <c r="BB878" s="234"/>
      <c r="BC878" s="234"/>
      <c r="BD878" s="234"/>
      <c r="BE878" s="234"/>
      <c r="BF878" s="234"/>
      <c r="BG878" s="234"/>
      <c r="BH878" s="234"/>
      <c r="BI878" s="234"/>
      <c r="BJ878" s="234"/>
      <c r="BK878" s="234"/>
      <c r="BL878" s="234"/>
      <c r="BM878" s="234"/>
      <c r="BN878" s="234"/>
      <c r="BO878" s="234"/>
    </row>
    <row r="879" spans="1:67" ht="24" customHeight="1" x14ac:dyDescent="0.25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  <c r="AB879" s="234"/>
      <c r="AC879" s="234"/>
      <c r="AD879" s="234"/>
      <c r="AE879" s="234"/>
      <c r="AF879" s="234"/>
      <c r="AG879" s="234"/>
      <c r="AH879" s="234"/>
      <c r="AI879" s="234"/>
      <c r="AJ879" s="234"/>
      <c r="AK879" s="234"/>
      <c r="AL879" s="234"/>
      <c r="AM879" s="234"/>
      <c r="AN879" s="234"/>
      <c r="AO879" s="234"/>
      <c r="AP879" s="234"/>
      <c r="AQ879" s="234"/>
      <c r="AR879" s="234"/>
      <c r="AS879" s="234"/>
      <c r="AT879" s="234"/>
      <c r="AU879" s="234"/>
      <c r="AV879" s="234"/>
      <c r="AW879" s="234"/>
      <c r="AX879" s="234"/>
      <c r="AY879" s="234"/>
      <c r="AZ879" s="234"/>
      <c r="BA879" s="234"/>
      <c r="BB879" s="234"/>
      <c r="BC879" s="234"/>
      <c r="BD879" s="234"/>
      <c r="BE879" s="234"/>
      <c r="BF879" s="234"/>
      <c r="BG879" s="234"/>
      <c r="BH879" s="234"/>
      <c r="BI879" s="234"/>
      <c r="BJ879" s="234"/>
      <c r="BK879" s="234"/>
      <c r="BL879" s="234"/>
      <c r="BM879" s="234"/>
      <c r="BN879" s="234"/>
      <c r="BO879" s="234"/>
    </row>
    <row r="880" spans="1:67" ht="24" customHeight="1" x14ac:dyDescent="0.25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  <c r="AB880" s="234"/>
      <c r="AC880" s="234"/>
      <c r="AD880" s="234"/>
      <c r="AE880" s="234"/>
      <c r="AF880" s="234"/>
      <c r="AG880" s="234"/>
      <c r="AH880" s="234"/>
      <c r="AI880" s="234"/>
      <c r="AJ880" s="234"/>
      <c r="AK880" s="234"/>
      <c r="AL880" s="234"/>
      <c r="AM880" s="234"/>
      <c r="AN880" s="234"/>
      <c r="AO880" s="234"/>
      <c r="AP880" s="234"/>
      <c r="AQ880" s="234"/>
      <c r="AR880" s="234"/>
      <c r="AS880" s="234"/>
      <c r="AT880" s="234"/>
      <c r="AU880" s="234"/>
      <c r="AV880" s="234"/>
      <c r="AW880" s="234"/>
      <c r="AX880" s="234"/>
      <c r="AY880" s="234"/>
      <c r="AZ880" s="234"/>
      <c r="BA880" s="234"/>
      <c r="BB880" s="234"/>
      <c r="BC880" s="234"/>
      <c r="BD880" s="234"/>
      <c r="BE880" s="234"/>
      <c r="BF880" s="234"/>
      <c r="BG880" s="234"/>
      <c r="BH880" s="234"/>
      <c r="BI880" s="234"/>
      <c r="BJ880" s="234"/>
      <c r="BK880" s="234"/>
      <c r="BL880" s="234"/>
      <c r="BM880" s="234"/>
      <c r="BN880" s="234"/>
      <c r="BO880" s="234"/>
    </row>
    <row r="881" spans="1:67" ht="24" customHeight="1" x14ac:dyDescent="0.25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  <c r="AB881" s="234"/>
      <c r="AC881" s="234"/>
      <c r="AD881" s="234"/>
      <c r="AE881" s="234"/>
      <c r="AF881" s="234"/>
      <c r="AG881" s="234"/>
      <c r="AH881" s="234"/>
      <c r="AI881" s="234"/>
      <c r="AJ881" s="234"/>
      <c r="AK881" s="234"/>
      <c r="AL881" s="234"/>
      <c r="AM881" s="234"/>
      <c r="AN881" s="234"/>
      <c r="AO881" s="234"/>
      <c r="AP881" s="234"/>
      <c r="AQ881" s="234"/>
      <c r="AR881" s="234"/>
      <c r="AS881" s="234"/>
      <c r="AT881" s="234"/>
      <c r="AU881" s="234"/>
      <c r="AV881" s="234"/>
      <c r="AW881" s="234"/>
      <c r="AX881" s="234"/>
      <c r="AY881" s="234"/>
      <c r="AZ881" s="234"/>
      <c r="BA881" s="234"/>
      <c r="BB881" s="234"/>
      <c r="BC881" s="234"/>
      <c r="BD881" s="234"/>
      <c r="BE881" s="234"/>
      <c r="BF881" s="234"/>
      <c r="BG881" s="234"/>
      <c r="BH881" s="234"/>
      <c r="BI881" s="234"/>
      <c r="BJ881" s="234"/>
      <c r="BK881" s="234"/>
      <c r="BL881" s="234"/>
      <c r="BM881" s="234"/>
      <c r="BN881" s="234"/>
      <c r="BO881" s="234"/>
    </row>
    <row r="882" spans="1:67" ht="24" customHeight="1" x14ac:dyDescent="0.25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  <c r="AB882" s="234"/>
      <c r="AC882" s="234"/>
      <c r="AD882" s="234"/>
      <c r="AE882" s="234"/>
      <c r="AF882" s="234"/>
      <c r="AG882" s="234"/>
      <c r="AH882" s="234"/>
      <c r="AI882" s="234"/>
      <c r="AJ882" s="234"/>
      <c r="AK882" s="234"/>
      <c r="AL882" s="234"/>
      <c r="AM882" s="234"/>
      <c r="AN882" s="234"/>
      <c r="AO882" s="234"/>
      <c r="AP882" s="234"/>
      <c r="AQ882" s="234"/>
      <c r="AR882" s="234"/>
      <c r="AS882" s="234"/>
      <c r="AT882" s="234"/>
      <c r="AU882" s="234"/>
      <c r="AV882" s="234"/>
      <c r="AW882" s="234"/>
      <c r="AX882" s="234"/>
      <c r="AY882" s="234"/>
      <c r="AZ882" s="234"/>
      <c r="BA882" s="234"/>
      <c r="BB882" s="234"/>
      <c r="BC882" s="234"/>
      <c r="BD882" s="234"/>
      <c r="BE882" s="234"/>
      <c r="BF882" s="234"/>
      <c r="BG882" s="234"/>
      <c r="BH882" s="234"/>
      <c r="BI882" s="234"/>
      <c r="BJ882" s="234"/>
      <c r="BK882" s="234"/>
      <c r="BL882" s="234"/>
      <c r="BM882" s="234"/>
      <c r="BN882" s="234"/>
      <c r="BO882" s="234"/>
    </row>
    <row r="883" spans="1:67" ht="24" customHeight="1" x14ac:dyDescent="0.25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  <c r="AB883" s="234"/>
      <c r="AC883" s="234"/>
      <c r="AD883" s="234"/>
      <c r="AE883" s="234"/>
      <c r="AF883" s="234"/>
      <c r="AG883" s="234"/>
      <c r="AH883" s="234"/>
      <c r="AI883" s="234"/>
      <c r="AJ883" s="234"/>
      <c r="AK883" s="234"/>
      <c r="AL883" s="234"/>
      <c r="AM883" s="234"/>
      <c r="AN883" s="234"/>
      <c r="AO883" s="234"/>
      <c r="AP883" s="234"/>
      <c r="AQ883" s="234"/>
      <c r="AR883" s="234"/>
      <c r="AS883" s="234"/>
      <c r="AT883" s="234"/>
      <c r="AU883" s="234"/>
      <c r="AV883" s="234"/>
      <c r="AW883" s="234"/>
      <c r="AX883" s="234"/>
      <c r="AY883" s="234"/>
      <c r="AZ883" s="234"/>
      <c r="BA883" s="234"/>
      <c r="BB883" s="234"/>
      <c r="BC883" s="234"/>
      <c r="BD883" s="234"/>
      <c r="BE883" s="234"/>
      <c r="BF883" s="234"/>
      <c r="BG883" s="234"/>
      <c r="BH883" s="234"/>
      <c r="BI883" s="234"/>
      <c r="BJ883" s="234"/>
      <c r="BK883" s="234"/>
      <c r="BL883" s="234"/>
      <c r="BM883" s="234"/>
      <c r="BN883" s="234"/>
      <c r="BO883" s="234"/>
    </row>
    <row r="884" spans="1:67" ht="24" customHeight="1" x14ac:dyDescent="0.25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  <c r="AB884" s="234"/>
      <c r="AC884" s="234"/>
      <c r="AD884" s="234"/>
      <c r="AE884" s="234"/>
      <c r="AF884" s="234"/>
      <c r="AG884" s="234"/>
      <c r="AH884" s="234"/>
      <c r="AI884" s="234"/>
      <c r="AJ884" s="234"/>
      <c r="AK884" s="234"/>
      <c r="AL884" s="234"/>
      <c r="AM884" s="234"/>
      <c r="AN884" s="234"/>
      <c r="AO884" s="234"/>
      <c r="AP884" s="234"/>
      <c r="AQ884" s="234"/>
      <c r="AR884" s="234"/>
      <c r="AS884" s="234"/>
      <c r="AT884" s="234"/>
      <c r="AU884" s="234"/>
      <c r="AV884" s="234"/>
      <c r="AW884" s="234"/>
      <c r="AX884" s="234"/>
      <c r="AY884" s="234"/>
      <c r="AZ884" s="234"/>
      <c r="BA884" s="234"/>
      <c r="BB884" s="234"/>
      <c r="BC884" s="234"/>
      <c r="BD884" s="234"/>
      <c r="BE884" s="234"/>
      <c r="BF884" s="234"/>
      <c r="BG884" s="234"/>
      <c r="BH884" s="234"/>
      <c r="BI884" s="234"/>
      <c r="BJ884" s="234"/>
      <c r="BK884" s="234"/>
      <c r="BL884" s="234"/>
      <c r="BM884" s="234"/>
      <c r="BN884" s="234"/>
      <c r="BO884" s="234"/>
    </row>
    <row r="885" spans="1:67" ht="24" customHeight="1" x14ac:dyDescent="0.2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  <c r="AB885" s="234"/>
      <c r="AC885" s="234"/>
      <c r="AD885" s="234"/>
      <c r="AE885" s="234"/>
      <c r="AF885" s="234"/>
      <c r="AG885" s="234"/>
      <c r="AH885" s="234"/>
      <c r="AI885" s="234"/>
      <c r="AJ885" s="234"/>
      <c r="AK885" s="234"/>
      <c r="AL885" s="234"/>
      <c r="AM885" s="234"/>
      <c r="AN885" s="234"/>
      <c r="AO885" s="234"/>
      <c r="AP885" s="234"/>
      <c r="AQ885" s="234"/>
      <c r="AR885" s="234"/>
      <c r="AS885" s="234"/>
      <c r="AT885" s="234"/>
      <c r="AU885" s="234"/>
      <c r="AV885" s="234"/>
      <c r="AW885" s="234"/>
      <c r="AX885" s="234"/>
      <c r="AY885" s="234"/>
      <c r="AZ885" s="234"/>
      <c r="BA885" s="234"/>
      <c r="BB885" s="234"/>
      <c r="BC885" s="234"/>
      <c r="BD885" s="234"/>
      <c r="BE885" s="234"/>
      <c r="BF885" s="234"/>
      <c r="BG885" s="234"/>
      <c r="BH885" s="234"/>
      <c r="BI885" s="234"/>
      <c r="BJ885" s="234"/>
      <c r="BK885" s="234"/>
      <c r="BL885" s="234"/>
      <c r="BM885" s="234"/>
      <c r="BN885" s="234"/>
      <c r="BO885" s="234"/>
    </row>
    <row r="886" spans="1:67" ht="24" customHeight="1" x14ac:dyDescent="0.25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  <c r="AB886" s="234"/>
      <c r="AC886" s="234"/>
      <c r="AD886" s="234"/>
      <c r="AE886" s="234"/>
      <c r="AF886" s="234"/>
      <c r="AG886" s="234"/>
      <c r="AH886" s="234"/>
      <c r="AI886" s="234"/>
      <c r="AJ886" s="234"/>
      <c r="AK886" s="234"/>
      <c r="AL886" s="234"/>
      <c r="AM886" s="234"/>
      <c r="AN886" s="234"/>
      <c r="AO886" s="234"/>
      <c r="AP886" s="234"/>
      <c r="AQ886" s="234"/>
      <c r="AR886" s="234"/>
      <c r="AS886" s="234"/>
      <c r="AT886" s="234"/>
      <c r="AU886" s="234"/>
      <c r="AV886" s="234"/>
      <c r="AW886" s="234"/>
      <c r="AX886" s="234"/>
      <c r="AY886" s="234"/>
      <c r="AZ886" s="234"/>
      <c r="BA886" s="234"/>
      <c r="BB886" s="234"/>
      <c r="BC886" s="234"/>
      <c r="BD886" s="234"/>
      <c r="BE886" s="234"/>
      <c r="BF886" s="234"/>
      <c r="BG886" s="234"/>
      <c r="BH886" s="234"/>
      <c r="BI886" s="234"/>
      <c r="BJ886" s="234"/>
      <c r="BK886" s="234"/>
      <c r="BL886" s="234"/>
      <c r="BM886" s="234"/>
      <c r="BN886" s="234"/>
      <c r="BO886" s="234"/>
    </row>
    <row r="887" spans="1:67" ht="24" customHeight="1" x14ac:dyDescent="0.25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  <c r="AB887" s="234"/>
      <c r="AC887" s="234"/>
      <c r="AD887" s="234"/>
      <c r="AE887" s="234"/>
      <c r="AF887" s="234"/>
      <c r="AG887" s="234"/>
      <c r="AH887" s="234"/>
      <c r="AI887" s="234"/>
      <c r="AJ887" s="234"/>
      <c r="AK887" s="234"/>
      <c r="AL887" s="234"/>
      <c r="AM887" s="234"/>
      <c r="AN887" s="234"/>
      <c r="AO887" s="234"/>
      <c r="AP887" s="234"/>
      <c r="AQ887" s="234"/>
      <c r="AR887" s="234"/>
      <c r="AS887" s="234"/>
      <c r="AT887" s="234"/>
      <c r="AU887" s="234"/>
      <c r="AV887" s="234"/>
      <c r="AW887" s="234"/>
      <c r="AX887" s="234"/>
      <c r="AY887" s="234"/>
      <c r="AZ887" s="234"/>
      <c r="BA887" s="234"/>
      <c r="BB887" s="234"/>
      <c r="BC887" s="234"/>
      <c r="BD887" s="234"/>
      <c r="BE887" s="234"/>
      <c r="BF887" s="234"/>
      <c r="BG887" s="234"/>
      <c r="BH887" s="234"/>
      <c r="BI887" s="234"/>
      <c r="BJ887" s="234"/>
      <c r="BK887" s="234"/>
      <c r="BL887" s="234"/>
      <c r="BM887" s="234"/>
      <c r="BN887" s="234"/>
      <c r="BO887" s="234"/>
    </row>
    <row r="888" spans="1:67" ht="24" customHeight="1" x14ac:dyDescent="0.25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  <c r="AB888" s="234"/>
      <c r="AC888" s="234"/>
      <c r="AD888" s="234"/>
      <c r="AE888" s="234"/>
      <c r="AF888" s="234"/>
      <c r="AG888" s="234"/>
      <c r="AH888" s="234"/>
      <c r="AI888" s="234"/>
      <c r="AJ888" s="234"/>
      <c r="AK888" s="234"/>
      <c r="AL888" s="234"/>
      <c r="AM888" s="234"/>
      <c r="AN888" s="234"/>
      <c r="AO888" s="234"/>
      <c r="AP888" s="234"/>
      <c r="AQ888" s="234"/>
      <c r="AR888" s="234"/>
      <c r="AS888" s="234"/>
      <c r="AT888" s="234"/>
      <c r="AU888" s="234"/>
      <c r="AV888" s="234"/>
      <c r="AW888" s="234"/>
      <c r="AX888" s="234"/>
      <c r="AY888" s="234"/>
      <c r="AZ888" s="234"/>
      <c r="BA888" s="234"/>
      <c r="BB888" s="234"/>
      <c r="BC888" s="234"/>
      <c r="BD888" s="234"/>
      <c r="BE888" s="234"/>
      <c r="BF888" s="234"/>
      <c r="BG888" s="234"/>
      <c r="BH888" s="234"/>
      <c r="BI888" s="234"/>
      <c r="BJ888" s="234"/>
      <c r="BK888" s="234"/>
      <c r="BL888" s="234"/>
      <c r="BM888" s="234"/>
      <c r="BN888" s="234"/>
      <c r="BO888" s="234"/>
    </row>
    <row r="889" spans="1:67" ht="24" customHeight="1" x14ac:dyDescent="0.25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  <c r="AB889" s="234"/>
      <c r="AC889" s="234"/>
      <c r="AD889" s="234"/>
      <c r="AE889" s="234"/>
      <c r="AF889" s="234"/>
      <c r="AG889" s="234"/>
      <c r="AH889" s="234"/>
      <c r="AI889" s="234"/>
      <c r="AJ889" s="234"/>
      <c r="AK889" s="234"/>
      <c r="AL889" s="234"/>
      <c r="AM889" s="234"/>
      <c r="AN889" s="234"/>
      <c r="AO889" s="234"/>
      <c r="AP889" s="234"/>
      <c r="AQ889" s="234"/>
      <c r="AR889" s="234"/>
      <c r="AS889" s="234"/>
      <c r="AT889" s="234"/>
      <c r="AU889" s="234"/>
      <c r="AV889" s="234"/>
      <c r="AW889" s="234"/>
      <c r="AX889" s="234"/>
      <c r="AY889" s="234"/>
      <c r="AZ889" s="234"/>
      <c r="BA889" s="234"/>
      <c r="BB889" s="234"/>
      <c r="BC889" s="234"/>
      <c r="BD889" s="234"/>
      <c r="BE889" s="234"/>
      <c r="BF889" s="234"/>
      <c r="BG889" s="234"/>
      <c r="BH889" s="234"/>
      <c r="BI889" s="234"/>
      <c r="BJ889" s="234"/>
      <c r="BK889" s="234"/>
      <c r="BL889" s="234"/>
      <c r="BM889" s="234"/>
      <c r="BN889" s="234"/>
      <c r="BO889" s="234"/>
    </row>
    <row r="890" spans="1:67" ht="24" customHeight="1" x14ac:dyDescent="0.25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  <c r="AB890" s="234"/>
      <c r="AC890" s="234"/>
      <c r="AD890" s="234"/>
      <c r="AE890" s="234"/>
      <c r="AF890" s="234"/>
      <c r="AG890" s="234"/>
      <c r="AH890" s="234"/>
      <c r="AI890" s="234"/>
      <c r="AJ890" s="234"/>
      <c r="AK890" s="234"/>
      <c r="AL890" s="234"/>
      <c r="AM890" s="234"/>
      <c r="AN890" s="234"/>
      <c r="AO890" s="234"/>
      <c r="AP890" s="234"/>
      <c r="AQ890" s="234"/>
      <c r="AR890" s="234"/>
      <c r="AS890" s="234"/>
      <c r="AT890" s="234"/>
      <c r="AU890" s="234"/>
      <c r="AV890" s="234"/>
      <c r="AW890" s="234"/>
      <c r="AX890" s="234"/>
      <c r="AY890" s="234"/>
      <c r="AZ890" s="234"/>
      <c r="BA890" s="234"/>
      <c r="BB890" s="234"/>
      <c r="BC890" s="234"/>
      <c r="BD890" s="234"/>
      <c r="BE890" s="234"/>
      <c r="BF890" s="234"/>
      <c r="BG890" s="234"/>
      <c r="BH890" s="234"/>
      <c r="BI890" s="234"/>
      <c r="BJ890" s="234"/>
      <c r="BK890" s="234"/>
      <c r="BL890" s="234"/>
      <c r="BM890" s="234"/>
      <c r="BN890" s="234"/>
      <c r="BO890" s="234"/>
    </row>
    <row r="891" spans="1:67" ht="24" customHeight="1" x14ac:dyDescent="0.25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  <c r="AB891" s="234"/>
      <c r="AC891" s="234"/>
      <c r="AD891" s="234"/>
      <c r="AE891" s="234"/>
      <c r="AF891" s="234"/>
      <c r="AG891" s="234"/>
      <c r="AH891" s="234"/>
      <c r="AI891" s="234"/>
      <c r="AJ891" s="234"/>
      <c r="AK891" s="234"/>
      <c r="AL891" s="234"/>
      <c r="AM891" s="234"/>
      <c r="AN891" s="234"/>
      <c r="AO891" s="234"/>
      <c r="AP891" s="234"/>
      <c r="AQ891" s="234"/>
      <c r="AR891" s="234"/>
      <c r="AS891" s="234"/>
      <c r="AT891" s="234"/>
      <c r="AU891" s="234"/>
      <c r="AV891" s="234"/>
      <c r="AW891" s="234"/>
      <c r="AX891" s="234"/>
      <c r="AY891" s="234"/>
      <c r="AZ891" s="234"/>
      <c r="BA891" s="234"/>
      <c r="BB891" s="234"/>
      <c r="BC891" s="234"/>
      <c r="BD891" s="234"/>
      <c r="BE891" s="234"/>
      <c r="BF891" s="234"/>
      <c r="BG891" s="234"/>
      <c r="BH891" s="234"/>
      <c r="BI891" s="234"/>
      <c r="BJ891" s="234"/>
      <c r="BK891" s="234"/>
      <c r="BL891" s="234"/>
      <c r="BM891" s="234"/>
      <c r="BN891" s="234"/>
      <c r="BO891" s="234"/>
    </row>
    <row r="892" spans="1:67" ht="24" customHeight="1" x14ac:dyDescent="0.25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  <c r="AB892" s="234"/>
      <c r="AC892" s="234"/>
      <c r="AD892" s="234"/>
      <c r="AE892" s="234"/>
      <c r="AF892" s="234"/>
      <c r="AG892" s="234"/>
      <c r="AH892" s="234"/>
      <c r="AI892" s="234"/>
      <c r="AJ892" s="234"/>
      <c r="AK892" s="234"/>
      <c r="AL892" s="234"/>
      <c r="AM892" s="234"/>
      <c r="AN892" s="234"/>
      <c r="AO892" s="234"/>
      <c r="AP892" s="234"/>
      <c r="AQ892" s="234"/>
      <c r="AR892" s="234"/>
      <c r="AS892" s="234"/>
      <c r="AT892" s="234"/>
      <c r="AU892" s="234"/>
      <c r="AV892" s="234"/>
      <c r="AW892" s="234"/>
      <c r="AX892" s="234"/>
      <c r="AY892" s="234"/>
      <c r="AZ892" s="234"/>
      <c r="BA892" s="234"/>
      <c r="BB892" s="234"/>
      <c r="BC892" s="234"/>
      <c r="BD892" s="234"/>
      <c r="BE892" s="234"/>
      <c r="BF892" s="234"/>
      <c r="BG892" s="234"/>
      <c r="BH892" s="234"/>
      <c r="BI892" s="234"/>
      <c r="BJ892" s="234"/>
      <c r="BK892" s="234"/>
      <c r="BL892" s="234"/>
      <c r="BM892" s="234"/>
      <c r="BN892" s="234"/>
      <c r="BO892" s="234"/>
    </row>
    <row r="893" spans="1:67" ht="24" customHeight="1" x14ac:dyDescent="0.25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  <c r="AB893" s="234"/>
      <c r="AC893" s="234"/>
      <c r="AD893" s="234"/>
      <c r="AE893" s="234"/>
      <c r="AF893" s="234"/>
      <c r="AG893" s="234"/>
      <c r="AH893" s="234"/>
      <c r="AI893" s="234"/>
      <c r="AJ893" s="234"/>
      <c r="AK893" s="234"/>
      <c r="AL893" s="234"/>
      <c r="AM893" s="234"/>
      <c r="AN893" s="234"/>
      <c r="AO893" s="234"/>
      <c r="AP893" s="234"/>
      <c r="AQ893" s="234"/>
      <c r="AR893" s="234"/>
      <c r="AS893" s="234"/>
      <c r="AT893" s="234"/>
      <c r="AU893" s="234"/>
      <c r="AV893" s="234"/>
      <c r="AW893" s="234"/>
      <c r="AX893" s="234"/>
      <c r="AY893" s="234"/>
      <c r="AZ893" s="234"/>
      <c r="BA893" s="234"/>
      <c r="BB893" s="234"/>
      <c r="BC893" s="234"/>
      <c r="BD893" s="234"/>
      <c r="BE893" s="234"/>
      <c r="BF893" s="234"/>
      <c r="BG893" s="234"/>
      <c r="BH893" s="234"/>
      <c r="BI893" s="234"/>
      <c r="BJ893" s="234"/>
      <c r="BK893" s="234"/>
      <c r="BL893" s="234"/>
      <c r="BM893" s="234"/>
      <c r="BN893" s="234"/>
      <c r="BO893" s="234"/>
    </row>
    <row r="894" spans="1:67" ht="24" customHeight="1" x14ac:dyDescent="0.25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  <c r="AB894" s="234"/>
      <c r="AC894" s="234"/>
      <c r="AD894" s="234"/>
      <c r="AE894" s="234"/>
      <c r="AF894" s="234"/>
      <c r="AG894" s="234"/>
      <c r="AH894" s="234"/>
      <c r="AI894" s="234"/>
      <c r="AJ894" s="234"/>
      <c r="AK894" s="234"/>
      <c r="AL894" s="234"/>
      <c r="AM894" s="234"/>
      <c r="AN894" s="234"/>
      <c r="AO894" s="234"/>
      <c r="AP894" s="234"/>
      <c r="AQ894" s="234"/>
      <c r="AR894" s="234"/>
      <c r="AS894" s="234"/>
      <c r="AT894" s="234"/>
      <c r="AU894" s="234"/>
      <c r="AV894" s="234"/>
      <c r="AW894" s="234"/>
      <c r="AX894" s="234"/>
      <c r="AY894" s="234"/>
      <c r="AZ894" s="234"/>
      <c r="BA894" s="234"/>
      <c r="BB894" s="234"/>
      <c r="BC894" s="234"/>
      <c r="BD894" s="234"/>
      <c r="BE894" s="234"/>
      <c r="BF894" s="234"/>
      <c r="BG894" s="234"/>
      <c r="BH894" s="234"/>
      <c r="BI894" s="234"/>
      <c r="BJ894" s="234"/>
      <c r="BK894" s="234"/>
      <c r="BL894" s="234"/>
      <c r="BM894" s="234"/>
      <c r="BN894" s="234"/>
      <c r="BO894" s="234"/>
    </row>
    <row r="895" spans="1:67" ht="24" customHeight="1" x14ac:dyDescent="0.2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  <c r="AB895" s="234"/>
      <c r="AC895" s="234"/>
      <c r="AD895" s="234"/>
      <c r="AE895" s="234"/>
      <c r="AF895" s="234"/>
      <c r="AG895" s="234"/>
      <c r="AH895" s="234"/>
      <c r="AI895" s="234"/>
      <c r="AJ895" s="234"/>
      <c r="AK895" s="234"/>
      <c r="AL895" s="234"/>
      <c r="AM895" s="234"/>
      <c r="AN895" s="234"/>
      <c r="AO895" s="234"/>
      <c r="AP895" s="234"/>
      <c r="AQ895" s="234"/>
      <c r="AR895" s="234"/>
      <c r="AS895" s="234"/>
      <c r="AT895" s="234"/>
      <c r="AU895" s="234"/>
      <c r="AV895" s="234"/>
      <c r="AW895" s="234"/>
      <c r="AX895" s="234"/>
      <c r="AY895" s="234"/>
      <c r="AZ895" s="234"/>
      <c r="BA895" s="234"/>
      <c r="BB895" s="234"/>
      <c r="BC895" s="234"/>
      <c r="BD895" s="234"/>
      <c r="BE895" s="234"/>
      <c r="BF895" s="234"/>
      <c r="BG895" s="234"/>
      <c r="BH895" s="234"/>
      <c r="BI895" s="234"/>
      <c r="BJ895" s="234"/>
      <c r="BK895" s="234"/>
      <c r="BL895" s="234"/>
      <c r="BM895" s="234"/>
      <c r="BN895" s="234"/>
      <c r="BO895" s="234"/>
    </row>
    <row r="896" spans="1:67" ht="24" customHeight="1" x14ac:dyDescent="0.25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  <c r="AB896" s="234"/>
      <c r="AC896" s="234"/>
      <c r="AD896" s="234"/>
      <c r="AE896" s="234"/>
      <c r="AF896" s="234"/>
      <c r="AG896" s="234"/>
      <c r="AH896" s="234"/>
      <c r="AI896" s="234"/>
      <c r="AJ896" s="234"/>
      <c r="AK896" s="234"/>
      <c r="AL896" s="234"/>
      <c r="AM896" s="234"/>
      <c r="AN896" s="234"/>
      <c r="AO896" s="234"/>
      <c r="AP896" s="234"/>
      <c r="AQ896" s="234"/>
      <c r="AR896" s="234"/>
      <c r="AS896" s="234"/>
      <c r="AT896" s="234"/>
      <c r="AU896" s="234"/>
      <c r="AV896" s="234"/>
      <c r="AW896" s="234"/>
      <c r="AX896" s="234"/>
      <c r="AY896" s="234"/>
      <c r="AZ896" s="234"/>
      <c r="BA896" s="234"/>
      <c r="BB896" s="234"/>
      <c r="BC896" s="234"/>
      <c r="BD896" s="234"/>
      <c r="BE896" s="234"/>
      <c r="BF896" s="234"/>
      <c r="BG896" s="234"/>
      <c r="BH896" s="234"/>
      <c r="BI896" s="234"/>
      <c r="BJ896" s="234"/>
      <c r="BK896" s="234"/>
      <c r="BL896" s="234"/>
      <c r="BM896" s="234"/>
      <c r="BN896" s="234"/>
      <c r="BO896" s="234"/>
    </row>
    <row r="897" spans="1:67" ht="24" customHeight="1" x14ac:dyDescent="0.25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  <c r="AB897" s="234"/>
      <c r="AC897" s="234"/>
      <c r="AD897" s="234"/>
      <c r="AE897" s="234"/>
      <c r="AF897" s="234"/>
      <c r="AG897" s="234"/>
      <c r="AH897" s="234"/>
      <c r="AI897" s="234"/>
      <c r="AJ897" s="234"/>
      <c r="AK897" s="234"/>
      <c r="AL897" s="234"/>
      <c r="AM897" s="234"/>
      <c r="AN897" s="234"/>
      <c r="AO897" s="234"/>
      <c r="AP897" s="234"/>
      <c r="AQ897" s="234"/>
      <c r="AR897" s="234"/>
      <c r="AS897" s="234"/>
      <c r="AT897" s="234"/>
      <c r="AU897" s="234"/>
      <c r="AV897" s="234"/>
      <c r="AW897" s="234"/>
      <c r="AX897" s="234"/>
      <c r="AY897" s="234"/>
      <c r="AZ897" s="234"/>
      <c r="BA897" s="234"/>
      <c r="BB897" s="234"/>
      <c r="BC897" s="234"/>
      <c r="BD897" s="234"/>
      <c r="BE897" s="234"/>
      <c r="BF897" s="234"/>
      <c r="BG897" s="234"/>
      <c r="BH897" s="234"/>
      <c r="BI897" s="234"/>
      <c r="BJ897" s="234"/>
      <c r="BK897" s="234"/>
      <c r="BL897" s="234"/>
      <c r="BM897" s="234"/>
      <c r="BN897" s="234"/>
      <c r="BO897" s="234"/>
    </row>
    <row r="898" spans="1:67" ht="24" customHeight="1" x14ac:dyDescent="0.25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  <c r="AB898" s="234"/>
      <c r="AC898" s="234"/>
      <c r="AD898" s="234"/>
      <c r="AE898" s="234"/>
      <c r="AF898" s="234"/>
      <c r="AG898" s="234"/>
      <c r="AH898" s="234"/>
      <c r="AI898" s="234"/>
      <c r="AJ898" s="234"/>
      <c r="AK898" s="234"/>
      <c r="AL898" s="234"/>
      <c r="AM898" s="234"/>
      <c r="AN898" s="234"/>
      <c r="AO898" s="234"/>
      <c r="AP898" s="234"/>
      <c r="AQ898" s="234"/>
      <c r="AR898" s="234"/>
      <c r="AS898" s="234"/>
      <c r="AT898" s="234"/>
      <c r="AU898" s="234"/>
      <c r="AV898" s="234"/>
      <c r="AW898" s="234"/>
      <c r="AX898" s="234"/>
      <c r="AY898" s="234"/>
      <c r="AZ898" s="234"/>
      <c r="BA898" s="234"/>
      <c r="BB898" s="234"/>
      <c r="BC898" s="234"/>
      <c r="BD898" s="234"/>
      <c r="BE898" s="234"/>
      <c r="BF898" s="234"/>
      <c r="BG898" s="234"/>
      <c r="BH898" s="234"/>
      <c r="BI898" s="234"/>
      <c r="BJ898" s="234"/>
      <c r="BK898" s="234"/>
      <c r="BL898" s="234"/>
      <c r="BM898" s="234"/>
      <c r="BN898" s="234"/>
      <c r="BO898" s="234"/>
    </row>
    <row r="899" spans="1:67" ht="24" customHeight="1" x14ac:dyDescent="0.25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  <c r="AB899" s="234"/>
      <c r="AC899" s="234"/>
      <c r="AD899" s="234"/>
      <c r="AE899" s="234"/>
      <c r="AF899" s="234"/>
      <c r="AG899" s="234"/>
      <c r="AH899" s="234"/>
      <c r="AI899" s="234"/>
      <c r="AJ899" s="234"/>
      <c r="AK899" s="234"/>
      <c r="AL899" s="234"/>
      <c r="AM899" s="234"/>
      <c r="AN899" s="234"/>
      <c r="AO899" s="234"/>
      <c r="AP899" s="234"/>
      <c r="AQ899" s="234"/>
      <c r="AR899" s="234"/>
      <c r="AS899" s="234"/>
      <c r="AT899" s="234"/>
      <c r="AU899" s="234"/>
      <c r="AV899" s="234"/>
      <c r="AW899" s="234"/>
      <c r="AX899" s="234"/>
      <c r="AY899" s="234"/>
      <c r="AZ899" s="234"/>
      <c r="BA899" s="234"/>
      <c r="BB899" s="234"/>
      <c r="BC899" s="234"/>
      <c r="BD899" s="234"/>
      <c r="BE899" s="234"/>
      <c r="BF899" s="234"/>
      <c r="BG899" s="234"/>
      <c r="BH899" s="234"/>
      <c r="BI899" s="234"/>
      <c r="BJ899" s="234"/>
      <c r="BK899" s="234"/>
      <c r="BL899" s="234"/>
      <c r="BM899" s="234"/>
      <c r="BN899" s="234"/>
      <c r="BO899" s="234"/>
    </row>
    <row r="900" spans="1:67" ht="24" customHeight="1" x14ac:dyDescent="0.25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  <c r="AB900" s="234"/>
      <c r="AC900" s="234"/>
      <c r="AD900" s="234"/>
      <c r="AE900" s="234"/>
      <c r="AF900" s="234"/>
      <c r="AG900" s="234"/>
      <c r="AH900" s="234"/>
      <c r="AI900" s="234"/>
      <c r="AJ900" s="234"/>
      <c r="AK900" s="234"/>
      <c r="AL900" s="234"/>
      <c r="AM900" s="234"/>
      <c r="AN900" s="234"/>
      <c r="AO900" s="234"/>
      <c r="AP900" s="234"/>
      <c r="AQ900" s="234"/>
      <c r="AR900" s="234"/>
      <c r="AS900" s="234"/>
      <c r="AT900" s="234"/>
      <c r="AU900" s="234"/>
      <c r="AV900" s="234"/>
      <c r="AW900" s="234"/>
      <c r="AX900" s="234"/>
      <c r="AY900" s="234"/>
      <c r="AZ900" s="234"/>
      <c r="BA900" s="234"/>
      <c r="BB900" s="234"/>
      <c r="BC900" s="234"/>
      <c r="BD900" s="234"/>
      <c r="BE900" s="234"/>
      <c r="BF900" s="234"/>
      <c r="BG900" s="234"/>
      <c r="BH900" s="234"/>
      <c r="BI900" s="234"/>
      <c r="BJ900" s="234"/>
      <c r="BK900" s="234"/>
      <c r="BL900" s="234"/>
      <c r="BM900" s="234"/>
      <c r="BN900" s="234"/>
      <c r="BO900" s="234"/>
    </row>
    <row r="901" spans="1:67" ht="24" customHeight="1" x14ac:dyDescent="0.25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  <c r="AB901" s="234"/>
      <c r="AC901" s="234"/>
      <c r="AD901" s="234"/>
      <c r="AE901" s="234"/>
      <c r="AF901" s="234"/>
      <c r="AG901" s="234"/>
      <c r="AH901" s="234"/>
      <c r="AI901" s="234"/>
      <c r="AJ901" s="234"/>
      <c r="AK901" s="234"/>
      <c r="AL901" s="234"/>
      <c r="AM901" s="234"/>
      <c r="AN901" s="234"/>
      <c r="AO901" s="234"/>
      <c r="AP901" s="234"/>
      <c r="AQ901" s="234"/>
      <c r="AR901" s="234"/>
      <c r="AS901" s="234"/>
      <c r="AT901" s="234"/>
      <c r="AU901" s="234"/>
      <c r="AV901" s="234"/>
      <c r="AW901" s="234"/>
      <c r="AX901" s="234"/>
      <c r="AY901" s="234"/>
      <c r="AZ901" s="234"/>
      <c r="BA901" s="234"/>
      <c r="BB901" s="234"/>
      <c r="BC901" s="234"/>
      <c r="BD901" s="234"/>
      <c r="BE901" s="234"/>
      <c r="BF901" s="234"/>
      <c r="BG901" s="234"/>
      <c r="BH901" s="234"/>
      <c r="BI901" s="234"/>
      <c r="BJ901" s="234"/>
      <c r="BK901" s="234"/>
      <c r="BL901" s="234"/>
      <c r="BM901" s="234"/>
      <c r="BN901" s="234"/>
      <c r="BO901" s="234"/>
    </row>
    <row r="902" spans="1:67" ht="24" customHeight="1" x14ac:dyDescent="0.25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  <c r="AB902" s="234"/>
      <c r="AC902" s="234"/>
      <c r="AD902" s="234"/>
      <c r="AE902" s="234"/>
      <c r="AF902" s="234"/>
      <c r="AG902" s="234"/>
      <c r="AH902" s="234"/>
      <c r="AI902" s="234"/>
      <c r="AJ902" s="234"/>
      <c r="AK902" s="234"/>
      <c r="AL902" s="234"/>
      <c r="AM902" s="234"/>
      <c r="AN902" s="234"/>
      <c r="AO902" s="234"/>
      <c r="AP902" s="234"/>
      <c r="AQ902" s="234"/>
      <c r="AR902" s="234"/>
      <c r="AS902" s="234"/>
      <c r="AT902" s="234"/>
      <c r="AU902" s="234"/>
      <c r="AV902" s="234"/>
      <c r="AW902" s="234"/>
      <c r="AX902" s="234"/>
      <c r="AY902" s="234"/>
      <c r="AZ902" s="234"/>
      <c r="BA902" s="234"/>
      <c r="BB902" s="234"/>
      <c r="BC902" s="234"/>
      <c r="BD902" s="234"/>
      <c r="BE902" s="234"/>
      <c r="BF902" s="234"/>
      <c r="BG902" s="234"/>
      <c r="BH902" s="234"/>
      <c r="BI902" s="234"/>
      <c r="BJ902" s="234"/>
      <c r="BK902" s="234"/>
      <c r="BL902" s="234"/>
      <c r="BM902" s="234"/>
      <c r="BN902" s="234"/>
      <c r="BO902" s="234"/>
    </row>
    <row r="903" spans="1:67" ht="24" customHeight="1" x14ac:dyDescent="0.25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  <c r="AB903" s="234"/>
      <c r="AC903" s="234"/>
      <c r="AD903" s="234"/>
      <c r="AE903" s="234"/>
      <c r="AF903" s="234"/>
      <c r="AG903" s="234"/>
      <c r="AH903" s="234"/>
      <c r="AI903" s="234"/>
      <c r="AJ903" s="234"/>
      <c r="AK903" s="234"/>
      <c r="AL903" s="234"/>
      <c r="AM903" s="234"/>
      <c r="AN903" s="234"/>
      <c r="AO903" s="234"/>
      <c r="AP903" s="234"/>
      <c r="AQ903" s="234"/>
      <c r="AR903" s="234"/>
      <c r="AS903" s="234"/>
      <c r="AT903" s="234"/>
      <c r="AU903" s="234"/>
      <c r="AV903" s="234"/>
      <c r="AW903" s="234"/>
      <c r="AX903" s="234"/>
      <c r="AY903" s="234"/>
      <c r="AZ903" s="234"/>
      <c r="BA903" s="234"/>
      <c r="BB903" s="234"/>
      <c r="BC903" s="234"/>
      <c r="BD903" s="234"/>
      <c r="BE903" s="234"/>
      <c r="BF903" s="234"/>
      <c r="BG903" s="234"/>
      <c r="BH903" s="234"/>
      <c r="BI903" s="234"/>
      <c r="BJ903" s="234"/>
      <c r="BK903" s="234"/>
      <c r="BL903" s="234"/>
      <c r="BM903" s="234"/>
      <c r="BN903" s="234"/>
      <c r="BO903" s="234"/>
    </row>
    <row r="904" spans="1:67" ht="24" customHeight="1" x14ac:dyDescent="0.25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  <c r="AB904" s="234"/>
      <c r="AC904" s="234"/>
      <c r="AD904" s="234"/>
      <c r="AE904" s="234"/>
      <c r="AF904" s="234"/>
      <c r="AG904" s="234"/>
      <c r="AH904" s="234"/>
      <c r="AI904" s="234"/>
      <c r="AJ904" s="234"/>
      <c r="AK904" s="234"/>
      <c r="AL904" s="234"/>
      <c r="AM904" s="234"/>
      <c r="AN904" s="234"/>
      <c r="AO904" s="234"/>
      <c r="AP904" s="234"/>
      <c r="AQ904" s="234"/>
      <c r="AR904" s="234"/>
      <c r="AS904" s="234"/>
      <c r="AT904" s="234"/>
      <c r="AU904" s="234"/>
      <c r="AV904" s="234"/>
      <c r="AW904" s="234"/>
      <c r="AX904" s="234"/>
      <c r="AY904" s="234"/>
      <c r="AZ904" s="234"/>
      <c r="BA904" s="234"/>
      <c r="BB904" s="234"/>
      <c r="BC904" s="234"/>
      <c r="BD904" s="234"/>
      <c r="BE904" s="234"/>
      <c r="BF904" s="234"/>
      <c r="BG904" s="234"/>
      <c r="BH904" s="234"/>
      <c r="BI904" s="234"/>
      <c r="BJ904" s="234"/>
      <c r="BK904" s="234"/>
      <c r="BL904" s="234"/>
      <c r="BM904" s="234"/>
      <c r="BN904" s="234"/>
      <c r="BO904" s="234"/>
    </row>
    <row r="905" spans="1:67" ht="24" customHeight="1" x14ac:dyDescent="0.2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  <c r="AB905" s="234"/>
      <c r="AC905" s="234"/>
      <c r="AD905" s="234"/>
      <c r="AE905" s="234"/>
      <c r="AF905" s="234"/>
      <c r="AG905" s="234"/>
      <c r="AH905" s="234"/>
      <c r="AI905" s="234"/>
      <c r="AJ905" s="234"/>
      <c r="AK905" s="234"/>
      <c r="AL905" s="234"/>
      <c r="AM905" s="234"/>
      <c r="AN905" s="234"/>
      <c r="AO905" s="234"/>
      <c r="AP905" s="234"/>
      <c r="AQ905" s="234"/>
      <c r="AR905" s="234"/>
      <c r="AS905" s="234"/>
      <c r="AT905" s="234"/>
      <c r="AU905" s="234"/>
      <c r="AV905" s="234"/>
      <c r="AW905" s="234"/>
      <c r="AX905" s="234"/>
      <c r="AY905" s="234"/>
      <c r="AZ905" s="234"/>
      <c r="BA905" s="234"/>
      <c r="BB905" s="234"/>
      <c r="BC905" s="234"/>
      <c r="BD905" s="234"/>
      <c r="BE905" s="234"/>
      <c r="BF905" s="234"/>
      <c r="BG905" s="234"/>
      <c r="BH905" s="234"/>
      <c r="BI905" s="234"/>
      <c r="BJ905" s="234"/>
      <c r="BK905" s="234"/>
      <c r="BL905" s="234"/>
      <c r="BM905" s="234"/>
      <c r="BN905" s="234"/>
      <c r="BO905" s="234"/>
    </row>
    <row r="906" spans="1:67" ht="24" customHeight="1" x14ac:dyDescent="0.25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  <c r="AB906" s="234"/>
      <c r="AC906" s="234"/>
      <c r="AD906" s="234"/>
      <c r="AE906" s="234"/>
      <c r="AF906" s="234"/>
      <c r="AG906" s="234"/>
      <c r="AH906" s="234"/>
      <c r="AI906" s="234"/>
      <c r="AJ906" s="234"/>
      <c r="AK906" s="234"/>
      <c r="AL906" s="234"/>
      <c r="AM906" s="234"/>
      <c r="AN906" s="234"/>
      <c r="AO906" s="234"/>
      <c r="AP906" s="234"/>
      <c r="AQ906" s="234"/>
      <c r="AR906" s="234"/>
      <c r="AS906" s="234"/>
      <c r="AT906" s="234"/>
      <c r="AU906" s="234"/>
      <c r="AV906" s="234"/>
      <c r="AW906" s="234"/>
      <c r="AX906" s="234"/>
      <c r="AY906" s="234"/>
      <c r="AZ906" s="234"/>
      <c r="BA906" s="234"/>
      <c r="BB906" s="234"/>
      <c r="BC906" s="234"/>
      <c r="BD906" s="234"/>
      <c r="BE906" s="234"/>
      <c r="BF906" s="234"/>
      <c r="BG906" s="234"/>
      <c r="BH906" s="234"/>
      <c r="BI906" s="234"/>
      <c r="BJ906" s="234"/>
      <c r="BK906" s="234"/>
      <c r="BL906" s="234"/>
      <c r="BM906" s="234"/>
      <c r="BN906" s="234"/>
      <c r="BO906" s="234"/>
    </row>
    <row r="907" spans="1:67" ht="24" customHeight="1" x14ac:dyDescent="0.25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  <c r="AB907" s="234"/>
      <c r="AC907" s="234"/>
      <c r="AD907" s="234"/>
      <c r="AE907" s="234"/>
      <c r="AF907" s="234"/>
      <c r="AG907" s="234"/>
      <c r="AH907" s="234"/>
      <c r="AI907" s="234"/>
      <c r="AJ907" s="234"/>
      <c r="AK907" s="234"/>
      <c r="AL907" s="234"/>
      <c r="AM907" s="234"/>
      <c r="AN907" s="234"/>
      <c r="AO907" s="234"/>
      <c r="AP907" s="234"/>
      <c r="AQ907" s="234"/>
      <c r="AR907" s="234"/>
      <c r="AS907" s="234"/>
      <c r="AT907" s="234"/>
      <c r="AU907" s="234"/>
      <c r="AV907" s="234"/>
      <c r="AW907" s="234"/>
      <c r="AX907" s="234"/>
      <c r="AY907" s="234"/>
      <c r="AZ907" s="234"/>
      <c r="BA907" s="234"/>
      <c r="BB907" s="234"/>
      <c r="BC907" s="234"/>
      <c r="BD907" s="234"/>
      <c r="BE907" s="234"/>
      <c r="BF907" s="234"/>
      <c r="BG907" s="234"/>
      <c r="BH907" s="234"/>
      <c r="BI907" s="234"/>
      <c r="BJ907" s="234"/>
      <c r="BK907" s="234"/>
      <c r="BL907" s="234"/>
      <c r="BM907" s="234"/>
      <c r="BN907" s="234"/>
      <c r="BO907" s="234"/>
    </row>
    <row r="908" spans="1:67" ht="24" customHeight="1" x14ac:dyDescent="0.25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  <c r="AB908" s="234"/>
      <c r="AC908" s="234"/>
      <c r="AD908" s="234"/>
      <c r="AE908" s="234"/>
      <c r="AF908" s="234"/>
      <c r="AG908" s="234"/>
      <c r="AH908" s="234"/>
      <c r="AI908" s="234"/>
      <c r="AJ908" s="234"/>
      <c r="AK908" s="234"/>
      <c r="AL908" s="234"/>
      <c r="AM908" s="234"/>
      <c r="AN908" s="234"/>
      <c r="AO908" s="234"/>
      <c r="AP908" s="234"/>
      <c r="AQ908" s="234"/>
      <c r="AR908" s="234"/>
      <c r="AS908" s="234"/>
      <c r="AT908" s="234"/>
      <c r="AU908" s="234"/>
      <c r="AV908" s="234"/>
      <c r="AW908" s="234"/>
      <c r="AX908" s="234"/>
      <c r="AY908" s="234"/>
      <c r="AZ908" s="234"/>
      <c r="BA908" s="234"/>
      <c r="BB908" s="234"/>
      <c r="BC908" s="234"/>
      <c r="BD908" s="234"/>
      <c r="BE908" s="234"/>
      <c r="BF908" s="234"/>
      <c r="BG908" s="234"/>
      <c r="BH908" s="234"/>
      <c r="BI908" s="234"/>
      <c r="BJ908" s="234"/>
      <c r="BK908" s="234"/>
      <c r="BL908" s="234"/>
      <c r="BM908" s="234"/>
      <c r="BN908" s="234"/>
      <c r="BO908" s="234"/>
    </row>
    <row r="909" spans="1:67" ht="24" customHeight="1" x14ac:dyDescent="0.25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  <c r="AB909" s="234"/>
      <c r="AC909" s="234"/>
      <c r="AD909" s="234"/>
      <c r="AE909" s="234"/>
      <c r="AF909" s="234"/>
      <c r="AG909" s="234"/>
      <c r="AH909" s="234"/>
      <c r="AI909" s="234"/>
      <c r="AJ909" s="234"/>
      <c r="AK909" s="234"/>
      <c r="AL909" s="234"/>
      <c r="AM909" s="234"/>
      <c r="AN909" s="234"/>
      <c r="AO909" s="234"/>
      <c r="AP909" s="234"/>
      <c r="AQ909" s="234"/>
      <c r="AR909" s="234"/>
      <c r="AS909" s="234"/>
      <c r="AT909" s="234"/>
      <c r="AU909" s="234"/>
      <c r="AV909" s="234"/>
      <c r="AW909" s="234"/>
      <c r="AX909" s="234"/>
      <c r="AY909" s="234"/>
      <c r="AZ909" s="234"/>
      <c r="BA909" s="234"/>
      <c r="BB909" s="234"/>
      <c r="BC909" s="234"/>
      <c r="BD909" s="234"/>
      <c r="BE909" s="234"/>
      <c r="BF909" s="234"/>
      <c r="BG909" s="234"/>
      <c r="BH909" s="234"/>
      <c r="BI909" s="234"/>
      <c r="BJ909" s="234"/>
      <c r="BK909" s="234"/>
      <c r="BL909" s="234"/>
      <c r="BM909" s="234"/>
      <c r="BN909" s="234"/>
      <c r="BO909" s="234"/>
    </row>
    <row r="910" spans="1:67" ht="24" customHeight="1" x14ac:dyDescent="0.25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  <c r="AB910" s="234"/>
      <c r="AC910" s="234"/>
      <c r="AD910" s="234"/>
      <c r="AE910" s="234"/>
      <c r="AF910" s="234"/>
      <c r="AG910" s="234"/>
      <c r="AH910" s="234"/>
      <c r="AI910" s="234"/>
      <c r="AJ910" s="234"/>
      <c r="AK910" s="234"/>
      <c r="AL910" s="234"/>
      <c r="AM910" s="234"/>
      <c r="AN910" s="234"/>
      <c r="AO910" s="234"/>
      <c r="AP910" s="234"/>
      <c r="AQ910" s="234"/>
      <c r="AR910" s="234"/>
      <c r="AS910" s="234"/>
      <c r="AT910" s="234"/>
      <c r="AU910" s="234"/>
      <c r="AV910" s="234"/>
      <c r="AW910" s="234"/>
      <c r="AX910" s="234"/>
      <c r="AY910" s="234"/>
      <c r="AZ910" s="234"/>
      <c r="BA910" s="234"/>
      <c r="BB910" s="234"/>
      <c r="BC910" s="234"/>
      <c r="BD910" s="234"/>
      <c r="BE910" s="234"/>
      <c r="BF910" s="234"/>
      <c r="BG910" s="234"/>
      <c r="BH910" s="234"/>
      <c r="BI910" s="234"/>
      <c r="BJ910" s="234"/>
      <c r="BK910" s="234"/>
      <c r="BL910" s="234"/>
      <c r="BM910" s="234"/>
      <c r="BN910" s="234"/>
      <c r="BO910" s="234"/>
    </row>
    <row r="911" spans="1:67" ht="24" customHeight="1" x14ac:dyDescent="0.25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  <c r="AB911" s="234"/>
      <c r="AC911" s="234"/>
      <c r="AD911" s="234"/>
      <c r="AE911" s="234"/>
      <c r="AF911" s="234"/>
      <c r="AG911" s="234"/>
      <c r="AH911" s="234"/>
      <c r="AI911" s="234"/>
      <c r="AJ911" s="234"/>
      <c r="AK911" s="234"/>
      <c r="AL911" s="234"/>
      <c r="AM911" s="234"/>
      <c r="AN911" s="234"/>
      <c r="AO911" s="234"/>
      <c r="AP911" s="234"/>
      <c r="AQ911" s="234"/>
      <c r="AR911" s="234"/>
      <c r="AS911" s="234"/>
      <c r="AT911" s="234"/>
      <c r="AU911" s="234"/>
      <c r="AV911" s="234"/>
      <c r="AW911" s="234"/>
      <c r="AX911" s="234"/>
      <c r="AY911" s="234"/>
      <c r="AZ911" s="234"/>
      <c r="BA911" s="234"/>
      <c r="BB911" s="234"/>
      <c r="BC911" s="234"/>
      <c r="BD911" s="234"/>
      <c r="BE911" s="234"/>
      <c r="BF911" s="234"/>
      <c r="BG911" s="234"/>
      <c r="BH911" s="234"/>
      <c r="BI911" s="234"/>
      <c r="BJ911" s="234"/>
      <c r="BK911" s="234"/>
      <c r="BL911" s="234"/>
      <c r="BM911" s="234"/>
      <c r="BN911" s="234"/>
      <c r="BO911" s="234"/>
    </row>
    <row r="912" spans="1:67" ht="24" customHeight="1" x14ac:dyDescent="0.25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  <c r="AB912" s="234"/>
      <c r="AC912" s="234"/>
      <c r="AD912" s="234"/>
      <c r="AE912" s="234"/>
      <c r="AF912" s="234"/>
      <c r="AG912" s="234"/>
      <c r="AH912" s="234"/>
      <c r="AI912" s="234"/>
      <c r="AJ912" s="234"/>
      <c r="AK912" s="234"/>
      <c r="AL912" s="234"/>
      <c r="AM912" s="234"/>
      <c r="AN912" s="234"/>
      <c r="AO912" s="234"/>
      <c r="AP912" s="234"/>
      <c r="AQ912" s="234"/>
      <c r="AR912" s="234"/>
      <c r="AS912" s="234"/>
      <c r="AT912" s="234"/>
      <c r="AU912" s="234"/>
      <c r="AV912" s="234"/>
      <c r="AW912" s="234"/>
      <c r="AX912" s="234"/>
      <c r="AY912" s="234"/>
      <c r="AZ912" s="234"/>
      <c r="BA912" s="234"/>
      <c r="BB912" s="234"/>
      <c r="BC912" s="234"/>
      <c r="BD912" s="234"/>
      <c r="BE912" s="234"/>
      <c r="BF912" s="234"/>
      <c r="BG912" s="234"/>
      <c r="BH912" s="234"/>
      <c r="BI912" s="234"/>
      <c r="BJ912" s="234"/>
      <c r="BK912" s="234"/>
      <c r="BL912" s="234"/>
      <c r="BM912" s="234"/>
      <c r="BN912" s="234"/>
      <c r="BO912" s="234"/>
    </row>
    <row r="913" spans="1:67" ht="24" customHeight="1" x14ac:dyDescent="0.25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  <c r="AC913" s="234"/>
      <c r="AD913" s="234"/>
      <c r="AE913" s="234"/>
      <c r="AF913" s="234"/>
      <c r="AG913" s="234"/>
      <c r="AH913" s="234"/>
      <c r="AI913" s="234"/>
      <c r="AJ913" s="234"/>
      <c r="AK913" s="234"/>
      <c r="AL913" s="234"/>
      <c r="AM913" s="234"/>
      <c r="AN913" s="234"/>
      <c r="AO913" s="234"/>
      <c r="AP913" s="234"/>
      <c r="AQ913" s="234"/>
      <c r="AR913" s="234"/>
      <c r="AS913" s="234"/>
      <c r="AT913" s="234"/>
      <c r="AU913" s="234"/>
      <c r="AV913" s="234"/>
      <c r="AW913" s="234"/>
      <c r="AX913" s="234"/>
      <c r="AY913" s="234"/>
      <c r="AZ913" s="234"/>
      <c r="BA913" s="234"/>
      <c r="BB913" s="234"/>
      <c r="BC913" s="234"/>
      <c r="BD913" s="234"/>
      <c r="BE913" s="234"/>
      <c r="BF913" s="234"/>
      <c r="BG913" s="234"/>
      <c r="BH913" s="234"/>
      <c r="BI913" s="234"/>
      <c r="BJ913" s="234"/>
      <c r="BK913" s="234"/>
      <c r="BL913" s="234"/>
      <c r="BM913" s="234"/>
      <c r="BN913" s="234"/>
      <c r="BO913" s="234"/>
    </row>
    <row r="914" spans="1:67" ht="24" customHeight="1" x14ac:dyDescent="0.25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  <c r="AB914" s="234"/>
      <c r="AC914" s="234"/>
      <c r="AD914" s="234"/>
      <c r="AE914" s="234"/>
      <c r="AF914" s="234"/>
      <c r="AG914" s="234"/>
      <c r="AH914" s="234"/>
      <c r="AI914" s="234"/>
      <c r="AJ914" s="234"/>
      <c r="AK914" s="234"/>
      <c r="AL914" s="234"/>
      <c r="AM914" s="234"/>
      <c r="AN914" s="234"/>
      <c r="AO914" s="234"/>
      <c r="AP914" s="234"/>
      <c r="AQ914" s="234"/>
      <c r="AR914" s="234"/>
      <c r="AS914" s="234"/>
      <c r="AT914" s="234"/>
      <c r="AU914" s="234"/>
      <c r="AV914" s="234"/>
      <c r="AW914" s="234"/>
      <c r="AX914" s="234"/>
      <c r="AY914" s="234"/>
      <c r="AZ914" s="234"/>
      <c r="BA914" s="234"/>
      <c r="BB914" s="234"/>
      <c r="BC914" s="234"/>
      <c r="BD914" s="234"/>
      <c r="BE914" s="234"/>
      <c r="BF914" s="234"/>
      <c r="BG914" s="234"/>
      <c r="BH914" s="234"/>
      <c r="BI914" s="234"/>
      <c r="BJ914" s="234"/>
      <c r="BK914" s="234"/>
      <c r="BL914" s="234"/>
      <c r="BM914" s="234"/>
      <c r="BN914" s="234"/>
      <c r="BO914" s="234"/>
    </row>
    <row r="915" spans="1:67" ht="24" customHeight="1" x14ac:dyDescent="0.2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  <c r="AB915" s="234"/>
      <c r="AC915" s="234"/>
      <c r="AD915" s="234"/>
      <c r="AE915" s="234"/>
      <c r="AF915" s="234"/>
      <c r="AG915" s="234"/>
      <c r="AH915" s="234"/>
      <c r="AI915" s="234"/>
      <c r="AJ915" s="234"/>
      <c r="AK915" s="234"/>
      <c r="AL915" s="234"/>
      <c r="AM915" s="234"/>
      <c r="AN915" s="234"/>
      <c r="AO915" s="234"/>
      <c r="AP915" s="234"/>
      <c r="AQ915" s="234"/>
      <c r="AR915" s="234"/>
      <c r="AS915" s="234"/>
      <c r="AT915" s="234"/>
      <c r="AU915" s="234"/>
      <c r="AV915" s="234"/>
      <c r="AW915" s="234"/>
      <c r="AX915" s="234"/>
      <c r="AY915" s="234"/>
      <c r="AZ915" s="234"/>
      <c r="BA915" s="234"/>
      <c r="BB915" s="234"/>
      <c r="BC915" s="234"/>
      <c r="BD915" s="234"/>
      <c r="BE915" s="234"/>
      <c r="BF915" s="234"/>
      <c r="BG915" s="234"/>
      <c r="BH915" s="234"/>
      <c r="BI915" s="234"/>
      <c r="BJ915" s="234"/>
      <c r="BK915" s="234"/>
      <c r="BL915" s="234"/>
      <c r="BM915" s="234"/>
      <c r="BN915" s="234"/>
      <c r="BO915" s="234"/>
    </row>
    <row r="916" spans="1:67" ht="24" customHeight="1" x14ac:dyDescent="0.25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  <c r="AB916" s="234"/>
      <c r="AC916" s="234"/>
      <c r="AD916" s="234"/>
      <c r="AE916" s="234"/>
      <c r="AF916" s="234"/>
      <c r="AG916" s="234"/>
      <c r="AH916" s="234"/>
      <c r="AI916" s="234"/>
      <c r="AJ916" s="234"/>
      <c r="AK916" s="234"/>
      <c r="AL916" s="234"/>
      <c r="AM916" s="234"/>
      <c r="AN916" s="234"/>
      <c r="AO916" s="234"/>
      <c r="AP916" s="234"/>
      <c r="AQ916" s="234"/>
      <c r="AR916" s="234"/>
      <c r="AS916" s="234"/>
      <c r="AT916" s="234"/>
      <c r="AU916" s="234"/>
      <c r="AV916" s="234"/>
      <c r="AW916" s="234"/>
      <c r="AX916" s="234"/>
      <c r="AY916" s="234"/>
      <c r="AZ916" s="234"/>
      <c r="BA916" s="234"/>
      <c r="BB916" s="234"/>
      <c r="BC916" s="234"/>
      <c r="BD916" s="234"/>
      <c r="BE916" s="234"/>
      <c r="BF916" s="234"/>
      <c r="BG916" s="234"/>
      <c r="BH916" s="234"/>
      <c r="BI916" s="234"/>
      <c r="BJ916" s="234"/>
      <c r="BK916" s="234"/>
      <c r="BL916" s="234"/>
      <c r="BM916" s="234"/>
      <c r="BN916" s="234"/>
      <c r="BO916" s="234"/>
    </row>
    <row r="917" spans="1:67" ht="24" customHeight="1" x14ac:dyDescent="0.25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  <c r="AB917" s="234"/>
      <c r="AC917" s="234"/>
      <c r="AD917" s="234"/>
      <c r="AE917" s="234"/>
      <c r="AF917" s="234"/>
      <c r="AG917" s="234"/>
      <c r="AH917" s="234"/>
      <c r="AI917" s="234"/>
      <c r="AJ917" s="234"/>
      <c r="AK917" s="234"/>
      <c r="AL917" s="234"/>
      <c r="AM917" s="234"/>
      <c r="AN917" s="234"/>
      <c r="AO917" s="234"/>
      <c r="AP917" s="234"/>
      <c r="AQ917" s="234"/>
      <c r="AR917" s="234"/>
      <c r="AS917" s="234"/>
      <c r="AT917" s="234"/>
      <c r="AU917" s="234"/>
      <c r="AV917" s="234"/>
      <c r="AW917" s="234"/>
      <c r="AX917" s="234"/>
      <c r="AY917" s="234"/>
      <c r="AZ917" s="234"/>
      <c r="BA917" s="234"/>
      <c r="BB917" s="234"/>
      <c r="BC917" s="234"/>
      <c r="BD917" s="234"/>
      <c r="BE917" s="234"/>
      <c r="BF917" s="234"/>
      <c r="BG917" s="234"/>
      <c r="BH917" s="234"/>
      <c r="BI917" s="234"/>
      <c r="BJ917" s="234"/>
      <c r="BK917" s="234"/>
      <c r="BL917" s="234"/>
      <c r="BM917" s="234"/>
      <c r="BN917" s="234"/>
      <c r="BO917" s="234"/>
    </row>
    <row r="918" spans="1:67" ht="24" customHeight="1" x14ac:dyDescent="0.25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  <c r="AB918" s="234"/>
      <c r="AC918" s="234"/>
      <c r="AD918" s="234"/>
      <c r="AE918" s="234"/>
      <c r="AF918" s="234"/>
      <c r="AG918" s="234"/>
      <c r="AH918" s="234"/>
      <c r="AI918" s="234"/>
      <c r="AJ918" s="234"/>
      <c r="AK918" s="234"/>
      <c r="AL918" s="234"/>
      <c r="AM918" s="234"/>
      <c r="AN918" s="234"/>
      <c r="AO918" s="234"/>
      <c r="AP918" s="234"/>
      <c r="AQ918" s="234"/>
      <c r="AR918" s="234"/>
      <c r="AS918" s="234"/>
      <c r="AT918" s="234"/>
      <c r="AU918" s="234"/>
      <c r="AV918" s="234"/>
      <c r="AW918" s="234"/>
      <c r="AX918" s="234"/>
      <c r="AY918" s="234"/>
      <c r="AZ918" s="234"/>
      <c r="BA918" s="234"/>
      <c r="BB918" s="234"/>
      <c r="BC918" s="234"/>
      <c r="BD918" s="234"/>
      <c r="BE918" s="234"/>
      <c r="BF918" s="234"/>
      <c r="BG918" s="234"/>
      <c r="BH918" s="234"/>
      <c r="BI918" s="234"/>
      <c r="BJ918" s="234"/>
      <c r="BK918" s="234"/>
      <c r="BL918" s="234"/>
      <c r="BM918" s="234"/>
      <c r="BN918" s="234"/>
      <c r="BO918" s="234"/>
    </row>
    <row r="919" spans="1:67" ht="24" customHeight="1" x14ac:dyDescent="0.25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  <c r="AB919" s="234"/>
      <c r="AC919" s="234"/>
      <c r="AD919" s="234"/>
      <c r="AE919" s="234"/>
      <c r="AF919" s="234"/>
      <c r="AG919" s="234"/>
      <c r="AH919" s="234"/>
      <c r="AI919" s="234"/>
      <c r="AJ919" s="234"/>
      <c r="AK919" s="234"/>
      <c r="AL919" s="234"/>
      <c r="AM919" s="234"/>
      <c r="AN919" s="234"/>
      <c r="AO919" s="234"/>
      <c r="AP919" s="234"/>
      <c r="AQ919" s="234"/>
      <c r="AR919" s="234"/>
      <c r="AS919" s="234"/>
      <c r="AT919" s="234"/>
      <c r="AU919" s="234"/>
      <c r="AV919" s="234"/>
      <c r="AW919" s="234"/>
      <c r="AX919" s="234"/>
      <c r="AY919" s="234"/>
      <c r="AZ919" s="234"/>
      <c r="BA919" s="234"/>
      <c r="BB919" s="234"/>
      <c r="BC919" s="234"/>
      <c r="BD919" s="234"/>
      <c r="BE919" s="234"/>
      <c r="BF919" s="234"/>
      <c r="BG919" s="234"/>
      <c r="BH919" s="234"/>
      <c r="BI919" s="234"/>
      <c r="BJ919" s="234"/>
      <c r="BK919" s="234"/>
      <c r="BL919" s="234"/>
      <c r="BM919" s="234"/>
      <c r="BN919" s="234"/>
      <c r="BO919" s="234"/>
    </row>
    <row r="920" spans="1:67" ht="24" customHeight="1" x14ac:dyDescent="0.25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  <c r="AB920" s="234"/>
      <c r="AC920" s="234"/>
      <c r="AD920" s="234"/>
      <c r="AE920" s="234"/>
      <c r="AF920" s="234"/>
      <c r="AG920" s="234"/>
      <c r="AH920" s="234"/>
      <c r="AI920" s="234"/>
      <c r="AJ920" s="234"/>
      <c r="AK920" s="234"/>
      <c r="AL920" s="234"/>
      <c r="AM920" s="234"/>
      <c r="AN920" s="234"/>
      <c r="AO920" s="234"/>
      <c r="AP920" s="234"/>
      <c r="AQ920" s="234"/>
      <c r="AR920" s="234"/>
      <c r="AS920" s="234"/>
      <c r="AT920" s="234"/>
      <c r="AU920" s="234"/>
      <c r="AV920" s="234"/>
      <c r="AW920" s="234"/>
      <c r="AX920" s="234"/>
      <c r="AY920" s="234"/>
      <c r="AZ920" s="234"/>
      <c r="BA920" s="234"/>
      <c r="BB920" s="234"/>
      <c r="BC920" s="234"/>
      <c r="BD920" s="234"/>
      <c r="BE920" s="234"/>
      <c r="BF920" s="234"/>
      <c r="BG920" s="234"/>
      <c r="BH920" s="234"/>
      <c r="BI920" s="234"/>
      <c r="BJ920" s="234"/>
      <c r="BK920" s="234"/>
      <c r="BL920" s="234"/>
      <c r="BM920" s="234"/>
      <c r="BN920" s="234"/>
      <c r="BO920" s="234"/>
    </row>
    <row r="921" spans="1:67" ht="24" customHeight="1" x14ac:dyDescent="0.25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  <c r="AB921" s="234"/>
      <c r="AC921" s="234"/>
      <c r="AD921" s="234"/>
      <c r="AE921" s="234"/>
      <c r="AF921" s="234"/>
      <c r="AG921" s="234"/>
      <c r="AH921" s="234"/>
      <c r="AI921" s="234"/>
      <c r="AJ921" s="234"/>
      <c r="AK921" s="234"/>
      <c r="AL921" s="234"/>
      <c r="AM921" s="234"/>
      <c r="AN921" s="234"/>
      <c r="AO921" s="234"/>
      <c r="AP921" s="234"/>
      <c r="AQ921" s="234"/>
      <c r="AR921" s="234"/>
      <c r="AS921" s="234"/>
      <c r="AT921" s="234"/>
      <c r="AU921" s="234"/>
      <c r="AV921" s="234"/>
      <c r="AW921" s="234"/>
      <c r="AX921" s="234"/>
      <c r="AY921" s="234"/>
      <c r="AZ921" s="234"/>
      <c r="BA921" s="234"/>
      <c r="BB921" s="234"/>
      <c r="BC921" s="234"/>
      <c r="BD921" s="234"/>
      <c r="BE921" s="234"/>
      <c r="BF921" s="234"/>
      <c r="BG921" s="234"/>
      <c r="BH921" s="234"/>
      <c r="BI921" s="234"/>
      <c r="BJ921" s="234"/>
      <c r="BK921" s="234"/>
      <c r="BL921" s="234"/>
      <c r="BM921" s="234"/>
      <c r="BN921" s="234"/>
      <c r="BO921" s="234"/>
    </row>
    <row r="922" spans="1:67" ht="24" customHeight="1" x14ac:dyDescent="0.25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  <c r="AB922" s="234"/>
      <c r="AC922" s="234"/>
      <c r="AD922" s="234"/>
      <c r="AE922" s="234"/>
      <c r="AF922" s="234"/>
      <c r="AG922" s="234"/>
      <c r="AH922" s="234"/>
      <c r="AI922" s="234"/>
      <c r="AJ922" s="234"/>
      <c r="AK922" s="234"/>
      <c r="AL922" s="234"/>
      <c r="AM922" s="234"/>
      <c r="AN922" s="234"/>
      <c r="AO922" s="234"/>
      <c r="AP922" s="234"/>
      <c r="AQ922" s="234"/>
      <c r="AR922" s="234"/>
      <c r="AS922" s="234"/>
      <c r="AT922" s="234"/>
      <c r="AU922" s="234"/>
      <c r="AV922" s="234"/>
      <c r="AW922" s="234"/>
      <c r="AX922" s="234"/>
      <c r="AY922" s="234"/>
      <c r="AZ922" s="234"/>
      <c r="BA922" s="234"/>
      <c r="BB922" s="234"/>
      <c r="BC922" s="234"/>
      <c r="BD922" s="234"/>
      <c r="BE922" s="234"/>
      <c r="BF922" s="234"/>
      <c r="BG922" s="234"/>
      <c r="BH922" s="234"/>
      <c r="BI922" s="234"/>
      <c r="BJ922" s="234"/>
      <c r="BK922" s="234"/>
      <c r="BL922" s="234"/>
      <c r="BM922" s="234"/>
      <c r="BN922" s="234"/>
      <c r="BO922" s="234"/>
    </row>
    <row r="923" spans="1:67" ht="24" customHeight="1" x14ac:dyDescent="0.25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  <c r="AB923" s="234"/>
      <c r="AC923" s="234"/>
      <c r="AD923" s="234"/>
      <c r="AE923" s="234"/>
      <c r="AF923" s="234"/>
      <c r="AG923" s="234"/>
      <c r="AH923" s="234"/>
      <c r="AI923" s="234"/>
      <c r="AJ923" s="234"/>
      <c r="AK923" s="234"/>
      <c r="AL923" s="234"/>
      <c r="AM923" s="234"/>
      <c r="AN923" s="234"/>
      <c r="AO923" s="234"/>
      <c r="AP923" s="234"/>
      <c r="AQ923" s="234"/>
      <c r="AR923" s="234"/>
      <c r="AS923" s="234"/>
      <c r="AT923" s="234"/>
      <c r="AU923" s="234"/>
      <c r="AV923" s="234"/>
      <c r="AW923" s="234"/>
      <c r="AX923" s="234"/>
      <c r="AY923" s="234"/>
      <c r="AZ923" s="234"/>
      <c r="BA923" s="234"/>
      <c r="BB923" s="234"/>
      <c r="BC923" s="234"/>
      <c r="BD923" s="234"/>
      <c r="BE923" s="234"/>
      <c r="BF923" s="234"/>
      <c r="BG923" s="234"/>
      <c r="BH923" s="234"/>
      <c r="BI923" s="234"/>
      <c r="BJ923" s="234"/>
      <c r="BK923" s="234"/>
      <c r="BL923" s="234"/>
      <c r="BM923" s="234"/>
      <c r="BN923" s="234"/>
      <c r="BO923" s="234"/>
    </row>
    <row r="924" spans="1:67" ht="24" customHeight="1" x14ac:dyDescent="0.25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  <c r="AB924" s="234"/>
      <c r="AC924" s="234"/>
      <c r="AD924" s="234"/>
      <c r="AE924" s="234"/>
      <c r="AF924" s="234"/>
      <c r="AG924" s="234"/>
      <c r="AH924" s="234"/>
      <c r="AI924" s="234"/>
      <c r="AJ924" s="234"/>
      <c r="AK924" s="234"/>
      <c r="AL924" s="234"/>
      <c r="AM924" s="234"/>
      <c r="AN924" s="234"/>
      <c r="AO924" s="234"/>
      <c r="AP924" s="234"/>
      <c r="AQ924" s="234"/>
      <c r="AR924" s="234"/>
      <c r="AS924" s="234"/>
      <c r="AT924" s="234"/>
      <c r="AU924" s="234"/>
      <c r="AV924" s="234"/>
      <c r="AW924" s="234"/>
      <c r="AX924" s="234"/>
      <c r="AY924" s="234"/>
      <c r="AZ924" s="234"/>
      <c r="BA924" s="234"/>
      <c r="BB924" s="234"/>
      <c r="BC924" s="234"/>
      <c r="BD924" s="234"/>
      <c r="BE924" s="234"/>
      <c r="BF924" s="234"/>
      <c r="BG924" s="234"/>
      <c r="BH924" s="234"/>
      <c r="BI924" s="234"/>
      <c r="BJ924" s="234"/>
      <c r="BK924" s="234"/>
      <c r="BL924" s="234"/>
      <c r="BM924" s="234"/>
      <c r="BN924" s="234"/>
      <c r="BO924" s="234"/>
    </row>
    <row r="925" spans="1:67" ht="24" customHeight="1" x14ac:dyDescent="0.2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  <c r="AB925" s="234"/>
      <c r="AC925" s="234"/>
      <c r="AD925" s="234"/>
      <c r="AE925" s="234"/>
      <c r="AF925" s="234"/>
      <c r="AG925" s="234"/>
      <c r="AH925" s="234"/>
      <c r="AI925" s="234"/>
      <c r="AJ925" s="234"/>
      <c r="AK925" s="234"/>
      <c r="AL925" s="234"/>
      <c r="AM925" s="234"/>
      <c r="AN925" s="234"/>
      <c r="AO925" s="234"/>
      <c r="AP925" s="234"/>
      <c r="AQ925" s="234"/>
      <c r="AR925" s="234"/>
      <c r="AS925" s="234"/>
      <c r="AT925" s="234"/>
      <c r="AU925" s="234"/>
      <c r="AV925" s="234"/>
      <c r="AW925" s="234"/>
      <c r="AX925" s="234"/>
      <c r="AY925" s="234"/>
      <c r="AZ925" s="234"/>
      <c r="BA925" s="234"/>
      <c r="BB925" s="234"/>
      <c r="BC925" s="234"/>
      <c r="BD925" s="234"/>
      <c r="BE925" s="234"/>
      <c r="BF925" s="234"/>
      <c r="BG925" s="234"/>
      <c r="BH925" s="234"/>
      <c r="BI925" s="234"/>
      <c r="BJ925" s="234"/>
      <c r="BK925" s="234"/>
      <c r="BL925" s="234"/>
      <c r="BM925" s="234"/>
      <c r="BN925" s="234"/>
      <c r="BO925" s="234"/>
    </row>
    <row r="926" spans="1:67" ht="24" customHeight="1" x14ac:dyDescent="0.25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  <c r="AB926" s="234"/>
      <c r="AC926" s="234"/>
      <c r="AD926" s="234"/>
      <c r="AE926" s="234"/>
      <c r="AF926" s="234"/>
      <c r="AG926" s="234"/>
      <c r="AH926" s="234"/>
      <c r="AI926" s="234"/>
      <c r="AJ926" s="234"/>
      <c r="AK926" s="234"/>
      <c r="AL926" s="234"/>
      <c r="AM926" s="234"/>
      <c r="AN926" s="234"/>
      <c r="AO926" s="234"/>
      <c r="AP926" s="234"/>
      <c r="AQ926" s="234"/>
      <c r="AR926" s="234"/>
      <c r="AS926" s="234"/>
      <c r="AT926" s="234"/>
      <c r="AU926" s="234"/>
      <c r="AV926" s="234"/>
      <c r="AW926" s="234"/>
      <c r="AX926" s="234"/>
      <c r="AY926" s="234"/>
      <c r="AZ926" s="234"/>
      <c r="BA926" s="234"/>
      <c r="BB926" s="234"/>
      <c r="BC926" s="234"/>
      <c r="BD926" s="234"/>
      <c r="BE926" s="234"/>
      <c r="BF926" s="234"/>
      <c r="BG926" s="234"/>
      <c r="BH926" s="234"/>
      <c r="BI926" s="234"/>
      <c r="BJ926" s="234"/>
      <c r="BK926" s="234"/>
      <c r="BL926" s="234"/>
      <c r="BM926" s="234"/>
      <c r="BN926" s="234"/>
      <c r="BO926" s="234"/>
    </row>
    <row r="927" spans="1:67" ht="24" customHeight="1" x14ac:dyDescent="0.25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  <c r="AB927" s="234"/>
      <c r="AC927" s="234"/>
      <c r="AD927" s="234"/>
      <c r="AE927" s="234"/>
      <c r="AF927" s="234"/>
      <c r="AG927" s="234"/>
      <c r="AH927" s="234"/>
      <c r="AI927" s="234"/>
      <c r="AJ927" s="234"/>
      <c r="AK927" s="234"/>
      <c r="AL927" s="234"/>
      <c r="AM927" s="234"/>
      <c r="AN927" s="234"/>
      <c r="AO927" s="234"/>
      <c r="AP927" s="234"/>
      <c r="AQ927" s="234"/>
      <c r="AR927" s="234"/>
      <c r="AS927" s="234"/>
      <c r="AT927" s="234"/>
      <c r="AU927" s="234"/>
      <c r="AV927" s="234"/>
      <c r="AW927" s="234"/>
      <c r="AX927" s="234"/>
      <c r="AY927" s="234"/>
      <c r="AZ927" s="234"/>
      <c r="BA927" s="234"/>
      <c r="BB927" s="234"/>
      <c r="BC927" s="234"/>
      <c r="BD927" s="234"/>
      <c r="BE927" s="234"/>
      <c r="BF927" s="234"/>
      <c r="BG927" s="234"/>
      <c r="BH927" s="234"/>
      <c r="BI927" s="234"/>
      <c r="BJ927" s="234"/>
      <c r="BK927" s="234"/>
      <c r="BL927" s="234"/>
      <c r="BM927" s="234"/>
      <c r="BN927" s="234"/>
      <c r="BO927" s="234"/>
    </row>
    <row r="928" spans="1:67" ht="24" customHeight="1" x14ac:dyDescent="0.25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  <c r="AB928" s="234"/>
      <c r="AC928" s="234"/>
      <c r="AD928" s="234"/>
      <c r="AE928" s="234"/>
      <c r="AF928" s="234"/>
      <c r="AG928" s="234"/>
      <c r="AH928" s="234"/>
      <c r="AI928" s="234"/>
      <c r="AJ928" s="234"/>
      <c r="AK928" s="234"/>
      <c r="AL928" s="234"/>
      <c r="AM928" s="234"/>
      <c r="AN928" s="234"/>
      <c r="AO928" s="234"/>
      <c r="AP928" s="234"/>
      <c r="AQ928" s="234"/>
      <c r="AR928" s="234"/>
      <c r="AS928" s="234"/>
      <c r="AT928" s="234"/>
      <c r="AU928" s="234"/>
      <c r="AV928" s="234"/>
      <c r="AW928" s="234"/>
      <c r="AX928" s="234"/>
      <c r="AY928" s="234"/>
      <c r="AZ928" s="234"/>
      <c r="BA928" s="234"/>
      <c r="BB928" s="234"/>
      <c r="BC928" s="234"/>
      <c r="BD928" s="234"/>
      <c r="BE928" s="234"/>
      <c r="BF928" s="234"/>
      <c r="BG928" s="234"/>
      <c r="BH928" s="234"/>
      <c r="BI928" s="234"/>
      <c r="BJ928" s="234"/>
      <c r="BK928" s="234"/>
      <c r="BL928" s="234"/>
      <c r="BM928" s="234"/>
      <c r="BN928" s="234"/>
      <c r="BO928" s="234"/>
    </row>
    <row r="929" spans="1:67" ht="24" customHeight="1" x14ac:dyDescent="0.25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  <c r="AB929" s="234"/>
      <c r="AC929" s="234"/>
      <c r="AD929" s="234"/>
      <c r="AE929" s="234"/>
      <c r="AF929" s="234"/>
      <c r="AG929" s="234"/>
      <c r="AH929" s="234"/>
      <c r="AI929" s="234"/>
      <c r="AJ929" s="234"/>
      <c r="AK929" s="234"/>
      <c r="AL929" s="234"/>
      <c r="AM929" s="234"/>
      <c r="AN929" s="234"/>
      <c r="AO929" s="234"/>
      <c r="AP929" s="234"/>
      <c r="AQ929" s="234"/>
      <c r="AR929" s="234"/>
      <c r="AS929" s="234"/>
      <c r="AT929" s="234"/>
      <c r="AU929" s="234"/>
      <c r="AV929" s="234"/>
      <c r="AW929" s="234"/>
      <c r="AX929" s="234"/>
      <c r="AY929" s="234"/>
      <c r="AZ929" s="234"/>
      <c r="BA929" s="234"/>
      <c r="BB929" s="234"/>
      <c r="BC929" s="234"/>
      <c r="BD929" s="234"/>
      <c r="BE929" s="234"/>
      <c r="BF929" s="234"/>
      <c r="BG929" s="234"/>
      <c r="BH929" s="234"/>
      <c r="BI929" s="234"/>
      <c r="BJ929" s="234"/>
      <c r="BK929" s="234"/>
      <c r="BL929" s="234"/>
      <c r="BM929" s="234"/>
      <c r="BN929" s="234"/>
      <c r="BO929" s="234"/>
    </row>
    <row r="930" spans="1:67" ht="24" customHeight="1" x14ac:dyDescent="0.25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  <c r="AB930" s="234"/>
      <c r="AC930" s="234"/>
      <c r="AD930" s="234"/>
      <c r="AE930" s="234"/>
      <c r="AF930" s="234"/>
      <c r="AG930" s="234"/>
      <c r="AH930" s="234"/>
      <c r="AI930" s="234"/>
      <c r="AJ930" s="234"/>
      <c r="AK930" s="234"/>
      <c r="AL930" s="234"/>
      <c r="AM930" s="234"/>
      <c r="AN930" s="234"/>
      <c r="AO930" s="234"/>
      <c r="AP930" s="234"/>
      <c r="AQ930" s="234"/>
      <c r="AR930" s="234"/>
      <c r="AS930" s="234"/>
      <c r="AT930" s="234"/>
      <c r="AU930" s="234"/>
      <c r="AV930" s="234"/>
      <c r="AW930" s="234"/>
      <c r="AX930" s="234"/>
      <c r="AY930" s="234"/>
      <c r="AZ930" s="234"/>
      <c r="BA930" s="234"/>
      <c r="BB930" s="234"/>
      <c r="BC930" s="234"/>
      <c r="BD930" s="234"/>
      <c r="BE930" s="234"/>
      <c r="BF930" s="234"/>
      <c r="BG930" s="234"/>
      <c r="BH930" s="234"/>
      <c r="BI930" s="234"/>
      <c r="BJ930" s="234"/>
      <c r="BK930" s="234"/>
      <c r="BL930" s="234"/>
      <c r="BM930" s="234"/>
      <c r="BN930" s="234"/>
      <c r="BO930" s="234"/>
    </row>
    <row r="931" spans="1:67" ht="24" customHeight="1" x14ac:dyDescent="0.25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  <c r="AB931" s="234"/>
      <c r="AC931" s="234"/>
      <c r="AD931" s="234"/>
      <c r="AE931" s="234"/>
      <c r="AF931" s="234"/>
      <c r="AG931" s="234"/>
      <c r="AH931" s="234"/>
      <c r="AI931" s="234"/>
      <c r="AJ931" s="234"/>
      <c r="AK931" s="234"/>
      <c r="AL931" s="234"/>
      <c r="AM931" s="234"/>
      <c r="AN931" s="234"/>
      <c r="AO931" s="234"/>
      <c r="AP931" s="234"/>
      <c r="AQ931" s="234"/>
      <c r="AR931" s="234"/>
      <c r="AS931" s="234"/>
      <c r="AT931" s="234"/>
      <c r="AU931" s="234"/>
      <c r="AV931" s="234"/>
      <c r="AW931" s="234"/>
      <c r="AX931" s="234"/>
      <c r="AY931" s="234"/>
      <c r="AZ931" s="234"/>
      <c r="BA931" s="234"/>
      <c r="BB931" s="234"/>
      <c r="BC931" s="234"/>
      <c r="BD931" s="234"/>
      <c r="BE931" s="234"/>
      <c r="BF931" s="234"/>
      <c r="BG931" s="234"/>
      <c r="BH931" s="234"/>
      <c r="BI931" s="234"/>
      <c r="BJ931" s="234"/>
      <c r="BK931" s="234"/>
      <c r="BL931" s="234"/>
      <c r="BM931" s="234"/>
      <c r="BN931" s="234"/>
      <c r="BO931" s="234"/>
    </row>
    <row r="932" spans="1:67" ht="24" customHeight="1" x14ac:dyDescent="0.25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  <c r="AB932" s="234"/>
      <c r="AC932" s="234"/>
      <c r="AD932" s="234"/>
      <c r="AE932" s="234"/>
      <c r="AF932" s="234"/>
      <c r="AG932" s="234"/>
      <c r="AH932" s="234"/>
      <c r="AI932" s="234"/>
      <c r="AJ932" s="234"/>
      <c r="AK932" s="234"/>
      <c r="AL932" s="234"/>
      <c r="AM932" s="234"/>
      <c r="AN932" s="234"/>
      <c r="AO932" s="234"/>
      <c r="AP932" s="234"/>
      <c r="AQ932" s="234"/>
      <c r="AR932" s="234"/>
      <c r="AS932" s="234"/>
      <c r="AT932" s="234"/>
      <c r="AU932" s="234"/>
      <c r="AV932" s="234"/>
      <c r="AW932" s="234"/>
      <c r="AX932" s="234"/>
      <c r="AY932" s="234"/>
      <c r="AZ932" s="234"/>
      <c r="BA932" s="234"/>
      <c r="BB932" s="234"/>
      <c r="BC932" s="234"/>
      <c r="BD932" s="234"/>
      <c r="BE932" s="234"/>
      <c r="BF932" s="234"/>
      <c r="BG932" s="234"/>
      <c r="BH932" s="234"/>
      <c r="BI932" s="234"/>
      <c r="BJ932" s="234"/>
      <c r="BK932" s="234"/>
      <c r="BL932" s="234"/>
      <c r="BM932" s="234"/>
      <c r="BN932" s="234"/>
      <c r="BO932" s="234"/>
    </row>
    <row r="933" spans="1:67" ht="24" customHeight="1" x14ac:dyDescent="0.25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  <c r="AB933" s="234"/>
      <c r="AC933" s="234"/>
      <c r="AD933" s="234"/>
      <c r="AE933" s="234"/>
      <c r="AF933" s="234"/>
      <c r="AG933" s="234"/>
      <c r="AH933" s="234"/>
      <c r="AI933" s="234"/>
      <c r="AJ933" s="234"/>
      <c r="AK933" s="234"/>
      <c r="AL933" s="234"/>
      <c r="AM933" s="234"/>
      <c r="AN933" s="234"/>
      <c r="AO933" s="234"/>
      <c r="AP933" s="234"/>
      <c r="AQ933" s="234"/>
      <c r="AR933" s="234"/>
      <c r="AS933" s="234"/>
      <c r="AT933" s="234"/>
      <c r="AU933" s="234"/>
      <c r="AV933" s="234"/>
      <c r="AW933" s="234"/>
      <c r="AX933" s="234"/>
      <c r="AY933" s="234"/>
      <c r="AZ933" s="234"/>
      <c r="BA933" s="234"/>
      <c r="BB933" s="234"/>
      <c r="BC933" s="234"/>
      <c r="BD933" s="234"/>
      <c r="BE933" s="234"/>
      <c r="BF933" s="234"/>
      <c r="BG933" s="234"/>
      <c r="BH933" s="234"/>
      <c r="BI933" s="234"/>
      <c r="BJ933" s="234"/>
      <c r="BK933" s="234"/>
      <c r="BL933" s="234"/>
      <c r="BM933" s="234"/>
      <c r="BN933" s="234"/>
      <c r="BO933" s="234"/>
    </row>
    <row r="934" spans="1:67" ht="24" customHeight="1" x14ac:dyDescent="0.25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  <c r="AB934" s="234"/>
      <c r="AC934" s="234"/>
      <c r="AD934" s="234"/>
      <c r="AE934" s="234"/>
      <c r="AF934" s="234"/>
      <c r="AG934" s="234"/>
      <c r="AH934" s="234"/>
      <c r="AI934" s="234"/>
      <c r="AJ934" s="234"/>
      <c r="AK934" s="234"/>
      <c r="AL934" s="234"/>
      <c r="AM934" s="234"/>
      <c r="AN934" s="234"/>
      <c r="AO934" s="234"/>
      <c r="AP934" s="234"/>
      <c r="AQ934" s="234"/>
      <c r="AR934" s="234"/>
      <c r="AS934" s="234"/>
      <c r="AT934" s="234"/>
      <c r="AU934" s="234"/>
      <c r="AV934" s="234"/>
      <c r="AW934" s="234"/>
      <c r="AX934" s="234"/>
      <c r="AY934" s="234"/>
      <c r="AZ934" s="234"/>
      <c r="BA934" s="234"/>
      <c r="BB934" s="234"/>
      <c r="BC934" s="234"/>
      <c r="BD934" s="234"/>
      <c r="BE934" s="234"/>
      <c r="BF934" s="234"/>
      <c r="BG934" s="234"/>
      <c r="BH934" s="234"/>
      <c r="BI934" s="234"/>
      <c r="BJ934" s="234"/>
      <c r="BK934" s="234"/>
      <c r="BL934" s="234"/>
      <c r="BM934" s="234"/>
      <c r="BN934" s="234"/>
      <c r="BO934" s="234"/>
    </row>
    <row r="935" spans="1:67" ht="24" customHeight="1" x14ac:dyDescent="0.2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  <c r="AB935" s="234"/>
      <c r="AC935" s="234"/>
      <c r="AD935" s="234"/>
      <c r="AE935" s="234"/>
      <c r="AF935" s="234"/>
      <c r="AG935" s="234"/>
      <c r="AH935" s="234"/>
      <c r="AI935" s="234"/>
      <c r="AJ935" s="234"/>
      <c r="AK935" s="234"/>
      <c r="AL935" s="234"/>
      <c r="AM935" s="234"/>
      <c r="AN935" s="234"/>
      <c r="AO935" s="234"/>
      <c r="AP935" s="234"/>
      <c r="AQ935" s="234"/>
      <c r="AR935" s="234"/>
      <c r="AS935" s="234"/>
      <c r="AT935" s="234"/>
      <c r="AU935" s="234"/>
      <c r="AV935" s="234"/>
      <c r="AW935" s="234"/>
      <c r="AX935" s="234"/>
      <c r="AY935" s="234"/>
      <c r="AZ935" s="234"/>
      <c r="BA935" s="234"/>
      <c r="BB935" s="234"/>
      <c r="BC935" s="234"/>
      <c r="BD935" s="234"/>
      <c r="BE935" s="234"/>
      <c r="BF935" s="234"/>
      <c r="BG935" s="234"/>
      <c r="BH935" s="234"/>
      <c r="BI935" s="234"/>
      <c r="BJ935" s="234"/>
      <c r="BK935" s="234"/>
      <c r="BL935" s="234"/>
      <c r="BM935" s="234"/>
      <c r="BN935" s="234"/>
      <c r="BO935" s="234"/>
    </row>
    <row r="936" spans="1:67" ht="24" customHeight="1" x14ac:dyDescent="0.25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  <c r="AB936" s="234"/>
      <c r="AC936" s="234"/>
      <c r="AD936" s="234"/>
      <c r="AE936" s="234"/>
      <c r="AF936" s="234"/>
      <c r="AG936" s="234"/>
      <c r="AH936" s="234"/>
      <c r="AI936" s="234"/>
      <c r="AJ936" s="234"/>
      <c r="AK936" s="234"/>
      <c r="AL936" s="234"/>
      <c r="AM936" s="234"/>
      <c r="AN936" s="234"/>
      <c r="AO936" s="234"/>
      <c r="AP936" s="234"/>
      <c r="AQ936" s="234"/>
      <c r="AR936" s="234"/>
      <c r="AS936" s="234"/>
      <c r="AT936" s="234"/>
      <c r="AU936" s="234"/>
      <c r="AV936" s="234"/>
      <c r="AW936" s="234"/>
      <c r="AX936" s="234"/>
      <c r="AY936" s="234"/>
      <c r="AZ936" s="234"/>
      <c r="BA936" s="234"/>
      <c r="BB936" s="234"/>
      <c r="BC936" s="234"/>
      <c r="BD936" s="234"/>
      <c r="BE936" s="234"/>
      <c r="BF936" s="234"/>
      <c r="BG936" s="234"/>
      <c r="BH936" s="234"/>
      <c r="BI936" s="234"/>
      <c r="BJ936" s="234"/>
      <c r="BK936" s="234"/>
      <c r="BL936" s="234"/>
      <c r="BM936" s="234"/>
      <c r="BN936" s="234"/>
      <c r="BO936" s="234"/>
    </row>
    <row r="937" spans="1:67" ht="24" customHeight="1" x14ac:dyDescent="0.25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  <c r="AB937" s="234"/>
      <c r="AC937" s="234"/>
      <c r="AD937" s="234"/>
      <c r="AE937" s="234"/>
      <c r="AF937" s="234"/>
      <c r="AG937" s="234"/>
      <c r="AH937" s="234"/>
      <c r="AI937" s="234"/>
      <c r="AJ937" s="234"/>
      <c r="AK937" s="234"/>
      <c r="AL937" s="234"/>
      <c r="AM937" s="234"/>
      <c r="AN937" s="234"/>
      <c r="AO937" s="234"/>
      <c r="AP937" s="234"/>
      <c r="AQ937" s="234"/>
      <c r="AR937" s="234"/>
      <c r="AS937" s="234"/>
      <c r="AT937" s="234"/>
      <c r="AU937" s="234"/>
      <c r="AV937" s="234"/>
      <c r="AW937" s="234"/>
      <c r="AX937" s="234"/>
      <c r="AY937" s="234"/>
      <c r="AZ937" s="234"/>
      <c r="BA937" s="234"/>
      <c r="BB937" s="234"/>
      <c r="BC937" s="234"/>
      <c r="BD937" s="234"/>
      <c r="BE937" s="234"/>
      <c r="BF937" s="234"/>
      <c r="BG937" s="234"/>
      <c r="BH937" s="234"/>
      <c r="BI937" s="234"/>
      <c r="BJ937" s="234"/>
      <c r="BK937" s="234"/>
      <c r="BL937" s="234"/>
      <c r="BM937" s="234"/>
      <c r="BN937" s="234"/>
      <c r="BO937" s="234"/>
    </row>
    <row r="938" spans="1:67" ht="24" customHeight="1" x14ac:dyDescent="0.25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  <c r="AB938" s="234"/>
      <c r="AC938" s="234"/>
      <c r="AD938" s="234"/>
      <c r="AE938" s="234"/>
      <c r="AF938" s="234"/>
      <c r="AG938" s="234"/>
      <c r="AH938" s="234"/>
      <c r="AI938" s="234"/>
      <c r="AJ938" s="234"/>
      <c r="AK938" s="234"/>
      <c r="AL938" s="234"/>
      <c r="AM938" s="234"/>
      <c r="AN938" s="234"/>
      <c r="AO938" s="234"/>
      <c r="AP938" s="234"/>
      <c r="AQ938" s="234"/>
      <c r="AR938" s="234"/>
      <c r="AS938" s="234"/>
      <c r="AT938" s="234"/>
      <c r="AU938" s="234"/>
      <c r="AV938" s="234"/>
      <c r="AW938" s="234"/>
      <c r="AX938" s="234"/>
      <c r="AY938" s="234"/>
      <c r="AZ938" s="234"/>
      <c r="BA938" s="234"/>
      <c r="BB938" s="234"/>
      <c r="BC938" s="234"/>
      <c r="BD938" s="234"/>
      <c r="BE938" s="234"/>
      <c r="BF938" s="234"/>
      <c r="BG938" s="234"/>
      <c r="BH938" s="234"/>
      <c r="BI938" s="234"/>
      <c r="BJ938" s="234"/>
      <c r="BK938" s="234"/>
      <c r="BL938" s="234"/>
      <c r="BM938" s="234"/>
      <c r="BN938" s="234"/>
      <c r="BO938" s="234"/>
    </row>
    <row r="939" spans="1:67" ht="24" customHeight="1" x14ac:dyDescent="0.25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  <c r="AB939" s="234"/>
      <c r="AC939" s="234"/>
      <c r="AD939" s="234"/>
      <c r="AE939" s="234"/>
      <c r="AF939" s="234"/>
      <c r="AG939" s="234"/>
      <c r="AH939" s="234"/>
      <c r="AI939" s="234"/>
      <c r="AJ939" s="234"/>
      <c r="AK939" s="234"/>
      <c r="AL939" s="234"/>
      <c r="AM939" s="234"/>
      <c r="AN939" s="234"/>
      <c r="AO939" s="234"/>
      <c r="AP939" s="234"/>
      <c r="AQ939" s="234"/>
      <c r="AR939" s="234"/>
      <c r="AS939" s="234"/>
      <c r="AT939" s="234"/>
      <c r="AU939" s="234"/>
      <c r="AV939" s="234"/>
      <c r="AW939" s="234"/>
      <c r="AX939" s="234"/>
      <c r="AY939" s="234"/>
      <c r="AZ939" s="234"/>
      <c r="BA939" s="234"/>
      <c r="BB939" s="234"/>
      <c r="BC939" s="234"/>
      <c r="BD939" s="234"/>
      <c r="BE939" s="234"/>
      <c r="BF939" s="234"/>
      <c r="BG939" s="234"/>
      <c r="BH939" s="234"/>
      <c r="BI939" s="234"/>
      <c r="BJ939" s="234"/>
      <c r="BK939" s="234"/>
      <c r="BL939" s="234"/>
      <c r="BM939" s="234"/>
      <c r="BN939" s="234"/>
      <c r="BO939" s="234"/>
    </row>
    <row r="940" spans="1:67" ht="24" customHeight="1" x14ac:dyDescent="0.25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  <c r="AB940" s="234"/>
      <c r="AC940" s="234"/>
      <c r="AD940" s="234"/>
      <c r="AE940" s="234"/>
      <c r="AF940" s="234"/>
      <c r="AG940" s="234"/>
      <c r="AH940" s="234"/>
      <c r="AI940" s="234"/>
      <c r="AJ940" s="234"/>
      <c r="AK940" s="234"/>
      <c r="AL940" s="234"/>
      <c r="AM940" s="234"/>
      <c r="AN940" s="234"/>
      <c r="AO940" s="234"/>
      <c r="AP940" s="234"/>
      <c r="AQ940" s="234"/>
      <c r="AR940" s="234"/>
      <c r="AS940" s="234"/>
      <c r="AT940" s="234"/>
      <c r="AU940" s="234"/>
      <c r="AV940" s="234"/>
      <c r="AW940" s="234"/>
      <c r="AX940" s="234"/>
      <c r="AY940" s="234"/>
      <c r="AZ940" s="234"/>
      <c r="BA940" s="234"/>
      <c r="BB940" s="234"/>
      <c r="BC940" s="234"/>
      <c r="BD940" s="234"/>
      <c r="BE940" s="234"/>
      <c r="BF940" s="234"/>
      <c r="BG940" s="234"/>
      <c r="BH940" s="234"/>
      <c r="BI940" s="234"/>
      <c r="BJ940" s="234"/>
      <c r="BK940" s="234"/>
      <c r="BL940" s="234"/>
      <c r="BM940" s="234"/>
      <c r="BN940" s="234"/>
      <c r="BO940" s="234"/>
    </row>
    <row r="941" spans="1:67" ht="24" customHeight="1" x14ac:dyDescent="0.25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  <c r="AB941" s="234"/>
      <c r="AC941" s="234"/>
      <c r="AD941" s="234"/>
      <c r="AE941" s="234"/>
      <c r="AF941" s="234"/>
      <c r="AG941" s="234"/>
      <c r="AH941" s="234"/>
      <c r="AI941" s="234"/>
      <c r="AJ941" s="234"/>
      <c r="AK941" s="234"/>
      <c r="AL941" s="234"/>
      <c r="AM941" s="234"/>
      <c r="AN941" s="234"/>
      <c r="AO941" s="234"/>
      <c r="AP941" s="234"/>
      <c r="AQ941" s="234"/>
      <c r="AR941" s="234"/>
      <c r="AS941" s="234"/>
      <c r="AT941" s="234"/>
      <c r="AU941" s="234"/>
      <c r="AV941" s="234"/>
      <c r="AW941" s="234"/>
      <c r="AX941" s="234"/>
      <c r="AY941" s="234"/>
      <c r="AZ941" s="234"/>
      <c r="BA941" s="234"/>
      <c r="BB941" s="234"/>
      <c r="BC941" s="234"/>
      <c r="BD941" s="234"/>
      <c r="BE941" s="234"/>
      <c r="BF941" s="234"/>
      <c r="BG941" s="234"/>
      <c r="BH941" s="234"/>
      <c r="BI941" s="234"/>
      <c r="BJ941" s="234"/>
      <c r="BK941" s="234"/>
      <c r="BL941" s="234"/>
      <c r="BM941" s="234"/>
      <c r="BN941" s="234"/>
      <c r="BO941" s="234"/>
    </row>
    <row r="942" spans="1:67" ht="24" customHeight="1" x14ac:dyDescent="0.25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  <c r="AB942" s="234"/>
      <c r="AC942" s="234"/>
      <c r="AD942" s="234"/>
      <c r="AE942" s="234"/>
      <c r="AF942" s="234"/>
      <c r="AG942" s="234"/>
      <c r="AH942" s="234"/>
      <c r="AI942" s="234"/>
      <c r="AJ942" s="234"/>
      <c r="AK942" s="234"/>
      <c r="AL942" s="234"/>
      <c r="AM942" s="234"/>
      <c r="AN942" s="234"/>
      <c r="AO942" s="234"/>
      <c r="AP942" s="234"/>
      <c r="AQ942" s="234"/>
      <c r="AR942" s="234"/>
      <c r="AS942" s="234"/>
      <c r="AT942" s="234"/>
      <c r="AU942" s="234"/>
      <c r="AV942" s="234"/>
      <c r="AW942" s="234"/>
      <c r="AX942" s="234"/>
      <c r="AY942" s="234"/>
      <c r="AZ942" s="234"/>
      <c r="BA942" s="234"/>
      <c r="BB942" s="234"/>
      <c r="BC942" s="234"/>
      <c r="BD942" s="234"/>
      <c r="BE942" s="234"/>
      <c r="BF942" s="234"/>
      <c r="BG942" s="234"/>
      <c r="BH942" s="234"/>
      <c r="BI942" s="234"/>
      <c r="BJ942" s="234"/>
      <c r="BK942" s="234"/>
      <c r="BL942" s="234"/>
      <c r="BM942" s="234"/>
      <c r="BN942" s="234"/>
      <c r="BO942" s="234"/>
    </row>
    <row r="943" spans="1:67" ht="24" customHeight="1" x14ac:dyDescent="0.25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  <c r="AB943" s="234"/>
      <c r="AC943" s="234"/>
      <c r="AD943" s="234"/>
      <c r="AE943" s="234"/>
      <c r="AF943" s="234"/>
      <c r="AG943" s="234"/>
      <c r="AH943" s="234"/>
      <c r="AI943" s="234"/>
      <c r="AJ943" s="234"/>
      <c r="AK943" s="234"/>
      <c r="AL943" s="234"/>
      <c r="AM943" s="234"/>
      <c r="AN943" s="234"/>
      <c r="AO943" s="234"/>
      <c r="AP943" s="234"/>
      <c r="AQ943" s="234"/>
      <c r="AR943" s="234"/>
      <c r="AS943" s="234"/>
      <c r="AT943" s="234"/>
      <c r="AU943" s="234"/>
      <c r="AV943" s="234"/>
      <c r="AW943" s="234"/>
      <c r="AX943" s="234"/>
      <c r="AY943" s="234"/>
      <c r="AZ943" s="234"/>
      <c r="BA943" s="234"/>
      <c r="BB943" s="234"/>
      <c r="BC943" s="234"/>
      <c r="BD943" s="234"/>
      <c r="BE943" s="234"/>
      <c r="BF943" s="234"/>
      <c r="BG943" s="234"/>
      <c r="BH943" s="234"/>
      <c r="BI943" s="234"/>
      <c r="BJ943" s="234"/>
      <c r="BK943" s="234"/>
      <c r="BL943" s="234"/>
      <c r="BM943" s="234"/>
      <c r="BN943" s="234"/>
      <c r="BO943" s="234"/>
    </row>
    <row r="944" spans="1:67" ht="24" customHeight="1" x14ac:dyDescent="0.25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  <c r="AB944" s="234"/>
      <c r="AC944" s="234"/>
      <c r="AD944" s="234"/>
      <c r="AE944" s="234"/>
      <c r="AF944" s="234"/>
      <c r="AG944" s="234"/>
      <c r="AH944" s="234"/>
      <c r="AI944" s="234"/>
      <c r="AJ944" s="234"/>
      <c r="AK944" s="234"/>
      <c r="AL944" s="234"/>
      <c r="AM944" s="234"/>
      <c r="AN944" s="234"/>
      <c r="AO944" s="234"/>
      <c r="AP944" s="234"/>
      <c r="AQ944" s="234"/>
      <c r="AR944" s="234"/>
      <c r="AS944" s="234"/>
      <c r="AT944" s="234"/>
      <c r="AU944" s="234"/>
      <c r="AV944" s="234"/>
      <c r="AW944" s="234"/>
      <c r="AX944" s="234"/>
      <c r="AY944" s="234"/>
      <c r="AZ944" s="234"/>
      <c r="BA944" s="234"/>
      <c r="BB944" s="234"/>
      <c r="BC944" s="234"/>
      <c r="BD944" s="234"/>
      <c r="BE944" s="234"/>
      <c r="BF944" s="234"/>
      <c r="BG944" s="234"/>
      <c r="BH944" s="234"/>
      <c r="BI944" s="234"/>
      <c r="BJ944" s="234"/>
      <c r="BK944" s="234"/>
      <c r="BL944" s="234"/>
      <c r="BM944" s="234"/>
      <c r="BN944" s="234"/>
      <c r="BO944" s="234"/>
    </row>
    <row r="945" spans="1:67" ht="24" customHeight="1" x14ac:dyDescent="0.25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  <c r="AA945" s="234"/>
      <c r="AB945" s="234"/>
      <c r="AC945" s="234"/>
      <c r="AD945" s="234"/>
      <c r="AE945" s="234"/>
      <c r="AF945" s="234"/>
      <c r="AG945" s="234"/>
      <c r="AH945" s="234"/>
      <c r="AI945" s="234"/>
      <c r="AJ945" s="234"/>
      <c r="AK945" s="234"/>
      <c r="AL945" s="234"/>
      <c r="AM945" s="234"/>
      <c r="AN945" s="234"/>
      <c r="AO945" s="234"/>
      <c r="AP945" s="234"/>
      <c r="AQ945" s="234"/>
      <c r="AR945" s="234"/>
      <c r="AS945" s="234"/>
      <c r="AT945" s="234"/>
      <c r="AU945" s="234"/>
      <c r="AV945" s="234"/>
      <c r="AW945" s="234"/>
      <c r="AX945" s="234"/>
      <c r="AY945" s="234"/>
      <c r="AZ945" s="234"/>
      <c r="BA945" s="234"/>
      <c r="BB945" s="234"/>
      <c r="BC945" s="234"/>
      <c r="BD945" s="234"/>
      <c r="BE945" s="234"/>
      <c r="BF945" s="234"/>
      <c r="BG945" s="234"/>
      <c r="BH945" s="234"/>
      <c r="BI945" s="234"/>
      <c r="BJ945" s="234"/>
      <c r="BK945" s="234"/>
      <c r="BL945" s="234"/>
      <c r="BM945" s="234"/>
      <c r="BN945" s="234"/>
      <c r="BO945" s="234"/>
    </row>
    <row r="946" spans="1:67" ht="24" customHeight="1" x14ac:dyDescent="0.25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  <c r="AA946" s="234"/>
      <c r="AB946" s="234"/>
      <c r="AC946" s="234"/>
      <c r="AD946" s="234"/>
      <c r="AE946" s="234"/>
      <c r="AF946" s="234"/>
      <c r="AG946" s="234"/>
      <c r="AH946" s="234"/>
      <c r="AI946" s="234"/>
      <c r="AJ946" s="234"/>
      <c r="AK946" s="234"/>
      <c r="AL946" s="234"/>
      <c r="AM946" s="234"/>
      <c r="AN946" s="234"/>
      <c r="AO946" s="234"/>
      <c r="AP946" s="234"/>
      <c r="AQ946" s="234"/>
      <c r="AR946" s="234"/>
      <c r="AS946" s="234"/>
      <c r="AT946" s="234"/>
      <c r="AU946" s="234"/>
      <c r="AV946" s="234"/>
      <c r="AW946" s="234"/>
      <c r="AX946" s="234"/>
      <c r="AY946" s="234"/>
      <c r="AZ946" s="234"/>
      <c r="BA946" s="234"/>
      <c r="BB946" s="234"/>
      <c r="BC946" s="234"/>
      <c r="BD946" s="234"/>
      <c r="BE946" s="234"/>
      <c r="BF946" s="234"/>
      <c r="BG946" s="234"/>
      <c r="BH946" s="234"/>
      <c r="BI946" s="234"/>
      <c r="BJ946" s="234"/>
      <c r="BK946" s="234"/>
      <c r="BL946" s="234"/>
      <c r="BM946" s="234"/>
      <c r="BN946" s="234"/>
      <c r="BO946" s="234"/>
    </row>
  </sheetData>
  <mergeCells count="53">
    <mergeCell ref="B2:B22"/>
    <mergeCell ref="C2:U2"/>
    <mergeCell ref="V2:Y2"/>
    <mergeCell ref="C3:C4"/>
    <mergeCell ref="D3:U3"/>
    <mergeCell ref="V3:Y3"/>
    <mergeCell ref="D4:I4"/>
    <mergeCell ref="J4:O4"/>
    <mergeCell ref="P4:U4"/>
    <mergeCell ref="C5:C11"/>
    <mergeCell ref="P11:U11"/>
    <mergeCell ref="D8:E8"/>
    <mergeCell ref="F8:G8"/>
    <mergeCell ref="H8:I8"/>
    <mergeCell ref="P8:Q8"/>
    <mergeCell ref="R8:S8"/>
    <mergeCell ref="T8:U8"/>
    <mergeCell ref="J9:K9"/>
    <mergeCell ref="L9:M9"/>
    <mergeCell ref="N9:O9"/>
    <mergeCell ref="D11:I11"/>
    <mergeCell ref="J11:O11"/>
    <mergeCell ref="C15:C21"/>
    <mergeCell ref="D21:I21"/>
    <mergeCell ref="J21:O21"/>
    <mergeCell ref="P21:U21"/>
    <mergeCell ref="D12:G12"/>
    <mergeCell ref="H12:I12"/>
    <mergeCell ref="J12:M12"/>
    <mergeCell ref="N12:O12"/>
    <mergeCell ref="P12:S12"/>
    <mergeCell ref="T12:U12"/>
    <mergeCell ref="C13:C14"/>
    <mergeCell ref="D13:U13"/>
    <mergeCell ref="D14:I14"/>
    <mergeCell ref="J14:O14"/>
    <mergeCell ref="P14:U14"/>
    <mergeCell ref="T22:U22"/>
    <mergeCell ref="V17:Y17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D22:G22"/>
    <mergeCell ref="H22:I22"/>
    <mergeCell ref="J22:M22"/>
    <mergeCell ref="N22:O22"/>
    <mergeCell ref="P22:S22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19" priority="2" stopIfTrue="1">
      <formula>LEN($D4)=14</formula>
    </cfRule>
  </conditionalFormatting>
  <conditionalFormatting sqref="J4">
    <cfRule type="colorScale" priority="3">
      <colorScale>
        <cfvo type="min"/>
        <cfvo type="max"/>
        <color rgb="FFFF7128"/>
        <color rgb="FFFFEF9C"/>
      </colorScale>
    </cfRule>
    <cfRule type="expression" dxfId="118" priority="4" stopIfTrue="1">
      <formula>LEN($D4)=14</formula>
    </cfRule>
  </conditionalFormatting>
  <conditionalFormatting sqref="P4">
    <cfRule type="colorScale" priority="5">
      <colorScale>
        <cfvo type="min"/>
        <cfvo type="max"/>
        <color rgb="FFFF7128"/>
        <color rgb="FFFFEF9C"/>
      </colorScale>
    </cfRule>
    <cfRule type="expression" dxfId="117" priority="6" stopIfTrue="1">
      <formula>LEN($D4)=14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EAD6-684C-4FFD-947D-6CF4CD5308C7}">
  <dimension ref="A1:AY972"/>
  <sheetViews>
    <sheetView zoomScale="70" zoomScaleNormal="70" workbookViewId="0">
      <selection activeCell="C3" sqref="C3:C4"/>
    </sheetView>
  </sheetViews>
  <sheetFormatPr defaultColWidth="8.7109375" defaultRowHeight="24" customHeight="1" x14ac:dyDescent="0.25"/>
  <cols>
    <col min="1" max="16384" width="8.7109375" style="202"/>
  </cols>
  <sheetData>
    <row r="1" spans="1:51" ht="24" customHeight="1" thickBot="1" x14ac:dyDescent="0.3">
      <c r="A1" s="234"/>
      <c r="B1" s="234"/>
      <c r="N1" s="200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4"/>
    </row>
    <row r="2" spans="1:51" ht="24" customHeight="1" thickBot="1" x14ac:dyDescent="0.3">
      <c r="A2" s="234"/>
      <c r="B2" s="295" t="s">
        <v>119</v>
      </c>
      <c r="C2" s="330" t="s">
        <v>140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97" t="s">
        <v>120</v>
      </c>
      <c r="W2" s="287"/>
      <c r="X2" s="287"/>
      <c r="Y2" s="28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</row>
    <row r="3" spans="1:51" ht="24" customHeight="1" thickBot="1" x14ac:dyDescent="0.3">
      <c r="A3" s="234"/>
      <c r="B3" s="293"/>
      <c r="C3" s="370">
        <v>6.9444444444444441E-3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4"/>
      <c r="V3" s="298" t="s">
        <v>99</v>
      </c>
      <c r="W3" s="287"/>
      <c r="X3" s="287"/>
      <c r="Y3" s="28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4"/>
    </row>
    <row r="4" spans="1:51" ht="24" customHeight="1" thickBot="1" x14ac:dyDescent="0.3">
      <c r="A4" s="234"/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1" t="s">
        <v>6</v>
      </c>
      <c r="Q4" s="287"/>
      <c r="R4" s="287"/>
      <c r="S4" s="287"/>
      <c r="T4" s="287"/>
      <c r="U4" s="284"/>
      <c r="V4" s="297" t="str">
        <f>CONCATENATE(COUNT(V6:V17,X6:X17)," VIAGENS")</f>
        <v>24 VIAGENS</v>
      </c>
      <c r="W4" s="287"/>
      <c r="X4" s="287"/>
      <c r="Y4" s="28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4"/>
      <c r="AP4" s="234"/>
      <c r="AQ4" s="234"/>
      <c r="AR4" s="234"/>
      <c r="AS4" s="234"/>
      <c r="AT4" s="234"/>
      <c r="AU4" s="234"/>
      <c r="AV4" s="234"/>
      <c r="AW4" s="234"/>
      <c r="AX4" s="234"/>
      <c r="AY4" s="234"/>
    </row>
    <row r="5" spans="1:51" ht="24" customHeight="1" thickBot="1" x14ac:dyDescent="0.3">
      <c r="A5" s="234"/>
      <c r="B5" s="293"/>
      <c r="C5" s="299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36" t="s">
        <v>8</v>
      </c>
      <c r="Q5" s="237" t="s">
        <v>9</v>
      </c>
      <c r="R5" s="238" t="s">
        <v>10</v>
      </c>
      <c r="S5" s="237" t="s">
        <v>11</v>
      </c>
      <c r="T5" s="238" t="s">
        <v>12</v>
      </c>
      <c r="U5" s="237" t="s">
        <v>13</v>
      </c>
      <c r="V5" s="203" t="s">
        <v>14</v>
      </c>
      <c r="W5" s="204" t="s">
        <v>15</v>
      </c>
      <c r="X5" s="203" t="s">
        <v>14</v>
      </c>
      <c r="Y5" s="204" t="s">
        <v>15</v>
      </c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  <c r="AN5" s="234"/>
      <c r="AO5" s="234"/>
      <c r="AP5" s="234"/>
      <c r="AQ5" s="234"/>
      <c r="AR5" s="234"/>
      <c r="AS5" s="234"/>
      <c r="AT5" s="234"/>
      <c r="AU5" s="234"/>
      <c r="AV5" s="234"/>
      <c r="AW5" s="234"/>
      <c r="AX5" s="234"/>
      <c r="AY5" s="234"/>
    </row>
    <row r="6" spans="1:51" ht="24" customHeight="1" x14ac:dyDescent="0.25">
      <c r="A6" s="234"/>
      <c r="B6" s="293"/>
      <c r="C6" s="300"/>
      <c r="D6" s="239">
        <v>0.20833333333333329</v>
      </c>
      <c r="E6" s="240">
        <v>0.23680555555555549</v>
      </c>
      <c r="F6" s="240">
        <v>0.27638888888888891</v>
      </c>
      <c r="G6" s="241">
        <f t="shared" ref="G6:G8" si="0">F6-D6</f>
        <v>6.8055555555555619E-2</v>
      </c>
      <c r="H6" s="242">
        <v>211</v>
      </c>
      <c r="I6" s="243">
        <v>1</v>
      </c>
      <c r="J6" s="239">
        <v>0.22916666666666671</v>
      </c>
      <c r="K6" s="240">
        <v>0.25486111111111109</v>
      </c>
      <c r="L6" s="240">
        <v>0.28958333333333341</v>
      </c>
      <c r="M6" s="241">
        <f t="shared" ref="M6:M7" si="1">L6-J6</f>
        <v>6.0416666666666702E-2</v>
      </c>
      <c r="N6" s="242">
        <v>211</v>
      </c>
      <c r="O6" s="243">
        <v>2</v>
      </c>
      <c r="P6" s="239">
        <v>0.25694444444444442</v>
      </c>
      <c r="Q6" s="240">
        <v>0.28194444444444439</v>
      </c>
      <c r="R6" s="240">
        <v>0.31111111111111112</v>
      </c>
      <c r="S6" s="241">
        <f t="shared" ref="S6:S8" si="2">R6-P6</f>
        <v>5.4166666666666696E-2</v>
      </c>
      <c r="T6" s="242">
        <v>211</v>
      </c>
      <c r="U6" s="243">
        <v>3</v>
      </c>
      <c r="V6" s="244">
        <v>0.20833333333333329</v>
      </c>
      <c r="W6" s="211"/>
      <c r="X6" s="245">
        <v>0.59027777777777779</v>
      </c>
      <c r="Y6" s="212">
        <f>X6-V17</f>
        <v>3.819444444444442E-2</v>
      </c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</row>
    <row r="7" spans="1:51" ht="24" customHeight="1" thickBot="1" x14ac:dyDescent="0.3">
      <c r="A7" s="234"/>
      <c r="B7" s="293"/>
      <c r="C7" s="300"/>
      <c r="D7" s="239">
        <v>0.28472222222222221</v>
      </c>
      <c r="E7" s="240">
        <v>0.31597222222222221</v>
      </c>
      <c r="F7" s="240">
        <v>0.35347222222222219</v>
      </c>
      <c r="G7" s="241">
        <f t="shared" si="0"/>
        <v>6.8749999999999978E-2</v>
      </c>
      <c r="H7" s="242">
        <v>211</v>
      </c>
      <c r="I7" s="243">
        <v>1</v>
      </c>
      <c r="J7" s="239">
        <v>0.30555555555555558</v>
      </c>
      <c r="K7" s="240">
        <v>0.34236111111111112</v>
      </c>
      <c r="L7" s="240">
        <v>0.37916666666666671</v>
      </c>
      <c r="M7" s="241">
        <f t="shared" si="1"/>
        <v>7.3611111111111127E-2</v>
      </c>
      <c r="N7" s="242">
        <v>211</v>
      </c>
      <c r="O7" s="243">
        <v>2</v>
      </c>
      <c r="P7" s="239">
        <v>0.3263888888888889</v>
      </c>
      <c r="Q7" s="240">
        <v>0.35625000000000001</v>
      </c>
      <c r="R7" s="240">
        <v>0.39166666666666672</v>
      </c>
      <c r="S7" s="241">
        <f t="shared" si="2"/>
        <v>6.5277777777777823E-2</v>
      </c>
      <c r="T7" s="242">
        <v>211</v>
      </c>
      <c r="U7" s="243">
        <v>3</v>
      </c>
      <c r="V7" s="239">
        <v>0.22916666666666671</v>
      </c>
      <c r="W7" s="218">
        <f t="shared" ref="W7:W17" si="3">V7-V6</f>
        <v>2.0833333333333426E-2</v>
      </c>
      <c r="X7" s="240">
        <v>0.61805555555555558</v>
      </c>
      <c r="Y7" s="219">
        <f t="shared" ref="Y7:Y17" si="4">X7-X6</f>
        <v>2.777777777777779E-2</v>
      </c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</row>
    <row r="8" spans="1:51" ht="24" customHeight="1" thickBot="1" x14ac:dyDescent="0.3">
      <c r="A8" s="234"/>
      <c r="B8" s="293"/>
      <c r="C8" s="300"/>
      <c r="D8" s="239">
        <v>0.36458333333333331</v>
      </c>
      <c r="E8" s="240">
        <v>0.40069444444444452</v>
      </c>
      <c r="F8" s="240">
        <v>0.44861111111111113</v>
      </c>
      <c r="G8" s="241">
        <f t="shared" si="0"/>
        <v>8.4027777777777812E-2</v>
      </c>
      <c r="H8" s="242">
        <v>211</v>
      </c>
      <c r="I8" s="243">
        <v>1</v>
      </c>
      <c r="J8" s="283">
        <f>IF(L7="",K7,L7)</f>
        <v>0.37916666666666671</v>
      </c>
      <c r="K8" s="284"/>
      <c r="L8" s="283">
        <f>IF(J9="",K9,J9)</f>
        <v>0.44097222222222221</v>
      </c>
      <c r="M8" s="284"/>
      <c r="N8" s="285">
        <f>L8-J8</f>
        <v>6.1805555555555503E-2</v>
      </c>
      <c r="O8" s="284"/>
      <c r="P8" s="239">
        <v>0.40277777777777779</v>
      </c>
      <c r="Q8" s="240">
        <v>0.44236111111111109</v>
      </c>
      <c r="R8" s="240">
        <v>0.48819444444444438</v>
      </c>
      <c r="S8" s="241">
        <f t="shared" si="2"/>
        <v>8.5416666666666585E-2</v>
      </c>
      <c r="T8" s="242">
        <v>211</v>
      </c>
      <c r="U8" s="243">
        <v>3</v>
      </c>
      <c r="V8" s="239">
        <v>0.25694444444444442</v>
      </c>
      <c r="W8" s="218">
        <f t="shared" si="3"/>
        <v>2.7777777777777707E-2</v>
      </c>
      <c r="X8" s="240">
        <v>0.64583333333333337</v>
      </c>
      <c r="Y8" s="219">
        <f t="shared" si="4"/>
        <v>2.777777777777779E-2</v>
      </c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4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</row>
    <row r="9" spans="1:51" ht="24" customHeight="1" thickBot="1" x14ac:dyDescent="0.3">
      <c r="A9" s="234"/>
      <c r="B9" s="293"/>
      <c r="C9" s="300"/>
      <c r="D9" s="283">
        <f>IF(F8="",E8,F8)</f>
        <v>0.44861111111111113</v>
      </c>
      <c r="E9" s="284"/>
      <c r="F9" s="283">
        <f>IF(D10="",E10,D10)</f>
        <v>0.49722222222222218</v>
      </c>
      <c r="G9" s="284"/>
      <c r="H9" s="285">
        <f>F9-D9</f>
        <v>4.8611111111111049E-2</v>
      </c>
      <c r="I9" s="284"/>
      <c r="J9" s="239">
        <v>0.44097222222222221</v>
      </c>
      <c r="K9" s="240">
        <v>0.47430555555555548</v>
      </c>
      <c r="L9" s="240">
        <v>0.51458333333333328</v>
      </c>
      <c r="M9" s="241">
        <f t="shared" ref="M9:M10" si="5">L9-J9</f>
        <v>7.3611111111111072E-2</v>
      </c>
      <c r="N9" s="242">
        <v>211</v>
      </c>
      <c r="O9" s="243">
        <v>2</v>
      </c>
      <c r="P9" s="283">
        <f>IF(R8="",Q8,R8)</f>
        <v>0.48819444444444438</v>
      </c>
      <c r="Q9" s="284"/>
      <c r="R9" s="283">
        <f>IF(P10="",Q10,P10)</f>
        <v>0.55208333333333337</v>
      </c>
      <c r="S9" s="284"/>
      <c r="T9" s="285">
        <f>R9-P9</f>
        <v>6.3888888888888995E-2</v>
      </c>
      <c r="U9" s="287"/>
      <c r="V9" s="239">
        <v>0.28472222222222221</v>
      </c>
      <c r="W9" s="218">
        <f t="shared" si="3"/>
        <v>2.777777777777779E-2</v>
      </c>
      <c r="X9" s="240">
        <v>0.67361111111111116</v>
      </c>
      <c r="Y9" s="219">
        <f t="shared" si="4"/>
        <v>2.777777777777779E-2</v>
      </c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</row>
    <row r="10" spans="1:51" ht="24" customHeight="1" x14ac:dyDescent="0.25">
      <c r="A10" s="234"/>
      <c r="B10" s="293"/>
      <c r="C10" s="300"/>
      <c r="D10" s="239">
        <v>0.49722222222222218</v>
      </c>
      <c r="E10" s="240">
        <v>0.53402777777777777</v>
      </c>
      <c r="F10" s="240">
        <v>0.57291666666666663</v>
      </c>
      <c r="G10" s="241">
        <f>F10-D10</f>
        <v>7.5694444444444453E-2</v>
      </c>
      <c r="H10" s="242">
        <v>211</v>
      </c>
      <c r="I10" s="243">
        <v>1</v>
      </c>
      <c r="J10" s="239">
        <v>0.52430555555555558</v>
      </c>
      <c r="K10" s="240">
        <v>0.5625</v>
      </c>
      <c r="L10" s="240">
        <v>0.59513888888888888</v>
      </c>
      <c r="M10" s="241">
        <f t="shared" si="5"/>
        <v>7.0833333333333304E-2</v>
      </c>
      <c r="N10" s="242">
        <v>211</v>
      </c>
      <c r="O10" s="243">
        <v>2</v>
      </c>
      <c r="P10" s="239">
        <v>0.55208333333333337</v>
      </c>
      <c r="Q10" s="240">
        <v>0.5805555555555556</v>
      </c>
      <c r="R10" s="240">
        <v>0.61319444444444449</v>
      </c>
      <c r="S10" s="241">
        <f>R10-P10</f>
        <v>6.1111111111111116E-2</v>
      </c>
      <c r="T10" s="242">
        <v>211</v>
      </c>
      <c r="U10" s="243">
        <v>3</v>
      </c>
      <c r="V10" s="239">
        <v>0.30555555555555558</v>
      </c>
      <c r="W10" s="218">
        <f t="shared" si="3"/>
        <v>2.083333333333337E-2</v>
      </c>
      <c r="X10" s="240">
        <v>0.69791666666666663</v>
      </c>
      <c r="Y10" s="219">
        <f t="shared" si="4"/>
        <v>2.4305555555555469E-2</v>
      </c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</row>
    <row r="11" spans="1:51" ht="24" customHeight="1" thickBot="1" x14ac:dyDescent="0.3">
      <c r="A11" s="234"/>
      <c r="B11" s="293"/>
      <c r="C11" s="300"/>
      <c r="D11" s="239"/>
      <c r="E11" s="240"/>
      <c r="F11" s="240"/>
      <c r="G11" s="241"/>
      <c r="H11" s="242"/>
      <c r="I11" s="243"/>
      <c r="J11" s="239"/>
      <c r="K11" s="240"/>
      <c r="L11" s="240"/>
      <c r="M11" s="241"/>
      <c r="N11" s="242"/>
      <c r="O11" s="243"/>
      <c r="P11" s="239"/>
      <c r="Q11" s="240"/>
      <c r="R11" s="240"/>
      <c r="S11" s="241"/>
      <c r="T11" s="242"/>
      <c r="U11" s="243"/>
      <c r="V11" s="239">
        <v>0.3263888888888889</v>
      </c>
      <c r="W11" s="218">
        <f t="shared" si="3"/>
        <v>2.0833333333333315E-2</v>
      </c>
      <c r="X11" s="240">
        <v>0.72916666666666663</v>
      </c>
      <c r="Y11" s="219">
        <f t="shared" si="4"/>
        <v>3.125E-2</v>
      </c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</row>
    <row r="12" spans="1:51" ht="24" customHeight="1" thickBot="1" x14ac:dyDescent="0.3">
      <c r="A12" s="234"/>
      <c r="B12" s="293"/>
      <c r="C12" s="301"/>
      <c r="D12" s="334" t="s">
        <v>121</v>
      </c>
      <c r="E12" s="287"/>
      <c r="F12" s="287"/>
      <c r="G12" s="287"/>
      <c r="H12" s="287"/>
      <c r="I12" s="284"/>
      <c r="J12" s="334" t="s">
        <v>121</v>
      </c>
      <c r="K12" s="287"/>
      <c r="L12" s="287"/>
      <c r="M12" s="287"/>
      <c r="N12" s="287"/>
      <c r="O12" s="284"/>
      <c r="P12" s="334" t="s">
        <v>121</v>
      </c>
      <c r="Q12" s="287"/>
      <c r="R12" s="287"/>
      <c r="S12" s="287"/>
      <c r="T12" s="287"/>
      <c r="U12" s="284"/>
      <c r="V12" s="239">
        <v>0.36458333333333331</v>
      </c>
      <c r="W12" s="218">
        <f t="shared" si="3"/>
        <v>3.819444444444442E-2</v>
      </c>
      <c r="X12" s="240">
        <v>0.75694444444444442</v>
      </c>
      <c r="Y12" s="219">
        <f t="shared" si="4"/>
        <v>2.777777777777779E-2</v>
      </c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4"/>
      <c r="AX12" s="234"/>
      <c r="AY12" s="234"/>
    </row>
    <row r="13" spans="1:51" ht="24" customHeight="1" thickBot="1" x14ac:dyDescent="0.3">
      <c r="A13" s="234"/>
      <c r="B13" s="293"/>
      <c r="C13" s="247" t="s">
        <v>17</v>
      </c>
      <c r="D13" s="288">
        <f>MAX(E6:F11)-IF(D6="",E6,D6)-MIN(H6:H11)+$C3</f>
        <v>0.32291666666666674</v>
      </c>
      <c r="E13" s="287"/>
      <c r="F13" s="287"/>
      <c r="G13" s="284"/>
      <c r="H13" s="294">
        <f ca="1">OFFSET(H5,MATCH(MIN(H6:H11),H6:H11,0),-4)-IF(D6="",E6,D6)+$C3</f>
        <v>0.24722222222222229</v>
      </c>
      <c r="I13" s="284"/>
      <c r="J13" s="288">
        <f>MAX(K6:L11)-IF(J6="",K6,J6)-MIN(N6:N11)+$C3</f>
        <v>0.31111111111111106</v>
      </c>
      <c r="K13" s="287"/>
      <c r="L13" s="287"/>
      <c r="M13" s="284"/>
      <c r="N13" s="294">
        <f ca="1">OFFSET(N5,MATCH(MIN(N6:N11),N6:N11,0),-4)-IF(J6="",K6,J6)+$C3</f>
        <v>0.15694444444444444</v>
      </c>
      <c r="O13" s="284"/>
      <c r="P13" s="288">
        <f>MAX(Q6:R11)-IF(P6="",Q6,P6)-MIN(T6:T11)+$C3</f>
        <v>0.29930555555555549</v>
      </c>
      <c r="Q13" s="287"/>
      <c r="R13" s="287"/>
      <c r="S13" s="284"/>
      <c r="T13" s="294">
        <f ca="1">OFFSET(T5,MATCH(MIN(T6:T11),T6:T11,0),-4)-IF(P6="",Q6,P6)+$C3</f>
        <v>0.2381944444444444</v>
      </c>
      <c r="U13" s="287"/>
      <c r="V13" s="239">
        <v>0.40277777777777779</v>
      </c>
      <c r="W13" s="218">
        <f t="shared" si="3"/>
        <v>3.8194444444444475E-2</v>
      </c>
      <c r="X13" s="240">
        <v>0.78472222222222221</v>
      </c>
      <c r="Y13" s="219">
        <f t="shared" si="4"/>
        <v>2.777777777777779E-2</v>
      </c>
      <c r="Z13" s="234"/>
      <c r="AA13" s="234"/>
      <c r="AB13" s="234"/>
      <c r="AC13" s="234"/>
      <c r="AD13" s="234"/>
      <c r="AE13" s="234"/>
      <c r="AF13" s="234"/>
      <c r="AG13" s="234"/>
      <c r="AH13" s="234"/>
      <c r="AI13" s="234"/>
      <c r="AJ13" s="234"/>
      <c r="AK13" s="234"/>
      <c r="AL13" s="234"/>
      <c r="AM13" s="234"/>
      <c r="AN13" s="234"/>
      <c r="AO13" s="234"/>
      <c r="AP13" s="234"/>
      <c r="AQ13" s="234"/>
      <c r="AR13" s="234"/>
      <c r="AS13" s="234"/>
      <c r="AT13" s="234"/>
      <c r="AU13" s="234"/>
      <c r="AV13" s="234"/>
      <c r="AW13" s="234"/>
      <c r="AX13" s="234"/>
      <c r="AY13" s="234"/>
    </row>
    <row r="14" spans="1:51" ht="24" customHeight="1" thickBot="1" x14ac:dyDescent="0.3">
      <c r="A14" s="234"/>
      <c r="B14" s="293"/>
      <c r="C14" s="370">
        <v>6.9444444444444441E-3</v>
      </c>
      <c r="D14" s="291" t="s">
        <v>18</v>
      </c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39">
        <v>0.44097222222222221</v>
      </c>
      <c r="W14" s="218">
        <f t="shared" si="3"/>
        <v>3.819444444444442E-2</v>
      </c>
      <c r="X14" s="240">
        <v>0.80902777777777779</v>
      </c>
      <c r="Y14" s="219">
        <f t="shared" si="4"/>
        <v>2.430555555555558E-2</v>
      </c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</row>
    <row r="15" spans="1:51" ht="24" customHeight="1" thickBot="1" x14ac:dyDescent="0.3">
      <c r="A15" s="234"/>
      <c r="B15" s="293"/>
      <c r="C15" s="290"/>
      <c r="D15" s="291" t="s">
        <v>19</v>
      </c>
      <c r="E15" s="287"/>
      <c r="F15" s="287"/>
      <c r="G15" s="287"/>
      <c r="H15" s="287"/>
      <c r="I15" s="284"/>
      <c r="J15" s="291" t="s">
        <v>20</v>
      </c>
      <c r="K15" s="287"/>
      <c r="L15" s="287"/>
      <c r="M15" s="287"/>
      <c r="N15" s="287"/>
      <c r="O15" s="284"/>
      <c r="P15" s="291" t="s">
        <v>21</v>
      </c>
      <c r="Q15" s="287"/>
      <c r="R15" s="287"/>
      <c r="S15" s="287"/>
      <c r="T15" s="287"/>
      <c r="U15" s="287"/>
      <c r="V15" s="239">
        <v>0.49722222222222218</v>
      </c>
      <c r="W15" s="218">
        <f t="shared" si="3"/>
        <v>5.6249999999999967E-2</v>
      </c>
      <c r="X15" s="240">
        <v>0.87708333333333333</v>
      </c>
      <c r="Y15" s="219">
        <f t="shared" si="4"/>
        <v>6.8055555555555536E-2</v>
      </c>
      <c r="Z15" s="234"/>
      <c r="AA15" s="234"/>
      <c r="AB15" s="234"/>
      <c r="AC15" s="234"/>
      <c r="AD15" s="234"/>
      <c r="AE15" s="234"/>
      <c r="AF15" s="234"/>
      <c r="AG15" s="234"/>
      <c r="AH15" s="234"/>
      <c r="AI15" s="234"/>
      <c r="AJ15" s="234"/>
      <c r="AK15" s="234"/>
      <c r="AL15" s="234"/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</row>
    <row r="16" spans="1:51" ht="24" customHeight="1" thickBot="1" x14ac:dyDescent="0.3">
      <c r="A16" s="234"/>
      <c r="B16" s="293"/>
      <c r="C16" s="292" t="s">
        <v>7</v>
      </c>
      <c r="D16" s="236" t="s">
        <v>8</v>
      </c>
      <c r="E16" s="237" t="s">
        <v>9</v>
      </c>
      <c r="F16" s="238" t="s">
        <v>10</v>
      </c>
      <c r="G16" s="237" t="s">
        <v>11</v>
      </c>
      <c r="H16" s="238" t="s">
        <v>12</v>
      </c>
      <c r="I16" s="237" t="s">
        <v>13</v>
      </c>
      <c r="J16" s="238" t="s">
        <v>8</v>
      </c>
      <c r="K16" s="237" t="s">
        <v>9</v>
      </c>
      <c r="L16" s="238" t="s">
        <v>10</v>
      </c>
      <c r="M16" s="237" t="s">
        <v>11</v>
      </c>
      <c r="N16" s="238" t="s">
        <v>12</v>
      </c>
      <c r="O16" s="237" t="s">
        <v>13</v>
      </c>
      <c r="P16" s="236" t="s">
        <v>8</v>
      </c>
      <c r="Q16" s="237" t="s">
        <v>9</v>
      </c>
      <c r="R16" s="238" t="s">
        <v>10</v>
      </c>
      <c r="S16" s="237" t="s">
        <v>11</v>
      </c>
      <c r="T16" s="238" t="s">
        <v>12</v>
      </c>
      <c r="U16" s="236" t="s">
        <v>13</v>
      </c>
      <c r="V16" s="239">
        <v>0.52430555555555558</v>
      </c>
      <c r="W16" s="218">
        <f t="shared" si="3"/>
        <v>2.7083333333333404E-2</v>
      </c>
      <c r="X16" s="240">
        <v>0.8979166666666667</v>
      </c>
      <c r="Y16" s="219">
        <f t="shared" si="4"/>
        <v>2.083333333333337E-2</v>
      </c>
      <c r="Z16" s="234"/>
      <c r="AA16" s="234"/>
      <c r="AB16" s="234"/>
      <c r="AC16" s="234"/>
      <c r="AD16" s="234"/>
      <c r="AE16" s="234"/>
      <c r="AF16" s="234"/>
      <c r="AG16" s="234"/>
      <c r="AH16" s="234"/>
      <c r="AI16" s="234"/>
      <c r="AJ16" s="234"/>
      <c r="AK16" s="234"/>
      <c r="AL16" s="234"/>
      <c r="AM16" s="234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</row>
    <row r="17" spans="1:51" ht="24" customHeight="1" thickBot="1" x14ac:dyDescent="0.3">
      <c r="A17" s="234"/>
      <c r="B17" s="293"/>
      <c r="C17" s="293"/>
      <c r="D17" s="244">
        <v>0.59027777777777779</v>
      </c>
      <c r="E17" s="245">
        <v>0.61944444444444446</v>
      </c>
      <c r="F17" s="245">
        <v>0.66180555555555554</v>
      </c>
      <c r="G17" s="265">
        <f t="shared" ref="G17:G19" si="6">F17-D17</f>
        <v>7.1527777777777746E-2</v>
      </c>
      <c r="H17" s="250">
        <v>211</v>
      </c>
      <c r="I17" s="251">
        <v>1</v>
      </c>
      <c r="J17" s="244">
        <v>0.61805555555555558</v>
      </c>
      <c r="K17" s="245">
        <v>0.64722222222222225</v>
      </c>
      <c r="L17" s="245">
        <v>0.6791666666666667</v>
      </c>
      <c r="M17" s="265">
        <f t="shared" ref="M17:M19" si="7">L17-J17</f>
        <v>6.1111111111111116E-2</v>
      </c>
      <c r="N17" s="250">
        <v>211</v>
      </c>
      <c r="O17" s="251">
        <v>2</v>
      </c>
      <c r="P17" s="244">
        <v>0.64583333333333337</v>
      </c>
      <c r="Q17" s="245">
        <v>0.67847222222222225</v>
      </c>
      <c r="R17" s="245">
        <v>0.71736111111111112</v>
      </c>
      <c r="S17" s="265">
        <f t="shared" ref="S17:S19" si="8">R17-P17</f>
        <v>7.1527777777777746E-2</v>
      </c>
      <c r="T17" s="250">
        <v>211</v>
      </c>
      <c r="U17" s="278">
        <v>3</v>
      </c>
      <c r="V17" s="248">
        <v>0.55208333333333337</v>
      </c>
      <c r="W17" s="231">
        <f t="shared" si="3"/>
        <v>2.777777777777779E-2</v>
      </c>
      <c r="X17" s="249">
        <v>0.92013888888888884</v>
      </c>
      <c r="Y17" s="233">
        <f t="shared" si="4"/>
        <v>2.2222222222222143E-2</v>
      </c>
      <c r="Z17" s="234"/>
      <c r="AA17" s="234"/>
      <c r="AB17" s="234"/>
      <c r="AC17" s="234"/>
      <c r="AD17" s="234"/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234"/>
      <c r="AP17" s="234"/>
      <c r="AQ17" s="234"/>
      <c r="AR17" s="234"/>
      <c r="AS17" s="234"/>
      <c r="AT17" s="234"/>
      <c r="AU17" s="234"/>
      <c r="AV17" s="234"/>
      <c r="AW17" s="234"/>
      <c r="AX17" s="234"/>
      <c r="AY17" s="234"/>
    </row>
    <row r="18" spans="1:51" ht="24" customHeight="1" x14ac:dyDescent="0.25">
      <c r="A18" s="234"/>
      <c r="B18" s="293"/>
      <c r="C18" s="293"/>
      <c r="D18" s="239">
        <v>0.67361111111111116</v>
      </c>
      <c r="E18" s="240">
        <v>0.70833333333333337</v>
      </c>
      <c r="F18" s="240">
        <v>0.74375000000000002</v>
      </c>
      <c r="G18" s="241">
        <f t="shared" si="6"/>
        <v>7.0138888888888862E-2</v>
      </c>
      <c r="H18" s="242">
        <v>211</v>
      </c>
      <c r="I18" s="252">
        <v>1</v>
      </c>
      <c r="J18" s="239">
        <v>0.69791666666666663</v>
      </c>
      <c r="K18" s="240">
        <v>0.73055555555555551</v>
      </c>
      <c r="L18" s="240">
        <v>0.76944444444444449</v>
      </c>
      <c r="M18" s="241">
        <f t="shared" si="7"/>
        <v>7.1527777777777857E-2</v>
      </c>
      <c r="N18" s="242">
        <v>211</v>
      </c>
      <c r="O18" s="252">
        <v>2</v>
      </c>
      <c r="P18" s="239">
        <v>0.72916666666666663</v>
      </c>
      <c r="Q18" s="240">
        <v>0.76111111111111107</v>
      </c>
      <c r="R18" s="240">
        <v>0.79722222222222228</v>
      </c>
      <c r="S18" s="241">
        <f t="shared" si="8"/>
        <v>6.8055555555555647E-2</v>
      </c>
      <c r="T18" s="242">
        <v>211</v>
      </c>
      <c r="U18" s="252">
        <v>3</v>
      </c>
      <c r="V18" s="201"/>
      <c r="W18" s="201"/>
      <c r="X18" s="201"/>
      <c r="Y18" s="201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4"/>
      <c r="AX18" s="234"/>
      <c r="AY18" s="234"/>
    </row>
    <row r="19" spans="1:51" ht="24" customHeight="1" thickBot="1" x14ac:dyDescent="0.3">
      <c r="A19" s="234"/>
      <c r="B19" s="293"/>
      <c r="C19" s="293"/>
      <c r="D19" s="239">
        <v>0.75694444444444442</v>
      </c>
      <c r="E19" s="240">
        <v>0.79097222222222219</v>
      </c>
      <c r="F19" s="240">
        <v>0.82847222222222228</v>
      </c>
      <c r="G19" s="241">
        <f t="shared" si="6"/>
        <v>7.1527777777777857E-2</v>
      </c>
      <c r="H19" s="242">
        <v>211</v>
      </c>
      <c r="I19" s="252">
        <v>1</v>
      </c>
      <c r="J19" s="239">
        <v>0.78472222222222221</v>
      </c>
      <c r="K19" s="240">
        <v>0.81458333333333333</v>
      </c>
      <c r="L19" s="240">
        <v>0.84930555555555554</v>
      </c>
      <c r="M19" s="241">
        <f t="shared" si="7"/>
        <v>6.4583333333333326E-2</v>
      </c>
      <c r="N19" s="242">
        <v>211</v>
      </c>
      <c r="O19" s="252">
        <v>2</v>
      </c>
      <c r="P19" s="239">
        <v>0.80902777777777779</v>
      </c>
      <c r="Q19" s="240">
        <v>0.83680555555555558</v>
      </c>
      <c r="R19" s="240">
        <v>0.86805555555555558</v>
      </c>
      <c r="S19" s="241">
        <f t="shared" si="8"/>
        <v>5.902777777777779E-2</v>
      </c>
      <c r="T19" s="242">
        <v>211</v>
      </c>
      <c r="U19" s="252">
        <v>3</v>
      </c>
      <c r="V19" s="201"/>
      <c r="W19" s="201"/>
      <c r="X19" s="201"/>
      <c r="Y19" s="201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234"/>
      <c r="AL19" s="234"/>
      <c r="AM19" s="234"/>
      <c r="AN19" s="234"/>
      <c r="AO19" s="234"/>
      <c r="AP19" s="234"/>
      <c r="AQ19" s="234"/>
      <c r="AR19" s="234"/>
      <c r="AS19" s="234"/>
      <c r="AT19" s="234"/>
      <c r="AU19" s="234"/>
      <c r="AV19" s="234"/>
      <c r="AW19" s="234"/>
      <c r="AX19" s="234"/>
      <c r="AY19" s="234"/>
    </row>
    <row r="20" spans="1:51" ht="24" customHeight="1" thickBot="1" x14ac:dyDescent="0.3">
      <c r="A20" s="234"/>
      <c r="B20" s="293"/>
      <c r="C20" s="293"/>
      <c r="D20" s="283">
        <f>IF(F19="",E19,F19)</f>
        <v>0.82847222222222228</v>
      </c>
      <c r="E20" s="284"/>
      <c r="F20" s="283">
        <f>IF(D21="",E21,D21)</f>
        <v>0.87708333333333333</v>
      </c>
      <c r="G20" s="284"/>
      <c r="H20" s="285">
        <f>F20-D20</f>
        <v>4.8611111111111049E-2</v>
      </c>
      <c r="I20" s="284"/>
      <c r="J20" s="283">
        <f>IF(L19="",K19,L19)</f>
        <v>0.84930555555555554</v>
      </c>
      <c r="K20" s="284"/>
      <c r="L20" s="283">
        <f>IF(J21="",K21,J21)</f>
        <v>0.8979166666666667</v>
      </c>
      <c r="M20" s="284"/>
      <c r="N20" s="285">
        <f>L20-J20</f>
        <v>4.861111111111116E-2</v>
      </c>
      <c r="O20" s="284"/>
      <c r="P20" s="283">
        <f>IF(R19="",Q19,R19)</f>
        <v>0.86805555555555558</v>
      </c>
      <c r="Q20" s="284"/>
      <c r="R20" s="283">
        <f>IF(P21="",Q21,P21)</f>
        <v>0.92013888888888884</v>
      </c>
      <c r="S20" s="284"/>
      <c r="T20" s="285">
        <f>R20-P20</f>
        <v>5.2083333333333259E-2</v>
      </c>
      <c r="U20" s="284"/>
      <c r="V20" s="201"/>
      <c r="W20" s="201"/>
      <c r="X20" s="201"/>
      <c r="Y20" s="201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</row>
    <row r="21" spans="1:51" ht="24" customHeight="1" thickBot="1" x14ac:dyDescent="0.3">
      <c r="A21" s="234"/>
      <c r="B21" s="293"/>
      <c r="C21" s="293"/>
      <c r="D21" s="239">
        <v>0.87708333333333333</v>
      </c>
      <c r="E21" s="240">
        <v>0.9</v>
      </c>
      <c r="F21" s="240">
        <v>0.93055555555555558</v>
      </c>
      <c r="G21" s="241">
        <f>F21-D21</f>
        <v>5.3472222222222254E-2</v>
      </c>
      <c r="H21" s="242">
        <v>211</v>
      </c>
      <c r="I21" s="252">
        <v>1</v>
      </c>
      <c r="J21" s="239">
        <v>0.8979166666666667</v>
      </c>
      <c r="K21" s="240">
        <v>0.92083333333333328</v>
      </c>
      <c r="L21" s="240">
        <v>0.94791666666666663</v>
      </c>
      <c r="M21" s="241">
        <f>L21-J21</f>
        <v>4.9999999999999933E-2</v>
      </c>
      <c r="N21" s="242">
        <v>211</v>
      </c>
      <c r="O21" s="252">
        <v>2</v>
      </c>
      <c r="P21" s="239">
        <v>0.92013888888888884</v>
      </c>
      <c r="Q21" s="240">
        <v>0.94444444444444442</v>
      </c>
      <c r="R21" s="240">
        <v>0.97222222222222221</v>
      </c>
      <c r="S21" s="241">
        <f>R21-P21</f>
        <v>5.208333333333337E-2</v>
      </c>
      <c r="T21" s="242">
        <v>211</v>
      </c>
      <c r="U21" s="252">
        <v>3</v>
      </c>
      <c r="V21" s="201"/>
      <c r="W21" s="201"/>
      <c r="X21" s="201"/>
      <c r="Y21" s="201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</row>
    <row r="22" spans="1:51" ht="24" customHeight="1" thickBot="1" x14ac:dyDescent="0.3">
      <c r="A22" s="234"/>
      <c r="B22" s="293"/>
      <c r="C22" s="290"/>
      <c r="D22" s="334" t="s">
        <v>121</v>
      </c>
      <c r="E22" s="287"/>
      <c r="F22" s="287"/>
      <c r="G22" s="287"/>
      <c r="H22" s="287"/>
      <c r="I22" s="284"/>
      <c r="J22" s="334" t="s">
        <v>121</v>
      </c>
      <c r="K22" s="287"/>
      <c r="L22" s="287"/>
      <c r="M22" s="287"/>
      <c r="N22" s="287"/>
      <c r="O22" s="284"/>
      <c r="P22" s="334" t="s">
        <v>121</v>
      </c>
      <c r="Q22" s="287"/>
      <c r="R22" s="287"/>
      <c r="S22" s="287"/>
      <c r="T22" s="287"/>
      <c r="U22" s="284"/>
      <c r="V22" s="201"/>
      <c r="W22" s="201"/>
      <c r="X22" s="201"/>
      <c r="Y22" s="201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234"/>
      <c r="AY22" s="234"/>
    </row>
    <row r="23" spans="1:51" ht="24" customHeight="1" thickBot="1" x14ac:dyDescent="0.3">
      <c r="A23" s="234"/>
      <c r="B23" s="290"/>
      <c r="C23" s="247" t="s">
        <v>17</v>
      </c>
      <c r="D23" s="288">
        <f>MAX(E17:F21)-IF(D17="",E17,D17)-MIN(H17:H21)+$C14</f>
        <v>0.29861111111111116</v>
      </c>
      <c r="E23" s="287"/>
      <c r="F23" s="287"/>
      <c r="G23" s="284"/>
      <c r="H23" s="281">
        <f ca="1">OFFSET(H16,MATCH(MIN(H17:H21),H17:H21,0),-4)-IF(D17="",E17,D17)</f>
        <v>0.23819444444444449</v>
      </c>
      <c r="I23" s="282"/>
      <c r="J23" s="288">
        <f>MAX(K17:L21)-IF(J17="",K17,J17)-MIN(N17:N21)+$C14</f>
        <v>0.28819444444444431</v>
      </c>
      <c r="K23" s="287"/>
      <c r="L23" s="287"/>
      <c r="M23" s="284"/>
      <c r="N23" s="281">
        <f ca="1">OFFSET(N16,MATCH(MIN(N17:N21),N17:N21,0),-4)-IF(J17="",K17,J17)</f>
        <v>0.23124999999999996</v>
      </c>
      <c r="O23" s="282"/>
      <c r="P23" s="288">
        <f>MAX(Q17:R21)-IF(P17="",Q17,P17)-MIN(T17:T21)+$C14</f>
        <v>0.28125</v>
      </c>
      <c r="Q23" s="287"/>
      <c r="R23" s="287"/>
      <c r="S23" s="284"/>
      <c r="T23" s="281">
        <f ca="1">OFFSET(T16,MATCH(MIN(T17:T21),T17:T21,0),-4)-IF(P17="",Q17,P17)</f>
        <v>0.22222222222222221</v>
      </c>
      <c r="U23" s="282"/>
      <c r="V23" s="201"/>
      <c r="W23" s="201"/>
      <c r="X23" s="201"/>
      <c r="Y23" s="201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</row>
    <row r="24" spans="1:51" ht="24" customHeight="1" x14ac:dyDescent="0.25">
      <c r="A24" s="234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4"/>
      <c r="AX24" s="234"/>
      <c r="AY24" s="234"/>
    </row>
    <row r="25" spans="1:51" ht="24" customHeight="1" x14ac:dyDescent="0.25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4"/>
      <c r="AQ25" s="234"/>
      <c r="AR25" s="234"/>
      <c r="AS25" s="234"/>
      <c r="AT25" s="234"/>
      <c r="AU25" s="234"/>
      <c r="AV25" s="234"/>
      <c r="AW25" s="234"/>
      <c r="AX25" s="234"/>
      <c r="AY25" s="234"/>
    </row>
    <row r="26" spans="1:51" ht="24" customHeight="1" x14ac:dyDescent="0.25">
      <c r="A26" s="234"/>
      <c r="B26" s="234"/>
      <c r="C26" s="234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4"/>
      <c r="AX26" s="234"/>
      <c r="AY26" s="234"/>
    </row>
    <row r="27" spans="1:51" ht="24" customHeight="1" x14ac:dyDescent="0.2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234"/>
      <c r="AP27" s="234"/>
      <c r="AQ27" s="234"/>
      <c r="AR27" s="234"/>
      <c r="AS27" s="234"/>
      <c r="AT27" s="234"/>
      <c r="AU27" s="234"/>
      <c r="AV27" s="234"/>
      <c r="AW27" s="234"/>
      <c r="AX27" s="234"/>
      <c r="AY27" s="234"/>
    </row>
    <row r="28" spans="1:51" ht="24" customHeight="1" x14ac:dyDescent="0.25">
      <c r="A28" s="234"/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4"/>
      <c r="AX28" s="234"/>
      <c r="AY28" s="234"/>
    </row>
    <row r="29" spans="1:51" ht="24" customHeight="1" x14ac:dyDescent="0.25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</row>
    <row r="30" spans="1:51" ht="24" customHeight="1" x14ac:dyDescent="0.25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4"/>
      <c r="AX30" s="234"/>
      <c r="AY30" s="234"/>
    </row>
    <row r="31" spans="1:51" ht="24" customHeight="1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4"/>
      <c r="AT31" s="234"/>
      <c r="AU31" s="234"/>
      <c r="AV31" s="234"/>
      <c r="AW31" s="234"/>
      <c r="AX31" s="234"/>
      <c r="AY31" s="234"/>
    </row>
    <row r="32" spans="1:51" ht="24" customHeight="1" x14ac:dyDescent="0.25">
      <c r="A32" s="234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</row>
    <row r="33" spans="1:51" ht="24" customHeight="1" x14ac:dyDescent="0.25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</row>
    <row r="34" spans="1:51" ht="24" customHeight="1" x14ac:dyDescent="0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4"/>
      <c r="AX34" s="234"/>
      <c r="AY34" s="234"/>
    </row>
    <row r="35" spans="1:51" ht="24" customHeight="1" x14ac:dyDescent="0.25">
      <c r="A35" s="234"/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234"/>
      <c r="AY35" s="234"/>
    </row>
    <row r="36" spans="1:51" ht="24" customHeight="1" x14ac:dyDescent="0.25">
      <c r="A36" s="234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234"/>
      <c r="AY36" s="234"/>
    </row>
    <row r="37" spans="1:51" ht="24" customHeight="1" x14ac:dyDescent="0.25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</row>
    <row r="38" spans="1:51" ht="24" customHeight="1" x14ac:dyDescent="0.25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</row>
    <row r="39" spans="1:51" ht="24" customHeight="1" x14ac:dyDescent="0.25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  <c r="AJ39" s="234"/>
      <c r="AK39" s="234"/>
      <c r="AL39" s="234"/>
      <c r="AM39" s="234"/>
      <c r="AN39" s="234"/>
      <c r="AO39" s="234"/>
      <c r="AP39" s="234"/>
      <c r="AQ39" s="234"/>
      <c r="AR39" s="234"/>
      <c r="AS39" s="234"/>
      <c r="AT39" s="234"/>
      <c r="AU39" s="234"/>
      <c r="AV39" s="234"/>
      <c r="AW39" s="234"/>
      <c r="AX39" s="234"/>
      <c r="AY39" s="234"/>
    </row>
    <row r="40" spans="1:51" ht="24" customHeight="1" x14ac:dyDescent="0.25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4"/>
      <c r="AX40" s="234"/>
      <c r="AY40" s="234"/>
    </row>
    <row r="41" spans="1:51" ht="24" customHeight="1" x14ac:dyDescent="0.25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4"/>
      <c r="AT41" s="234"/>
      <c r="AU41" s="234"/>
      <c r="AV41" s="234"/>
      <c r="AW41" s="234"/>
      <c r="AX41" s="234"/>
      <c r="AY41" s="234"/>
    </row>
    <row r="42" spans="1:51" ht="24" customHeight="1" x14ac:dyDescent="0.25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4"/>
      <c r="AX42" s="234"/>
      <c r="AY42" s="234"/>
    </row>
    <row r="43" spans="1:51" ht="24" customHeight="1" x14ac:dyDescent="0.25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4"/>
      <c r="AT43" s="234"/>
      <c r="AU43" s="234"/>
      <c r="AV43" s="234"/>
      <c r="AW43" s="234"/>
      <c r="AX43" s="234"/>
      <c r="AY43" s="234"/>
    </row>
    <row r="44" spans="1:51" ht="24" customHeight="1" x14ac:dyDescent="0.25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4"/>
      <c r="AX44" s="234"/>
      <c r="AY44" s="234"/>
    </row>
    <row r="45" spans="1:51" ht="24" customHeight="1" x14ac:dyDescent="0.25">
      <c r="A45" s="234"/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</row>
    <row r="46" spans="1:51" ht="24" customHeight="1" x14ac:dyDescent="0.25">
      <c r="A46" s="234"/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4"/>
      <c r="AX46" s="234"/>
      <c r="AY46" s="234"/>
    </row>
    <row r="47" spans="1:51" ht="24" customHeight="1" x14ac:dyDescent="0.25">
      <c r="A47" s="234"/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  <c r="AA47" s="234"/>
      <c r="AB47" s="234"/>
      <c r="AC47" s="234"/>
      <c r="AD47" s="234"/>
      <c r="AE47" s="234"/>
      <c r="AF47" s="234"/>
      <c r="AG47" s="234"/>
      <c r="AH47" s="234"/>
      <c r="AI47" s="234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</row>
    <row r="48" spans="1:51" ht="24" customHeight="1" x14ac:dyDescent="0.25">
      <c r="A48" s="234"/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4"/>
      <c r="AX48" s="234"/>
      <c r="AY48" s="234"/>
    </row>
    <row r="49" spans="1:51" ht="24" customHeight="1" x14ac:dyDescent="0.25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4"/>
      <c r="AQ49" s="234"/>
      <c r="AR49" s="234"/>
      <c r="AS49" s="234"/>
      <c r="AT49" s="234"/>
      <c r="AU49" s="234"/>
      <c r="AV49" s="234"/>
      <c r="AW49" s="234"/>
      <c r="AX49" s="234"/>
      <c r="AY49" s="234"/>
    </row>
    <row r="50" spans="1:51" ht="24" customHeight="1" x14ac:dyDescent="0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4"/>
      <c r="AX50" s="234"/>
      <c r="AY50" s="234"/>
    </row>
    <row r="51" spans="1:51" ht="24" customHeight="1" x14ac:dyDescent="0.25">
      <c r="A51" s="234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  <c r="AA51" s="234"/>
      <c r="AB51" s="234"/>
      <c r="AC51" s="234"/>
      <c r="AD51" s="234"/>
      <c r="AE51" s="234"/>
      <c r="AF51" s="234"/>
      <c r="AG51" s="234"/>
      <c r="AH51" s="234"/>
      <c r="AI51" s="234"/>
      <c r="AJ51" s="234"/>
      <c r="AK51" s="234"/>
      <c r="AL51" s="234"/>
      <c r="AM51" s="234"/>
      <c r="AN51" s="234"/>
      <c r="AO51" s="234"/>
      <c r="AP51" s="234"/>
      <c r="AQ51" s="234"/>
      <c r="AR51" s="234"/>
      <c r="AS51" s="234"/>
      <c r="AT51" s="234"/>
      <c r="AU51" s="234"/>
      <c r="AV51" s="234"/>
      <c r="AW51" s="234"/>
      <c r="AX51" s="234"/>
      <c r="AY51" s="234"/>
    </row>
    <row r="52" spans="1:51" ht="24" customHeight="1" x14ac:dyDescent="0.25">
      <c r="A52" s="234"/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4"/>
      <c r="AX52" s="234"/>
      <c r="AY52" s="234"/>
    </row>
    <row r="53" spans="1:51" ht="24" customHeight="1" x14ac:dyDescent="0.25">
      <c r="A53" s="234"/>
      <c r="B53" s="234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34"/>
      <c r="AL53" s="234"/>
      <c r="AM53" s="234"/>
      <c r="AN53" s="234"/>
      <c r="AO53" s="234"/>
      <c r="AP53" s="234"/>
      <c r="AQ53" s="234"/>
      <c r="AR53" s="234"/>
      <c r="AS53" s="234"/>
      <c r="AT53" s="234"/>
      <c r="AU53" s="234"/>
      <c r="AV53" s="234"/>
      <c r="AW53" s="234"/>
      <c r="AX53" s="234"/>
      <c r="AY53" s="234"/>
    </row>
    <row r="54" spans="1:51" ht="24" customHeight="1" x14ac:dyDescent="0.25">
      <c r="A54" s="234"/>
      <c r="B54" s="234"/>
      <c r="C54" s="234"/>
      <c r="D54" s="234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  <c r="AA54" s="234"/>
      <c r="AB54" s="234"/>
      <c r="AC54" s="234"/>
      <c r="AD54" s="234"/>
      <c r="AE54" s="234"/>
      <c r="AF54" s="234"/>
      <c r="AG54" s="234"/>
      <c r="AH54" s="234"/>
      <c r="AI54" s="234"/>
      <c r="AJ54" s="234"/>
      <c r="AK54" s="234"/>
      <c r="AL54" s="234"/>
      <c r="AM54" s="234"/>
      <c r="AN54" s="234"/>
      <c r="AO54" s="234"/>
      <c r="AP54" s="234"/>
      <c r="AQ54" s="234"/>
      <c r="AR54" s="234"/>
      <c r="AS54" s="234"/>
      <c r="AT54" s="234"/>
      <c r="AU54" s="234"/>
      <c r="AV54" s="234"/>
      <c r="AW54" s="234"/>
      <c r="AX54" s="234"/>
      <c r="AY54" s="234"/>
    </row>
    <row r="55" spans="1:51" ht="24" customHeight="1" x14ac:dyDescent="0.25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  <c r="AA55" s="234"/>
      <c r="AB55" s="234"/>
      <c r="AC55" s="234"/>
      <c r="AD55" s="234"/>
      <c r="AE55" s="234"/>
      <c r="AF55" s="234"/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4"/>
      <c r="AT55" s="234"/>
      <c r="AU55" s="234"/>
      <c r="AV55" s="234"/>
      <c r="AW55" s="234"/>
      <c r="AX55" s="234"/>
      <c r="AY55" s="234"/>
    </row>
    <row r="56" spans="1:51" ht="24" customHeight="1" x14ac:dyDescent="0.25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  <c r="AA56" s="234"/>
      <c r="AB56" s="234"/>
      <c r="AC56" s="234"/>
      <c r="AD56" s="234"/>
      <c r="AE56" s="234"/>
      <c r="AF56" s="234"/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4"/>
      <c r="AT56" s="234"/>
      <c r="AU56" s="234"/>
      <c r="AV56" s="234"/>
      <c r="AW56" s="234"/>
      <c r="AX56" s="234"/>
      <c r="AY56" s="234"/>
    </row>
    <row r="57" spans="1:51" ht="24" customHeight="1" x14ac:dyDescent="0.25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34"/>
      <c r="AL57" s="234"/>
      <c r="AM57" s="234"/>
      <c r="AN57" s="234"/>
      <c r="AO57" s="234"/>
      <c r="AP57" s="234"/>
      <c r="AQ57" s="234"/>
      <c r="AR57" s="234"/>
      <c r="AS57" s="234"/>
      <c r="AT57" s="234"/>
      <c r="AU57" s="234"/>
      <c r="AV57" s="234"/>
      <c r="AW57" s="234"/>
      <c r="AX57" s="234"/>
      <c r="AY57" s="234"/>
    </row>
    <row r="58" spans="1:51" ht="24" customHeight="1" x14ac:dyDescent="0.25">
      <c r="A58" s="234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  <c r="AA58" s="234"/>
      <c r="AB58" s="234"/>
      <c r="AC58" s="234"/>
      <c r="AD58" s="234"/>
      <c r="AE58" s="234"/>
      <c r="AF58" s="234"/>
      <c r="AG58" s="234"/>
      <c r="AH58" s="234"/>
      <c r="AI58" s="234"/>
      <c r="AJ58" s="234"/>
      <c r="AK58" s="234"/>
      <c r="AL58" s="234"/>
      <c r="AM58" s="234"/>
      <c r="AN58" s="234"/>
      <c r="AO58" s="234"/>
      <c r="AP58" s="234"/>
      <c r="AQ58" s="234"/>
      <c r="AR58" s="234"/>
      <c r="AS58" s="234"/>
      <c r="AT58" s="234"/>
      <c r="AU58" s="234"/>
      <c r="AV58" s="234"/>
      <c r="AW58" s="234"/>
      <c r="AX58" s="234"/>
      <c r="AY58" s="234"/>
    </row>
    <row r="59" spans="1:51" ht="24" customHeight="1" x14ac:dyDescent="0.25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  <c r="AA59" s="234"/>
      <c r="AB59" s="234"/>
      <c r="AC59" s="234"/>
      <c r="AD59" s="234"/>
      <c r="AE59" s="234"/>
      <c r="AF59" s="234"/>
      <c r="AG59" s="234"/>
      <c r="AH59" s="234"/>
      <c r="AI59" s="234"/>
      <c r="AJ59" s="234"/>
      <c r="AK59" s="234"/>
      <c r="AL59" s="234"/>
      <c r="AM59" s="234"/>
      <c r="AN59" s="234"/>
      <c r="AO59" s="234"/>
      <c r="AP59" s="234"/>
      <c r="AQ59" s="234"/>
      <c r="AR59" s="234"/>
      <c r="AS59" s="234"/>
      <c r="AT59" s="234"/>
      <c r="AU59" s="234"/>
      <c r="AV59" s="234"/>
      <c r="AW59" s="234"/>
      <c r="AX59" s="234"/>
      <c r="AY59" s="234"/>
    </row>
    <row r="60" spans="1:51" ht="24" customHeight="1" x14ac:dyDescent="0.25">
      <c r="A60" s="234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4"/>
      <c r="AE60" s="234"/>
      <c r="AF60" s="234"/>
      <c r="AG60" s="234"/>
      <c r="AH60" s="234"/>
      <c r="AI60" s="234"/>
      <c r="AJ60" s="234"/>
      <c r="AK60" s="234"/>
      <c r="AL60" s="234"/>
      <c r="AM60" s="234"/>
      <c r="AN60" s="234"/>
      <c r="AO60" s="234"/>
      <c r="AP60" s="234"/>
      <c r="AQ60" s="234"/>
      <c r="AR60" s="234"/>
      <c r="AS60" s="234"/>
      <c r="AT60" s="234"/>
      <c r="AU60" s="234"/>
      <c r="AV60" s="234"/>
      <c r="AW60" s="234"/>
      <c r="AX60" s="234"/>
      <c r="AY60" s="234"/>
    </row>
    <row r="61" spans="1:51" ht="24" customHeight="1" x14ac:dyDescent="0.25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4"/>
      <c r="AM61" s="234"/>
      <c r="AN61" s="234"/>
      <c r="AO61" s="234"/>
      <c r="AP61" s="234"/>
      <c r="AQ61" s="234"/>
      <c r="AR61" s="234"/>
      <c r="AS61" s="234"/>
      <c r="AT61" s="234"/>
      <c r="AU61" s="234"/>
      <c r="AV61" s="234"/>
      <c r="AW61" s="234"/>
      <c r="AX61" s="234"/>
      <c r="AY61" s="234"/>
    </row>
    <row r="62" spans="1:51" ht="24" customHeight="1" x14ac:dyDescent="0.25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  <c r="AA62" s="234"/>
      <c r="AB62" s="234"/>
      <c r="AC62" s="234"/>
      <c r="AD62" s="234"/>
      <c r="AE62" s="234"/>
      <c r="AF62" s="234"/>
      <c r="AG62" s="234"/>
      <c r="AH62" s="234"/>
      <c r="AI62" s="234"/>
      <c r="AJ62" s="234"/>
      <c r="AK62" s="234"/>
      <c r="AL62" s="234"/>
      <c r="AM62" s="234"/>
      <c r="AN62" s="234"/>
      <c r="AO62" s="234"/>
      <c r="AP62" s="234"/>
      <c r="AQ62" s="234"/>
      <c r="AR62" s="234"/>
      <c r="AS62" s="234"/>
      <c r="AT62" s="234"/>
      <c r="AU62" s="234"/>
      <c r="AV62" s="234"/>
      <c r="AW62" s="234"/>
      <c r="AX62" s="234"/>
      <c r="AY62" s="234"/>
    </row>
    <row r="63" spans="1:51" ht="24" customHeight="1" x14ac:dyDescent="0.25">
      <c r="A63" s="234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234"/>
      <c r="AJ63" s="234"/>
      <c r="AK63" s="234"/>
      <c r="AL63" s="234"/>
      <c r="AM63" s="234"/>
      <c r="AN63" s="234"/>
      <c r="AO63" s="234"/>
      <c r="AP63" s="234"/>
      <c r="AQ63" s="234"/>
      <c r="AR63" s="234"/>
      <c r="AS63" s="234"/>
      <c r="AT63" s="234"/>
      <c r="AU63" s="234"/>
      <c r="AV63" s="234"/>
      <c r="AW63" s="234"/>
      <c r="AX63" s="234"/>
      <c r="AY63" s="234"/>
    </row>
    <row r="64" spans="1:51" ht="24" customHeight="1" x14ac:dyDescent="0.25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4"/>
      <c r="AM64" s="234"/>
      <c r="AN64" s="234"/>
      <c r="AO64" s="234"/>
      <c r="AP64" s="234"/>
      <c r="AQ64" s="234"/>
      <c r="AR64" s="234"/>
      <c r="AS64" s="234"/>
      <c r="AT64" s="234"/>
      <c r="AU64" s="234"/>
      <c r="AV64" s="234"/>
      <c r="AW64" s="234"/>
      <c r="AX64" s="234"/>
      <c r="AY64" s="234"/>
    </row>
    <row r="65" spans="1:51" ht="24" customHeight="1" x14ac:dyDescent="0.2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4"/>
      <c r="AT65" s="234"/>
      <c r="AU65" s="234"/>
      <c r="AV65" s="234"/>
      <c r="AW65" s="234"/>
      <c r="AX65" s="234"/>
      <c r="AY65" s="234"/>
    </row>
    <row r="66" spans="1:51" ht="24" customHeight="1" x14ac:dyDescent="0.25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4"/>
      <c r="AT66" s="234"/>
      <c r="AU66" s="234"/>
      <c r="AV66" s="234"/>
      <c r="AW66" s="234"/>
      <c r="AX66" s="234"/>
      <c r="AY66" s="234"/>
    </row>
    <row r="67" spans="1:51" ht="24" customHeight="1" x14ac:dyDescent="0.25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4"/>
      <c r="AT67" s="234"/>
      <c r="AU67" s="234"/>
      <c r="AV67" s="234"/>
      <c r="AW67" s="234"/>
      <c r="AX67" s="234"/>
      <c r="AY67" s="234"/>
    </row>
    <row r="68" spans="1:51" ht="24" customHeight="1" x14ac:dyDescent="0.25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  <c r="AA68" s="234"/>
      <c r="AB68" s="234"/>
      <c r="AC68" s="234"/>
      <c r="AD68" s="234"/>
      <c r="AE68" s="234"/>
      <c r="AF68" s="234"/>
      <c r="AG68" s="234"/>
      <c r="AH68" s="234"/>
      <c r="AI68" s="234"/>
      <c r="AJ68" s="234"/>
      <c r="AK68" s="234"/>
      <c r="AL68" s="234"/>
      <c r="AM68" s="234"/>
      <c r="AN68" s="234"/>
      <c r="AO68" s="234"/>
      <c r="AP68" s="234"/>
      <c r="AQ68" s="234"/>
      <c r="AR68" s="234"/>
      <c r="AS68" s="234"/>
      <c r="AT68" s="234"/>
      <c r="AU68" s="234"/>
      <c r="AV68" s="234"/>
      <c r="AW68" s="234"/>
      <c r="AX68" s="234"/>
      <c r="AY68" s="234"/>
    </row>
    <row r="69" spans="1:51" ht="24" customHeight="1" x14ac:dyDescent="0.25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</row>
    <row r="70" spans="1:51" ht="24" customHeight="1" x14ac:dyDescent="0.25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  <c r="AA70" s="234"/>
      <c r="AB70" s="234"/>
      <c r="AC70" s="234"/>
      <c r="AD70" s="234"/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4"/>
      <c r="AP70" s="234"/>
      <c r="AQ70" s="234"/>
      <c r="AR70" s="234"/>
      <c r="AS70" s="234"/>
      <c r="AT70" s="234"/>
      <c r="AU70" s="234"/>
      <c r="AV70" s="234"/>
      <c r="AW70" s="234"/>
      <c r="AX70" s="234"/>
      <c r="AY70" s="234"/>
    </row>
    <row r="71" spans="1:51" ht="24" customHeight="1" x14ac:dyDescent="0.25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4"/>
      <c r="AD71" s="234"/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4"/>
      <c r="AP71" s="234"/>
      <c r="AQ71" s="234"/>
      <c r="AR71" s="234"/>
      <c r="AS71" s="234"/>
      <c r="AT71" s="234"/>
      <c r="AU71" s="234"/>
      <c r="AV71" s="234"/>
      <c r="AW71" s="234"/>
      <c r="AX71" s="234"/>
      <c r="AY71" s="234"/>
    </row>
    <row r="72" spans="1:51" ht="24" customHeight="1" x14ac:dyDescent="0.25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</row>
    <row r="73" spans="1:51" ht="24" customHeight="1" x14ac:dyDescent="0.25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  <c r="AA73" s="234"/>
      <c r="AB73" s="234"/>
      <c r="AC73" s="234"/>
      <c r="AD73" s="234"/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4"/>
      <c r="AP73" s="234"/>
      <c r="AQ73" s="234"/>
      <c r="AR73" s="234"/>
      <c r="AS73" s="234"/>
      <c r="AT73" s="234"/>
      <c r="AU73" s="234"/>
      <c r="AV73" s="234"/>
      <c r="AW73" s="234"/>
      <c r="AX73" s="234"/>
      <c r="AY73" s="234"/>
    </row>
    <row r="74" spans="1:51" ht="24" customHeight="1" x14ac:dyDescent="0.25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  <c r="AA74" s="234"/>
      <c r="AB74" s="234"/>
      <c r="AC74" s="234"/>
      <c r="AD74" s="234"/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4"/>
      <c r="AP74" s="234"/>
      <c r="AQ74" s="234"/>
      <c r="AR74" s="234"/>
      <c r="AS74" s="234"/>
      <c r="AT74" s="234"/>
      <c r="AU74" s="234"/>
      <c r="AV74" s="234"/>
      <c r="AW74" s="234"/>
      <c r="AX74" s="234"/>
      <c r="AY74" s="234"/>
    </row>
    <row r="75" spans="1:51" ht="24" customHeight="1" x14ac:dyDescent="0.25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  <c r="AA75" s="234"/>
      <c r="AB75" s="234"/>
      <c r="AC75" s="234"/>
      <c r="AD75" s="234"/>
      <c r="AE75" s="234"/>
      <c r="AF75" s="234"/>
      <c r="AG75" s="234"/>
      <c r="AH75" s="234"/>
      <c r="AI75" s="234"/>
      <c r="AJ75" s="234"/>
      <c r="AK75" s="234"/>
      <c r="AL75" s="234"/>
      <c r="AM75" s="234"/>
      <c r="AN75" s="234"/>
      <c r="AO75" s="234"/>
      <c r="AP75" s="234"/>
      <c r="AQ75" s="234"/>
      <c r="AR75" s="234"/>
      <c r="AS75" s="234"/>
      <c r="AT75" s="234"/>
      <c r="AU75" s="234"/>
      <c r="AV75" s="234"/>
      <c r="AW75" s="234"/>
      <c r="AX75" s="234"/>
      <c r="AY75" s="234"/>
    </row>
    <row r="76" spans="1:51" ht="24" customHeight="1" x14ac:dyDescent="0.25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4"/>
      <c r="AC76" s="234"/>
      <c r="AD76" s="234"/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4"/>
      <c r="AQ76" s="234"/>
      <c r="AR76" s="234"/>
      <c r="AS76" s="234"/>
      <c r="AT76" s="234"/>
      <c r="AU76" s="234"/>
      <c r="AV76" s="234"/>
      <c r="AW76" s="234"/>
      <c r="AX76" s="234"/>
      <c r="AY76" s="234"/>
    </row>
    <row r="77" spans="1:51" ht="24" customHeight="1" x14ac:dyDescent="0.25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4"/>
      <c r="AD77" s="234"/>
      <c r="AE77" s="234"/>
      <c r="AF77" s="234"/>
      <c r="AG77" s="234"/>
      <c r="AH77" s="234"/>
      <c r="AI77" s="234"/>
      <c r="AJ77" s="234"/>
      <c r="AK77" s="234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34"/>
    </row>
    <row r="78" spans="1:51" ht="24" customHeight="1" x14ac:dyDescent="0.25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234"/>
      <c r="AS78" s="234"/>
      <c r="AT78" s="234"/>
      <c r="AU78" s="234"/>
      <c r="AV78" s="234"/>
      <c r="AW78" s="234"/>
      <c r="AX78" s="234"/>
      <c r="AY78" s="234"/>
    </row>
    <row r="79" spans="1:51" ht="24" customHeight="1" x14ac:dyDescent="0.25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4"/>
      <c r="AD79" s="234"/>
      <c r="AE79" s="234"/>
      <c r="AF79" s="234"/>
      <c r="AG79" s="234"/>
      <c r="AH79" s="234"/>
      <c r="AI79" s="234"/>
      <c r="AJ79" s="234"/>
      <c r="AK79" s="234"/>
      <c r="AL79" s="234"/>
      <c r="AM79" s="234"/>
      <c r="AN79" s="234"/>
      <c r="AO79" s="234"/>
      <c r="AP79" s="234"/>
      <c r="AQ79" s="234"/>
      <c r="AR79" s="234"/>
      <c r="AS79" s="234"/>
      <c r="AT79" s="234"/>
      <c r="AU79" s="234"/>
      <c r="AV79" s="234"/>
      <c r="AW79" s="234"/>
      <c r="AX79" s="234"/>
      <c r="AY79" s="234"/>
    </row>
    <row r="80" spans="1:51" ht="24" customHeight="1" x14ac:dyDescent="0.25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4"/>
    </row>
    <row r="81" spans="1:51" ht="24" customHeight="1" x14ac:dyDescent="0.25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4"/>
      <c r="AP81" s="234"/>
      <c r="AQ81" s="234"/>
      <c r="AR81" s="234"/>
      <c r="AS81" s="234"/>
      <c r="AT81" s="234"/>
      <c r="AU81" s="234"/>
      <c r="AV81" s="234"/>
      <c r="AW81" s="234"/>
      <c r="AX81" s="234"/>
      <c r="AY81" s="234"/>
    </row>
    <row r="82" spans="1:51" ht="24" customHeight="1" x14ac:dyDescent="0.25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4"/>
      <c r="AC82" s="234"/>
      <c r="AD82" s="234"/>
      <c r="AE82" s="234"/>
      <c r="AF82" s="234"/>
      <c r="AG82" s="234"/>
      <c r="AH82" s="234"/>
      <c r="AI82" s="234"/>
      <c r="AJ82" s="234"/>
      <c r="AK82" s="234"/>
      <c r="AL82" s="234"/>
      <c r="AM82" s="234"/>
      <c r="AN82" s="234"/>
      <c r="AO82" s="234"/>
      <c r="AP82" s="234"/>
      <c r="AQ82" s="234"/>
      <c r="AR82" s="234"/>
      <c r="AS82" s="234"/>
      <c r="AT82" s="234"/>
      <c r="AU82" s="234"/>
      <c r="AV82" s="234"/>
      <c r="AW82" s="234"/>
      <c r="AX82" s="234"/>
      <c r="AY82" s="234"/>
    </row>
    <row r="83" spans="1:51" ht="24" customHeight="1" x14ac:dyDescent="0.25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4"/>
      <c r="AC83" s="234"/>
      <c r="AD83" s="234"/>
      <c r="AE83" s="234"/>
      <c r="AF83" s="234"/>
      <c r="AG83" s="234"/>
      <c r="AH83" s="234"/>
      <c r="AI83" s="234"/>
      <c r="AJ83" s="234"/>
      <c r="AK83" s="234"/>
      <c r="AL83" s="234"/>
      <c r="AM83" s="234"/>
      <c r="AN83" s="234"/>
      <c r="AO83" s="234"/>
      <c r="AP83" s="234"/>
      <c r="AQ83" s="234"/>
      <c r="AR83" s="234"/>
      <c r="AS83" s="234"/>
      <c r="AT83" s="234"/>
      <c r="AU83" s="234"/>
      <c r="AV83" s="234"/>
      <c r="AW83" s="234"/>
      <c r="AX83" s="234"/>
      <c r="AY83" s="234"/>
    </row>
    <row r="84" spans="1:51" ht="24" customHeight="1" x14ac:dyDescent="0.25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4"/>
      <c r="AD84" s="234"/>
      <c r="AE84" s="234"/>
      <c r="AF84" s="234"/>
      <c r="AG84" s="234"/>
      <c r="AH84" s="234"/>
      <c r="AI84" s="234"/>
      <c r="AJ84" s="234"/>
      <c r="AK84" s="234"/>
      <c r="AL84" s="234"/>
      <c r="AM84" s="234"/>
      <c r="AN84" s="234"/>
      <c r="AO84" s="234"/>
      <c r="AP84" s="234"/>
      <c r="AQ84" s="234"/>
      <c r="AR84" s="234"/>
      <c r="AS84" s="234"/>
      <c r="AT84" s="234"/>
      <c r="AU84" s="234"/>
      <c r="AV84" s="234"/>
      <c r="AW84" s="234"/>
      <c r="AX84" s="234"/>
      <c r="AY84" s="234"/>
    </row>
    <row r="85" spans="1:51" ht="24" customHeight="1" x14ac:dyDescent="0.25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  <c r="AB85" s="234"/>
      <c r="AC85" s="234"/>
      <c r="AD85" s="234"/>
      <c r="AE85" s="234"/>
      <c r="AF85" s="234"/>
      <c r="AG85" s="234"/>
      <c r="AH85" s="234"/>
      <c r="AI85" s="234"/>
      <c r="AJ85" s="234"/>
      <c r="AK85" s="234"/>
      <c r="AL85" s="234"/>
      <c r="AM85" s="234"/>
      <c r="AN85" s="234"/>
      <c r="AO85" s="234"/>
      <c r="AP85" s="234"/>
      <c r="AQ85" s="234"/>
      <c r="AR85" s="234"/>
      <c r="AS85" s="234"/>
      <c r="AT85" s="234"/>
      <c r="AU85" s="234"/>
      <c r="AV85" s="234"/>
      <c r="AW85" s="234"/>
      <c r="AX85" s="234"/>
      <c r="AY85" s="234"/>
    </row>
    <row r="86" spans="1:51" ht="24" customHeight="1" x14ac:dyDescent="0.25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34"/>
    </row>
    <row r="87" spans="1:51" ht="24" customHeight="1" x14ac:dyDescent="0.25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  <c r="AB87" s="234"/>
      <c r="AC87" s="234"/>
      <c r="AD87" s="234"/>
      <c r="AE87" s="234"/>
      <c r="AF87" s="234"/>
      <c r="AG87" s="234"/>
      <c r="AH87" s="234"/>
      <c r="AI87" s="234"/>
      <c r="AJ87" s="234"/>
      <c r="AK87" s="234"/>
      <c r="AL87" s="234"/>
      <c r="AM87" s="234"/>
      <c r="AN87" s="234"/>
      <c r="AO87" s="234"/>
      <c r="AP87" s="234"/>
      <c r="AQ87" s="234"/>
      <c r="AR87" s="234"/>
      <c r="AS87" s="234"/>
      <c r="AT87" s="234"/>
      <c r="AU87" s="234"/>
      <c r="AV87" s="234"/>
      <c r="AW87" s="234"/>
      <c r="AX87" s="234"/>
      <c r="AY87" s="234"/>
    </row>
    <row r="88" spans="1:51" ht="24" customHeight="1" x14ac:dyDescent="0.25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  <c r="AB88" s="234"/>
      <c r="AC88" s="234"/>
      <c r="AD88" s="234"/>
      <c r="AE88" s="234"/>
      <c r="AF88" s="234"/>
      <c r="AG88" s="234"/>
      <c r="AH88" s="234"/>
      <c r="AI88" s="234"/>
      <c r="AJ88" s="234"/>
      <c r="AK88" s="234"/>
      <c r="AL88" s="234"/>
      <c r="AM88" s="234"/>
      <c r="AN88" s="234"/>
      <c r="AO88" s="234"/>
      <c r="AP88" s="234"/>
      <c r="AQ88" s="234"/>
      <c r="AR88" s="234"/>
      <c r="AS88" s="234"/>
      <c r="AT88" s="234"/>
      <c r="AU88" s="234"/>
      <c r="AV88" s="234"/>
      <c r="AW88" s="234"/>
      <c r="AX88" s="234"/>
      <c r="AY88" s="234"/>
    </row>
    <row r="89" spans="1:51" ht="24" customHeight="1" x14ac:dyDescent="0.25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  <c r="AB89" s="234"/>
      <c r="AC89" s="234"/>
      <c r="AD89" s="234"/>
      <c r="AE89" s="234"/>
      <c r="AF89" s="234"/>
      <c r="AG89" s="234"/>
      <c r="AH89" s="234"/>
      <c r="AI89" s="234"/>
      <c r="AJ89" s="234"/>
      <c r="AK89" s="234"/>
      <c r="AL89" s="234"/>
      <c r="AM89" s="234"/>
      <c r="AN89" s="234"/>
      <c r="AO89" s="234"/>
      <c r="AP89" s="234"/>
      <c r="AQ89" s="234"/>
      <c r="AR89" s="234"/>
      <c r="AS89" s="234"/>
      <c r="AT89" s="234"/>
      <c r="AU89" s="234"/>
      <c r="AV89" s="234"/>
      <c r="AW89" s="234"/>
      <c r="AX89" s="234"/>
      <c r="AY89" s="234"/>
    </row>
    <row r="90" spans="1:51" ht="24" customHeight="1" x14ac:dyDescent="0.25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  <c r="AB90" s="234"/>
      <c r="AC90" s="234"/>
      <c r="AD90" s="234"/>
      <c r="AE90" s="234"/>
      <c r="AF90" s="234"/>
      <c r="AG90" s="234"/>
      <c r="AH90" s="234"/>
      <c r="AI90" s="234"/>
      <c r="AJ90" s="234"/>
      <c r="AK90" s="234"/>
      <c r="AL90" s="234"/>
      <c r="AM90" s="234"/>
      <c r="AN90" s="234"/>
      <c r="AO90" s="234"/>
      <c r="AP90" s="234"/>
      <c r="AQ90" s="234"/>
      <c r="AR90" s="234"/>
      <c r="AS90" s="234"/>
      <c r="AT90" s="234"/>
      <c r="AU90" s="234"/>
      <c r="AV90" s="234"/>
      <c r="AW90" s="234"/>
      <c r="AX90" s="234"/>
      <c r="AY90" s="234"/>
    </row>
    <row r="91" spans="1:51" ht="24" customHeight="1" x14ac:dyDescent="0.25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  <c r="AB91" s="234"/>
      <c r="AC91" s="234"/>
      <c r="AD91" s="234"/>
      <c r="AE91" s="234"/>
      <c r="AF91" s="234"/>
      <c r="AG91" s="234"/>
      <c r="AH91" s="234"/>
      <c r="AI91" s="234"/>
      <c r="AJ91" s="234"/>
      <c r="AK91" s="234"/>
      <c r="AL91" s="234"/>
      <c r="AM91" s="234"/>
      <c r="AN91" s="234"/>
      <c r="AO91" s="234"/>
      <c r="AP91" s="234"/>
      <c r="AQ91" s="234"/>
      <c r="AR91" s="234"/>
      <c r="AS91" s="234"/>
      <c r="AT91" s="234"/>
      <c r="AU91" s="234"/>
      <c r="AV91" s="234"/>
      <c r="AW91" s="234"/>
      <c r="AX91" s="234"/>
      <c r="AY91" s="234"/>
    </row>
    <row r="92" spans="1:51" ht="24" customHeight="1" x14ac:dyDescent="0.25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  <c r="AB92" s="234"/>
      <c r="AC92" s="234"/>
      <c r="AD92" s="234"/>
      <c r="AE92" s="234"/>
      <c r="AF92" s="234"/>
      <c r="AG92" s="234"/>
      <c r="AH92" s="234"/>
      <c r="AI92" s="234"/>
      <c r="AJ92" s="234"/>
      <c r="AK92" s="234"/>
      <c r="AL92" s="234"/>
      <c r="AM92" s="234"/>
      <c r="AN92" s="234"/>
      <c r="AO92" s="234"/>
      <c r="AP92" s="234"/>
      <c r="AQ92" s="234"/>
      <c r="AR92" s="234"/>
      <c r="AS92" s="234"/>
      <c r="AT92" s="234"/>
      <c r="AU92" s="234"/>
      <c r="AV92" s="234"/>
      <c r="AW92" s="234"/>
      <c r="AX92" s="234"/>
      <c r="AY92" s="234"/>
    </row>
    <row r="93" spans="1:51" ht="24" customHeight="1" x14ac:dyDescent="0.25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4"/>
      <c r="AD93" s="234"/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4"/>
      <c r="AP93" s="234"/>
      <c r="AQ93" s="234"/>
      <c r="AR93" s="234"/>
      <c r="AS93" s="234"/>
      <c r="AT93" s="234"/>
      <c r="AU93" s="234"/>
      <c r="AV93" s="234"/>
      <c r="AW93" s="234"/>
      <c r="AX93" s="234"/>
      <c r="AY93" s="234"/>
    </row>
    <row r="94" spans="1:51" ht="24" customHeight="1" x14ac:dyDescent="0.25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4"/>
      <c r="AD94" s="234"/>
      <c r="AE94" s="234"/>
      <c r="AF94" s="234"/>
      <c r="AG94" s="234"/>
      <c r="AH94" s="234"/>
      <c r="AI94" s="234"/>
      <c r="AJ94" s="234"/>
      <c r="AK94" s="234"/>
      <c r="AL94" s="234"/>
      <c r="AM94" s="234"/>
      <c r="AN94" s="234"/>
      <c r="AO94" s="234"/>
      <c r="AP94" s="234"/>
      <c r="AQ94" s="234"/>
      <c r="AR94" s="234"/>
      <c r="AS94" s="234"/>
      <c r="AT94" s="234"/>
      <c r="AU94" s="234"/>
      <c r="AV94" s="234"/>
      <c r="AW94" s="234"/>
      <c r="AX94" s="234"/>
      <c r="AY94" s="234"/>
    </row>
    <row r="95" spans="1:51" ht="24" customHeight="1" x14ac:dyDescent="0.2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4"/>
      <c r="AD95" s="234"/>
      <c r="AE95" s="234"/>
      <c r="AF95" s="234"/>
      <c r="AG95" s="234"/>
      <c r="AH95" s="234"/>
      <c r="AI95" s="234"/>
      <c r="AJ95" s="234"/>
      <c r="AK95" s="234"/>
      <c r="AL95" s="234"/>
      <c r="AM95" s="234"/>
      <c r="AN95" s="234"/>
      <c r="AO95" s="234"/>
      <c r="AP95" s="234"/>
      <c r="AQ95" s="234"/>
      <c r="AR95" s="234"/>
      <c r="AS95" s="234"/>
      <c r="AT95" s="234"/>
      <c r="AU95" s="234"/>
      <c r="AV95" s="234"/>
      <c r="AW95" s="234"/>
      <c r="AX95" s="234"/>
      <c r="AY95" s="234"/>
    </row>
    <row r="96" spans="1:51" ht="24" customHeight="1" x14ac:dyDescent="0.25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4"/>
      <c r="AD96" s="234"/>
      <c r="AE96" s="234"/>
      <c r="AF96" s="234"/>
      <c r="AG96" s="234"/>
      <c r="AH96" s="234"/>
      <c r="AI96" s="234"/>
      <c r="AJ96" s="234"/>
      <c r="AK96" s="234"/>
      <c r="AL96" s="234"/>
      <c r="AM96" s="234"/>
      <c r="AN96" s="234"/>
      <c r="AO96" s="234"/>
      <c r="AP96" s="234"/>
      <c r="AQ96" s="234"/>
      <c r="AR96" s="234"/>
      <c r="AS96" s="234"/>
      <c r="AT96" s="234"/>
      <c r="AU96" s="234"/>
      <c r="AV96" s="234"/>
      <c r="AW96" s="234"/>
      <c r="AX96" s="234"/>
      <c r="AY96" s="234"/>
    </row>
    <row r="97" spans="1:51" ht="24" customHeight="1" x14ac:dyDescent="0.25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4"/>
      <c r="AD97" s="234"/>
      <c r="AE97" s="234"/>
      <c r="AF97" s="234"/>
      <c r="AG97" s="234"/>
      <c r="AH97" s="234"/>
      <c r="AI97" s="234"/>
      <c r="AJ97" s="234"/>
      <c r="AK97" s="234"/>
      <c r="AL97" s="234"/>
      <c r="AM97" s="234"/>
      <c r="AN97" s="234"/>
      <c r="AO97" s="234"/>
      <c r="AP97" s="234"/>
      <c r="AQ97" s="234"/>
      <c r="AR97" s="234"/>
      <c r="AS97" s="234"/>
      <c r="AT97" s="234"/>
      <c r="AU97" s="234"/>
      <c r="AV97" s="234"/>
      <c r="AW97" s="234"/>
      <c r="AX97" s="234"/>
      <c r="AY97" s="234"/>
    </row>
    <row r="98" spans="1:51" ht="24" customHeight="1" x14ac:dyDescent="0.25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4"/>
      <c r="AD98" s="234"/>
      <c r="AE98" s="234"/>
      <c r="AF98" s="234"/>
      <c r="AG98" s="234"/>
      <c r="AH98" s="234"/>
      <c r="AI98" s="234"/>
      <c r="AJ98" s="234"/>
      <c r="AK98" s="234"/>
      <c r="AL98" s="234"/>
      <c r="AM98" s="234"/>
      <c r="AN98" s="234"/>
      <c r="AO98" s="234"/>
      <c r="AP98" s="234"/>
      <c r="AQ98" s="234"/>
      <c r="AR98" s="234"/>
      <c r="AS98" s="234"/>
      <c r="AT98" s="234"/>
      <c r="AU98" s="234"/>
      <c r="AV98" s="234"/>
      <c r="AW98" s="234"/>
      <c r="AX98" s="234"/>
      <c r="AY98" s="234"/>
    </row>
    <row r="99" spans="1:51" ht="24" customHeight="1" x14ac:dyDescent="0.2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  <c r="AB99" s="234"/>
      <c r="AC99" s="234"/>
      <c r="AD99" s="234"/>
      <c r="AE99" s="234"/>
      <c r="AF99" s="234"/>
      <c r="AG99" s="234"/>
      <c r="AH99" s="234"/>
      <c r="AI99" s="234"/>
      <c r="AJ99" s="234"/>
      <c r="AK99" s="234"/>
      <c r="AL99" s="234"/>
      <c r="AM99" s="234"/>
      <c r="AN99" s="234"/>
      <c r="AO99" s="234"/>
      <c r="AP99" s="234"/>
      <c r="AQ99" s="234"/>
      <c r="AR99" s="234"/>
      <c r="AS99" s="234"/>
      <c r="AT99" s="234"/>
      <c r="AU99" s="234"/>
      <c r="AV99" s="234"/>
      <c r="AW99" s="234"/>
      <c r="AX99" s="234"/>
      <c r="AY99" s="234"/>
    </row>
    <row r="100" spans="1:51" ht="24" customHeight="1" x14ac:dyDescent="0.25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4"/>
      <c r="AD100" s="234"/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34"/>
      <c r="AO100" s="234"/>
      <c r="AP100" s="234"/>
      <c r="AQ100" s="234"/>
      <c r="AR100" s="234"/>
      <c r="AS100" s="234"/>
      <c r="AT100" s="234"/>
      <c r="AU100" s="234"/>
      <c r="AV100" s="234"/>
      <c r="AW100" s="234"/>
      <c r="AX100" s="234"/>
      <c r="AY100" s="234"/>
    </row>
    <row r="101" spans="1:51" ht="24" customHeight="1" x14ac:dyDescent="0.25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4"/>
      <c r="AK101" s="234"/>
      <c r="AL101" s="234"/>
      <c r="AM101" s="234"/>
      <c r="AN101" s="234"/>
      <c r="AO101" s="234"/>
      <c r="AP101" s="234"/>
      <c r="AQ101" s="234"/>
      <c r="AR101" s="234"/>
      <c r="AS101" s="234"/>
      <c r="AT101" s="234"/>
      <c r="AU101" s="234"/>
      <c r="AV101" s="234"/>
      <c r="AW101" s="234"/>
      <c r="AX101" s="234"/>
      <c r="AY101" s="234"/>
    </row>
    <row r="102" spans="1:51" ht="24" customHeight="1" x14ac:dyDescent="0.25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</row>
    <row r="103" spans="1:51" ht="24" customHeight="1" x14ac:dyDescent="0.2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  <c r="AB103" s="234"/>
      <c r="AC103" s="234"/>
      <c r="AD103" s="234"/>
      <c r="AE103" s="234"/>
      <c r="AF103" s="234"/>
      <c r="AG103" s="234"/>
      <c r="AH103" s="234"/>
      <c r="AI103" s="234"/>
      <c r="AJ103" s="234"/>
      <c r="AK103" s="234"/>
      <c r="AL103" s="234"/>
      <c r="AM103" s="234"/>
      <c r="AN103" s="234"/>
      <c r="AO103" s="234"/>
      <c r="AP103" s="234"/>
      <c r="AQ103" s="234"/>
      <c r="AR103" s="234"/>
      <c r="AS103" s="234"/>
      <c r="AT103" s="234"/>
      <c r="AU103" s="234"/>
      <c r="AV103" s="234"/>
      <c r="AW103" s="234"/>
      <c r="AX103" s="234"/>
      <c r="AY103" s="234"/>
    </row>
    <row r="104" spans="1:51" ht="24" customHeight="1" x14ac:dyDescent="0.25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  <c r="AB104" s="234"/>
      <c r="AC104" s="234"/>
      <c r="AD104" s="234"/>
      <c r="AE104" s="234"/>
      <c r="AF104" s="234"/>
      <c r="AG104" s="234"/>
      <c r="AH104" s="234"/>
      <c r="AI104" s="234"/>
      <c r="AJ104" s="234"/>
      <c r="AK104" s="234"/>
      <c r="AL104" s="234"/>
      <c r="AM104" s="234"/>
      <c r="AN104" s="234"/>
      <c r="AO104" s="234"/>
      <c r="AP104" s="234"/>
      <c r="AQ104" s="234"/>
      <c r="AR104" s="234"/>
      <c r="AS104" s="234"/>
      <c r="AT104" s="234"/>
      <c r="AU104" s="234"/>
      <c r="AV104" s="234"/>
      <c r="AW104" s="234"/>
      <c r="AX104" s="234"/>
      <c r="AY104" s="234"/>
    </row>
    <row r="105" spans="1:51" ht="24" customHeight="1" x14ac:dyDescent="0.2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  <c r="AB105" s="234"/>
      <c r="AC105" s="234"/>
      <c r="AD105" s="234"/>
      <c r="AE105" s="234"/>
      <c r="AF105" s="234"/>
      <c r="AG105" s="234"/>
      <c r="AH105" s="234"/>
      <c r="AI105" s="234"/>
      <c r="AJ105" s="234"/>
      <c r="AK105" s="234"/>
      <c r="AL105" s="234"/>
      <c r="AM105" s="234"/>
      <c r="AN105" s="234"/>
      <c r="AO105" s="234"/>
      <c r="AP105" s="234"/>
      <c r="AQ105" s="234"/>
      <c r="AR105" s="234"/>
      <c r="AS105" s="234"/>
      <c r="AT105" s="234"/>
      <c r="AU105" s="234"/>
      <c r="AV105" s="234"/>
      <c r="AW105" s="234"/>
      <c r="AX105" s="234"/>
      <c r="AY105" s="234"/>
    </row>
    <row r="106" spans="1:51" ht="24" customHeight="1" x14ac:dyDescent="0.25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  <c r="AB106" s="234"/>
      <c r="AC106" s="234"/>
      <c r="AD106" s="234"/>
      <c r="AE106" s="234"/>
      <c r="AF106" s="234"/>
      <c r="AG106" s="234"/>
      <c r="AH106" s="234"/>
      <c r="AI106" s="234"/>
      <c r="AJ106" s="234"/>
      <c r="AK106" s="234"/>
      <c r="AL106" s="234"/>
      <c r="AM106" s="234"/>
      <c r="AN106" s="234"/>
      <c r="AO106" s="234"/>
      <c r="AP106" s="234"/>
      <c r="AQ106" s="234"/>
      <c r="AR106" s="234"/>
      <c r="AS106" s="234"/>
      <c r="AT106" s="234"/>
      <c r="AU106" s="234"/>
      <c r="AV106" s="234"/>
      <c r="AW106" s="234"/>
      <c r="AX106" s="234"/>
      <c r="AY106" s="234"/>
    </row>
    <row r="107" spans="1:51" ht="24" customHeight="1" x14ac:dyDescent="0.25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  <c r="AB107" s="234"/>
      <c r="AC107" s="234"/>
      <c r="AD107" s="234"/>
      <c r="AE107" s="234"/>
      <c r="AF107" s="234"/>
      <c r="AG107" s="234"/>
      <c r="AH107" s="234"/>
      <c r="AI107" s="234"/>
      <c r="AJ107" s="234"/>
      <c r="AK107" s="234"/>
      <c r="AL107" s="234"/>
      <c r="AM107" s="234"/>
      <c r="AN107" s="234"/>
      <c r="AO107" s="234"/>
      <c r="AP107" s="234"/>
      <c r="AQ107" s="234"/>
      <c r="AR107" s="234"/>
      <c r="AS107" s="234"/>
      <c r="AT107" s="234"/>
      <c r="AU107" s="234"/>
      <c r="AV107" s="234"/>
      <c r="AW107" s="234"/>
      <c r="AX107" s="234"/>
      <c r="AY107" s="234"/>
    </row>
    <row r="108" spans="1:51" ht="24" customHeight="1" x14ac:dyDescent="0.25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234"/>
      <c r="AC108" s="234"/>
      <c r="AD108" s="234"/>
      <c r="AE108" s="234"/>
      <c r="AF108" s="234"/>
      <c r="AG108" s="234"/>
      <c r="AH108" s="234"/>
      <c r="AI108" s="234"/>
      <c r="AJ108" s="234"/>
      <c r="AK108" s="234"/>
      <c r="AL108" s="234"/>
      <c r="AM108" s="234"/>
      <c r="AN108" s="234"/>
      <c r="AO108" s="234"/>
      <c r="AP108" s="234"/>
      <c r="AQ108" s="234"/>
      <c r="AR108" s="234"/>
      <c r="AS108" s="234"/>
      <c r="AT108" s="234"/>
      <c r="AU108" s="234"/>
      <c r="AV108" s="234"/>
      <c r="AW108" s="234"/>
      <c r="AX108" s="234"/>
      <c r="AY108" s="234"/>
    </row>
    <row r="109" spans="1:51" ht="24" customHeight="1" x14ac:dyDescent="0.25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  <c r="AB109" s="234"/>
      <c r="AC109" s="234"/>
      <c r="AD109" s="234"/>
      <c r="AE109" s="234"/>
      <c r="AF109" s="234"/>
      <c r="AG109" s="234"/>
      <c r="AH109" s="234"/>
      <c r="AI109" s="234"/>
      <c r="AJ109" s="234"/>
      <c r="AK109" s="234"/>
      <c r="AL109" s="234"/>
      <c r="AM109" s="234"/>
      <c r="AN109" s="234"/>
      <c r="AO109" s="234"/>
      <c r="AP109" s="234"/>
      <c r="AQ109" s="234"/>
      <c r="AR109" s="234"/>
      <c r="AS109" s="234"/>
      <c r="AT109" s="234"/>
      <c r="AU109" s="234"/>
      <c r="AV109" s="234"/>
      <c r="AW109" s="234"/>
      <c r="AX109" s="234"/>
      <c r="AY109" s="234"/>
    </row>
    <row r="110" spans="1:51" ht="24" customHeight="1" x14ac:dyDescent="0.25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  <c r="AB110" s="234"/>
      <c r="AC110" s="234"/>
      <c r="AD110" s="234"/>
      <c r="AE110" s="234"/>
      <c r="AF110" s="234"/>
      <c r="AG110" s="234"/>
      <c r="AH110" s="234"/>
      <c r="AI110" s="234"/>
      <c r="AJ110" s="234"/>
      <c r="AK110" s="234"/>
      <c r="AL110" s="234"/>
      <c r="AM110" s="234"/>
      <c r="AN110" s="234"/>
      <c r="AO110" s="234"/>
      <c r="AP110" s="234"/>
      <c r="AQ110" s="234"/>
      <c r="AR110" s="234"/>
      <c r="AS110" s="234"/>
      <c r="AT110" s="234"/>
      <c r="AU110" s="234"/>
      <c r="AV110" s="234"/>
      <c r="AW110" s="234"/>
      <c r="AX110" s="234"/>
      <c r="AY110" s="234"/>
    </row>
    <row r="111" spans="1:51" ht="24" customHeight="1" x14ac:dyDescent="0.25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  <c r="AB111" s="234"/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34"/>
      <c r="AO111" s="234"/>
      <c r="AP111" s="234"/>
      <c r="AQ111" s="234"/>
      <c r="AR111" s="234"/>
      <c r="AS111" s="234"/>
      <c r="AT111" s="234"/>
      <c r="AU111" s="234"/>
      <c r="AV111" s="234"/>
      <c r="AW111" s="234"/>
      <c r="AX111" s="234"/>
      <c r="AY111" s="234"/>
    </row>
    <row r="112" spans="1:51" ht="24" customHeight="1" x14ac:dyDescent="0.25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  <c r="AB112" s="234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234"/>
      <c r="AN112" s="234"/>
      <c r="AO112" s="234"/>
      <c r="AP112" s="234"/>
      <c r="AQ112" s="234"/>
      <c r="AR112" s="234"/>
      <c r="AS112" s="234"/>
      <c r="AT112" s="234"/>
      <c r="AU112" s="234"/>
      <c r="AV112" s="234"/>
      <c r="AW112" s="234"/>
      <c r="AX112" s="234"/>
      <c r="AY112" s="234"/>
    </row>
    <row r="113" spans="1:51" ht="24" customHeight="1" x14ac:dyDescent="0.25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34"/>
      <c r="AO113" s="234"/>
      <c r="AP113" s="234"/>
      <c r="AQ113" s="234"/>
      <c r="AR113" s="234"/>
      <c r="AS113" s="234"/>
      <c r="AT113" s="234"/>
      <c r="AU113" s="234"/>
      <c r="AV113" s="234"/>
      <c r="AW113" s="234"/>
      <c r="AX113" s="234"/>
      <c r="AY113" s="234"/>
    </row>
    <row r="114" spans="1:51" ht="24" customHeight="1" x14ac:dyDescent="0.25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  <c r="AB114" s="234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34"/>
      <c r="AO114" s="234"/>
      <c r="AP114" s="234"/>
      <c r="AQ114" s="234"/>
      <c r="AR114" s="234"/>
      <c r="AS114" s="234"/>
      <c r="AT114" s="234"/>
      <c r="AU114" s="234"/>
      <c r="AV114" s="234"/>
      <c r="AW114" s="234"/>
      <c r="AX114" s="234"/>
      <c r="AY114" s="234"/>
    </row>
    <row r="115" spans="1:51" ht="24" customHeight="1" x14ac:dyDescent="0.2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  <c r="AB115" s="234"/>
      <c r="AC115" s="234"/>
      <c r="AD115" s="234"/>
      <c r="AE115" s="234"/>
      <c r="AF115" s="234"/>
      <c r="AG115" s="234"/>
      <c r="AH115" s="234"/>
      <c r="AI115" s="234"/>
      <c r="AJ115" s="234"/>
      <c r="AK115" s="234"/>
      <c r="AL115" s="234"/>
      <c r="AM115" s="234"/>
      <c r="AN115" s="234"/>
      <c r="AO115" s="234"/>
      <c r="AP115" s="234"/>
      <c r="AQ115" s="234"/>
      <c r="AR115" s="234"/>
      <c r="AS115" s="234"/>
      <c r="AT115" s="234"/>
      <c r="AU115" s="234"/>
      <c r="AV115" s="234"/>
      <c r="AW115" s="234"/>
      <c r="AX115" s="234"/>
      <c r="AY115" s="234"/>
    </row>
    <row r="116" spans="1:51" ht="24" customHeight="1" x14ac:dyDescent="0.25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  <c r="AB116" s="234"/>
      <c r="AC116" s="234"/>
      <c r="AD116" s="234"/>
      <c r="AE116" s="234"/>
      <c r="AF116" s="234"/>
      <c r="AG116" s="234"/>
      <c r="AH116" s="234"/>
      <c r="AI116" s="234"/>
      <c r="AJ116" s="234"/>
      <c r="AK116" s="234"/>
      <c r="AL116" s="234"/>
      <c r="AM116" s="234"/>
      <c r="AN116" s="234"/>
      <c r="AO116" s="234"/>
      <c r="AP116" s="234"/>
      <c r="AQ116" s="234"/>
      <c r="AR116" s="234"/>
      <c r="AS116" s="234"/>
      <c r="AT116" s="234"/>
      <c r="AU116" s="234"/>
      <c r="AV116" s="234"/>
      <c r="AW116" s="234"/>
      <c r="AX116" s="234"/>
      <c r="AY116" s="234"/>
    </row>
    <row r="117" spans="1:51" ht="24" customHeight="1" x14ac:dyDescent="0.25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  <c r="AB117" s="234"/>
      <c r="AC117" s="234"/>
      <c r="AD117" s="234"/>
      <c r="AE117" s="234"/>
      <c r="AF117" s="234"/>
      <c r="AG117" s="234"/>
      <c r="AH117" s="234"/>
      <c r="AI117" s="234"/>
      <c r="AJ117" s="234"/>
      <c r="AK117" s="234"/>
      <c r="AL117" s="234"/>
      <c r="AM117" s="234"/>
      <c r="AN117" s="234"/>
      <c r="AO117" s="234"/>
      <c r="AP117" s="234"/>
      <c r="AQ117" s="234"/>
      <c r="AR117" s="234"/>
      <c r="AS117" s="234"/>
      <c r="AT117" s="234"/>
      <c r="AU117" s="234"/>
      <c r="AV117" s="234"/>
      <c r="AW117" s="234"/>
      <c r="AX117" s="234"/>
      <c r="AY117" s="234"/>
    </row>
    <row r="118" spans="1:51" ht="24" customHeight="1" x14ac:dyDescent="0.25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234"/>
      <c r="AJ118" s="234"/>
      <c r="AK118" s="234"/>
      <c r="AL118" s="234"/>
      <c r="AM118" s="234"/>
      <c r="AN118" s="234"/>
      <c r="AO118" s="234"/>
      <c r="AP118" s="234"/>
      <c r="AQ118" s="234"/>
      <c r="AR118" s="234"/>
      <c r="AS118" s="234"/>
      <c r="AT118" s="234"/>
      <c r="AU118" s="234"/>
      <c r="AV118" s="234"/>
      <c r="AW118" s="234"/>
      <c r="AX118" s="234"/>
      <c r="AY118" s="234"/>
    </row>
    <row r="119" spans="1:51" ht="24" customHeight="1" x14ac:dyDescent="0.25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  <c r="AB119" s="234"/>
      <c r="AC119" s="234"/>
      <c r="AD119" s="234"/>
      <c r="AE119" s="234"/>
      <c r="AF119" s="234"/>
      <c r="AG119" s="234"/>
      <c r="AH119" s="234"/>
      <c r="AI119" s="234"/>
      <c r="AJ119" s="234"/>
      <c r="AK119" s="234"/>
      <c r="AL119" s="234"/>
      <c r="AM119" s="234"/>
      <c r="AN119" s="234"/>
      <c r="AO119" s="234"/>
      <c r="AP119" s="234"/>
      <c r="AQ119" s="234"/>
      <c r="AR119" s="234"/>
      <c r="AS119" s="234"/>
      <c r="AT119" s="234"/>
      <c r="AU119" s="234"/>
      <c r="AV119" s="234"/>
      <c r="AW119" s="234"/>
      <c r="AX119" s="234"/>
      <c r="AY119" s="234"/>
    </row>
    <row r="120" spans="1:51" ht="24" customHeight="1" x14ac:dyDescent="0.25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234"/>
      <c r="AN120" s="234"/>
      <c r="AO120" s="234"/>
      <c r="AP120" s="234"/>
      <c r="AQ120" s="234"/>
      <c r="AR120" s="234"/>
      <c r="AS120" s="234"/>
      <c r="AT120" s="234"/>
      <c r="AU120" s="234"/>
      <c r="AV120" s="234"/>
      <c r="AW120" s="234"/>
      <c r="AX120" s="234"/>
      <c r="AY120" s="234"/>
    </row>
    <row r="121" spans="1:51" ht="24" customHeight="1" x14ac:dyDescent="0.25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234"/>
      <c r="AN121" s="234"/>
      <c r="AO121" s="234"/>
      <c r="AP121" s="234"/>
      <c r="AQ121" s="234"/>
      <c r="AR121" s="234"/>
      <c r="AS121" s="234"/>
      <c r="AT121" s="234"/>
      <c r="AU121" s="234"/>
      <c r="AV121" s="234"/>
      <c r="AW121" s="234"/>
      <c r="AX121" s="234"/>
      <c r="AY121" s="234"/>
    </row>
    <row r="122" spans="1:51" ht="24" customHeight="1" x14ac:dyDescent="0.25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  <c r="AB122" s="234"/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234"/>
      <c r="AN122" s="234"/>
      <c r="AO122" s="234"/>
      <c r="AP122" s="234"/>
      <c r="AQ122" s="234"/>
      <c r="AR122" s="234"/>
      <c r="AS122" s="234"/>
      <c r="AT122" s="234"/>
      <c r="AU122" s="234"/>
      <c r="AV122" s="234"/>
      <c r="AW122" s="234"/>
      <c r="AX122" s="234"/>
      <c r="AY122" s="234"/>
    </row>
    <row r="123" spans="1:51" ht="24" customHeight="1" x14ac:dyDescent="0.25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  <c r="AB123" s="234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234"/>
      <c r="AN123" s="234"/>
      <c r="AO123" s="234"/>
      <c r="AP123" s="234"/>
      <c r="AQ123" s="234"/>
      <c r="AR123" s="234"/>
      <c r="AS123" s="234"/>
      <c r="AT123" s="234"/>
      <c r="AU123" s="234"/>
      <c r="AV123" s="234"/>
      <c r="AW123" s="234"/>
      <c r="AX123" s="234"/>
      <c r="AY123" s="234"/>
    </row>
    <row r="124" spans="1:51" ht="24" customHeight="1" x14ac:dyDescent="0.25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  <c r="AB124" s="234"/>
      <c r="AC124" s="234"/>
      <c r="AD124" s="234"/>
      <c r="AE124" s="234"/>
      <c r="AF124" s="234"/>
      <c r="AG124" s="234"/>
      <c r="AH124" s="234"/>
      <c r="AI124" s="234"/>
      <c r="AJ124" s="234"/>
      <c r="AK124" s="234"/>
      <c r="AL124" s="234"/>
      <c r="AM124" s="234"/>
      <c r="AN124" s="234"/>
      <c r="AO124" s="234"/>
      <c r="AP124" s="234"/>
      <c r="AQ124" s="234"/>
      <c r="AR124" s="234"/>
      <c r="AS124" s="234"/>
      <c r="AT124" s="234"/>
      <c r="AU124" s="234"/>
      <c r="AV124" s="234"/>
      <c r="AW124" s="234"/>
      <c r="AX124" s="234"/>
      <c r="AY124" s="234"/>
    </row>
    <row r="125" spans="1:51" ht="24" customHeight="1" x14ac:dyDescent="0.25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234"/>
      <c r="AJ125" s="234"/>
      <c r="AK125" s="234"/>
      <c r="AL125" s="234"/>
      <c r="AM125" s="234"/>
      <c r="AN125" s="234"/>
      <c r="AO125" s="234"/>
      <c r="AP125" s="234"/>
      <c r="AQ125" s="234"/>
      <c r="AR125" s="234"/>
      <c r="AS125" s="234"/>
      <c r="AT125" s="234"/>
      <c r="AU125" s="234"/>
      <c r="AV125" s="234"/>
      <c r="AW125" s="234"/>
      <c r="AX125" s="234"/>
      <c r="AY125" s="234"/>
    </row>
    <row r="126" spans="1:51" ht="24" customHeight="1" x14ac:dyDescent="0.25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  <c r="AB126" s="234"/>
      <c r="AC126" s="234"/>
      <c r="AD126" s="234"/>
      <c r="AE126" s="234"/>
      <c r="AF126" s="234"/>
      <c r="AG126" s="234"/>
      <c r="AH126" s="234"/>
      <c r="AI126" s="234"/>
      <c r="AJ126" s="234"/>
      <c r="AK126" s="234"/>
      <c r="AL126" s="234"/>
      <c r="AM126" s="234"/>
      <c r="AN126" s="234"/>
      <c r="AO126" s="234"/>
      <c r="AP126" s="234"/>
      <c r="AQ126" s="234"/>
      <c r="AR126" s="234"/>
      <c r="AS126" s="234"/>
      <c r="AT126" s="234"/>
      <c r="AU126" s="234"/>
      <c r="AV126" s="234"/>
      <c r="AW126" s="234"/>
      <c r="AX126" s="234"/>
      <c r="AY126" s="234"/>
    </row>
    <row r="127" spans="1:51" ht="24" customHeight="1" x14ac:dyDescent="0.25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  <c r="AB127" s="234"/>
      <c r="AC127" s="234"/>
      <c r="AD127" s="234"/>
      <c r="AE127" s="234"/>
      <c r="AF127" s="234"/>
      <c r="AG127" s="234"/>
      <c r="AH127" s="234"/>
      <c r="AI127" s="234"/>
      <c r="AJ127" s="234"/>
      <c r="AK127" s="234"/>
      <c r="AL127" s="234"/>
      <c r="AM127" s="234"/>
      <c r="AN127" s="234"/>
      <c r="AO127" s="234"/>
      <c r="AP127" s="234"/>
      <c r="AQ127" s="234"/>
      <c r="AR127" s="234"/>
      <c r="AS127" s="234"/>
      <c r="AT127" s="234"/>
      <c r="AU127" s="234"/>
      <c r="AV127" s="234"/>
      <c r="AW127" s="234"/>
      <c r="AX127" s="234"/>
      <c r="AY127" s="234"/>
    </row>
    <row r="128" spans="1:51" ht="24" customHeight="1" x14ac:dyDescent="0.25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  <c r="AB128" s="234"/>
      <c r="AC128" s="234"/>
      <c r="AD128" s="234"/>
      <c r="AE128" s="234"/>
      <c r="AF128" s="234"/>
      <c r="AG128" s="234"/>
      <c r="AH128" s="234"/>
      <c r="AI128" s="234"/>
      <c r="AJ128" s="234"/>
      <c r="AK128" s="234"/>
      <c r="AL128" s="234"/>
      <c r="AM128" s="234"/>
      <c r="AN128" s="234"/>
      <c r="AO128" s="234"/>
      <c r="AP128" s="234"/>
      <c r="AQ128" s="234"/>
      <c r="AR128" s="234"/>
      <c r="AS128" s="234"/>
      <c r="AT128" s="234"/>
      <c r="AU128" s="234"/>
      <c r="AV128" s="234"/>
      <c r="AW128" s="234"/>
      <c r="AX128" s="234"/>
      <c r="AY128" s="234"/>
    </row>
    <row r="129" spans="1:51" ht="24" customHeight="1" x14ac:dyDescent="0.25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234"/>
      <c r="AJ129" s="234"/>
      <c r="AK129" s="234"/>
      <c r="AL129" s="234"/>
      <c r="AM129" s="234"/>
      <c r="AN129" s="234"/>
      <c r="AO129" s="234"/>
      <c r="AP129" s="234"/>
      <c r="AQ129" s="234"/>
      <c r="AR129" s="234"/>
      <c r="AS129" s="234"/>
      <c r="AT129" s="234"/>
      <c r="AU129" s="234"/>
      <c r="AV129" s="234"/>
      <c r="AW129" s="234"/>
      <c r="AX129" s="234"/>
      <c r="AY129" s="234"/>
    </row>
    <row r="130" spans="1:51" ht="24" customHeight="1" x14ac:dyDescent="0.25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  <c r="AB130" s="234"/>
      <c r="AC130" s="234"/>
      <c r="AD130" s="234"/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34"/>
      <c r="AO130" s="234"/>
      <c r="AP130" s="234"/>
      <c r="AQ130" s="234"/>
      <c r="AR130" s="234"/>
      <c r="AS130" s="234"/>
      <c r="AT130" s="234"/>
      <c r="AU130" s="234"/>
      <c r="AV130" s="234"/>
      <c r="AW130" s="234"/>
      <c r="AX130" s="234"/>
      <c r="AY130" s="234"/>
    </row>
    <row r="131" spans="1:51" ht="24" customHeight="1" x14ac:dyDescent="0.25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  <c r="AB131" s="234"/>
      <c r="AC131" s="234"/>
      <c r="AD131" s="234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34"/>
      <c r="AP131" s="234"/>
      <c r="AQ131" s="234"/>
      <c r="AR131" s="234"/>
      <c r="AS131" s="234"/>
      <c r="AT131" s="234"/>
      <c r="AU131" s="234"/>
      <c r="AV131" s="234"/>
      <c r="AW131" s="234"/>
      <c r="AX131" s="234"/>
      <c r="AY131" s="234"/>
    </row>
    <row r="132" spans="1:51" ht="24" customHeight="1" x14ac:dyDescent="0.25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  <c r="AB132" s="234"/>
      <c r="AC132" s="234"/>
      <c r="AD132" s="234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34"/>
      <c r="AP132" s="234"/>
      <c r="AQ132" s="234"/>
      <c r="AR132" s="234"/>
      <c r="AS132" s="234"/>
      <c r="AT132" s="234"/>
      <c r="AU132" s="234"/>
      <c r="AV132" s="234"/>
      <c r="AW132" s="234"/>
      <c r="AX132" s="234"/>
      <c r="AY132" s="234"/>
    </row>
    <row r="133" spans="1:51" ht="24" customHeight="1" x14ac:dyDescent="0.25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  <c r="AB133" s="234"/>
      <c r="AC133" s="234"/>
      <c r="AD133" s="234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34"/>
      <c r="AP133" s="234"/>
      <c r="AQ133" s="234"/>
      <c r="AR133" s="234"/>
      <c r="AS133" s="234"/>
      <c r="AT133" s="234"/>
      <c r="AU133" s="234"/>
      <c r="AV133" s="234"/>
      <c r="AW133" s="234"/>
      <c r="AX133" s="234"/>
      <c r="AY133" s="234"/>
    </row>
    <row r="134" spans="1:51" ht="24" customHeight="1" x14ac:dyDescent="0.25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  <c r="AB134" s="234"/>
      <c r="AC134" s="234"/>
      <c r="AD134" s="234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34"/>
      <c r="AP134" s="234"/>
      <c r="AQ134" s="234"/>
      <c r="AR134" s="234"/>
      <c r="AS134" s="234"/>
      <c r="AT134" s="234"/>
      <c r="AU134" s="234"/>
      <c r="AV134" s="234"/>
      <c r="AW134" s="234"/>
      <c r="AX134" s="234"/>
      <c r="AY134" s="234"/>
    </row>
    <row r="135" spans="1:51" ht="24" customHeight="1" x14ac:dyDescent="0.2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34"/>
      <c r="AP135" s="234"/>
      <c r="AQ135" s="234"/>
      <c r="AR135" s="234"/>
      <c r="AS135" s="234"/>
      <c r="AT135" s="234"/>
      <c r="AU135" s="234"/>
      <c r="AV135" s="234"/>
      <c r="AW135" s="234"/>
      <c r="AX135" s="234"/>
      <c r="AY135" s="234"/>
    </row>
    <row r="136" spans="1:51" ht="24" customHeight="1" x14ac:dyDescent="0.25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  <c r="AB136" s="234"/>
      <c r="AC136" s="234"/>
      <c r="AD136" s="234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34"/>
      <c r="AP136" s="234"/>
      <c r="AQ136" s="234"/>
      <c r="AR136" s="234"/>
      <c r="AS136" s="234"/>
      <c r="AT136" s="234"/>
      <c r="AU136" s="234"/>
      <c r="AV136" s="234"/>
      <c r="AW136" s="234"/>
      <c r="AX136" s="234"/>
      <c r="AY136" s="234"/>
    </row>
    <row r="137" spans="1:51" ht="24" customHeight="1" x14ac:dyDescent="0.25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  <c r="AB137" s="234"/>
      <c r="AC137" s="234"/>
      <c r="AD137" s="234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34"/>
      <c r="AP137" s="234"/>
      <c r="AQ137" s="234"/>
      <c r="AR137" s="234"/>
      <c r="AS137" s="234"/>
      <c r="AT137" s="234"/>
      <c r="AU137" s="234"/>
      <c r="AV137" s="234"/>
      <c r="AW137" s="234"/>
      <c r="AX137" s="234"/>
      <c r="AY137" s="234"/>
    </row>
    <row r="138" spans="1:51" ht="24" customHeight="1" x14ac:dyDescent="0.25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  <c r="AB138" s="234"/>
      <c r="AC138" s="234"/>
      <c r="AD138" s="234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34"/>
      <c r="AP138" s="234"/>
      <c r="AQ138" s="234"/>
      <c r="AR138" s="234"/>
      <c r="AS138" s="234"/>
      <c r="AT138" s="234"/>
      <c r="AU138" s="234"/>
      <c r="AV138" s="234"/>
      <c r="AW138" s="234"/>
      <c r="AX138" s="234"/>
      <c r="AY138" s="234"/>
    </row>
    <row r="139" spans="1:51" ht="24" customHeight="1" x14ac:dyDescent="0.25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  <c r="AB139" s="234"/>
      <c r="AC139" s="234"/>
      <c r="AD139" s="234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34"/>
      <c r="AP139" s="234"/>
      <c r="AQ139" s="234"/>
      <c r="AR139" s="234"/>
      <c r="AS139" s="234"/>
      <c r="AT139" s="234"/>
      <c r="AU139" s="234"/>
      <c r="AV139" s="234"/>
      <c r="AW139" s="234"/>
      <c r="AX139" s="234"/>
      <c r="AY139" s="234"/>
    </row>
    <row r="140" spans="1:51" ht="24" customHeight="1" x14ac:dyDescent="0.25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  <c r="AB140" s="234"/>
      <c r="AC140" s="234"/>
      <c r="AD140" s="234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34"/>
      <c r="AP140" s="234"/>
      <c r="AQ140" s="234"/>
      <c r="AR140" s="234"/>
      <c r="AS140" s="234"/>
      <c r="AT140" s="234"/>
      <c r="AU140" s="234"/>
      <c r="AV140" s="234"/>
      <c r="AW140" s="234"/>
      <c r="AX140" s="234"/>
      <c r="AY140" s="234"/>
    </row>
    <row r="141" spans="1:51" ht="24" customHeight="1" x14ac:dyDescent="0.25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34"/>
      <c r="AP141" s="234"/>
      <c r="AQ141" s="234"/>
      <c r="AR141" s="234"/>
      <c r="AS141" s="234"/>
      <c r="AT141" s="234"/>
      <c r="AU141" s="234"/>
      <c r="AV141" s="234"/>
      <c r="AW141" s="234"/>
      <c r="AX141" s="234"/>
      <c r="AY141" s="234"/>
    </row>
    <row r="142" spans="1:51" ht="24" customHeight="1" x14ac:dyDescent="0.25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  <c r="AB142" s="234"/>
      <c r="AC142" s="234"/>
      <c r="AD142" s="234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34"/>
      <c r="AP142" s="234"/>
      <c r="AQ142" s="234"/>
      <c r="AR142" s="234"/>
      <c r="AS142" s="234"/>
      <c r="AT142" s="234"/>
      <c r="AU142" s="234"/>
      <c r="AV142" s="234"/>
      <c r="AW142" s="234"/>
      <c r="AX142" s="234"/>
      <c r="AY142" s="234"/>
    </row>
    <row r="143" spans="1:51" ht="24" customHeight="1" x14ac:dyDescent="0.25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  <c r="AB143" s="234"/>
      <c r="AC143" s="234"/>
      <c r="AD143" s="234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34"/>
      <c r="AP143" s="234"/>
      <c r="AQ143" s="234"/>
      <c r="AR143" s="234"/>
      <c r="AS143" s="234"/>
      <c r="AT143" s="234"/>
      <c r="AU143" s="234"/>
      <c r="AV143" s="234"/>
      <c r="AW143" s="234"/>
      <c r="AX143" s="234"/>
      <c r="AY143" s="234"/>
    </row>
    <row r="144" spans="1:51" ht="24" customHeight="1" x14ac:dyDescent="0.25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  <c r="AB144" s="234"/>
      <c r="AC144" s="234"/>
      <c r="AD144" s="234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34"/>
      <c r="AP144" s="234"/>
      <c r="AQ144" s="234"/>
      <c r="AR144" s="234"/>
      <c r="AS144" s="234"/>
      <c r="AT144" s="234"/>
      <c r="AU144" s="234"/>
      <c r="AV144" s="234"/>
      <c r="AW144" s="234"/>
      <c r="AX144" s="234"/>
      <c r="AY144" s="234"/>
    </row>
    <row r="145" spans="1:51" ht="24" customHeight="1" x14ac:dyDescent="0.25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  <c r="AB145" s="234"/>
      <c r="AC145" s="234"/>
      <c r="AD145" s="234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34"/>
      <c r="AP145" s="234"/>
      <c r="AQ145" s="234"/>
      <c r="AR145" s="234"/>
      <c r="AS145" s="234"/>
      <c r="AT145" s="234"/>
      <c r="AU145" s="234"/>
      <c r="AV145" s="234"/>
      <c r="AW145" s="234"/>
      <c r="AX145" s="234"/>
      <c r="AY145" s="234"/>
    </row>
    <row r="146" spans="1:51" ht="24" customHeight="1" x14ac:dyDescent="0.25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  <c r="AB146" s="234"/>
      <c r="AC146" s="234"/>
      <c r="AD146" s="234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34"/>
      <c r="AP146" s="234"/>
      <c r="AQ146" s="234"/>
      <c r="AR146" s="234"/>
      <c r="AS146" s="234"/>
      <c r="AT146" s="234"/>
      <c r="AU146" s="234"/>
      <c r="AV146" s="234"/>
      <c r="AW146" s="234"/>
      <c r="AX146" s="234"/>
      <c r="AY146" s="234"/>
    </row>
    <row r="147" spans="1:51" ht="24" customHeight="1" x14ac:dyDescent="0.25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  <c r="AB147" s="234"/>
      <c r="AC147" s="234"/>
      <c r="AD147" s="234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34"/>
      <c r="AP147" s="234"/>
      <c r="AQ147" s="234"/>
      <c r="AR147" s="234"/>
      <c r="AS147" s="234"/>
      <c r="AT147" s="234"/>
      <c r="AU147" s="234"/>
      <c r="AV147" s="234"/>
      <c r="AW147" s="234"/>
      <c r="AX147" s="234"/>
      <c r="AY147" s="234"/>
    </row>
    <row r="148" spans="1:51" ht="24" customHeight="1" x14ac:dyDescent="0.25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  <c r="AB148" s="234"/>
      <c r="AC148" s="234"/>
      <c r="AD148" s="234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34"/>
      <c r="AP148" s="234"/>
      <c r="AQ148" s="234"/>
      <c r="AR148" s="234"/>
      <c r="AS148" s="234"/>
      <c r="AT148" s="234"/>
      <c r="AU148" s="234"/>
      <c r="AV148" s="234"/>
      <c r="AW148" s="234"/>
      <c r="AX148" s="234"/>
      <c r="AY148" s="234"/>
    </row>
    <row r="149" spans="1:51" ht="24" customHeight="1" x14ac:dyDescent="0.25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  <c r="AB149" s="234"/>
      <c r="AC149" s="234"/>
      <c r="AD149" s="234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34"/>
      <c r="AP149" s="234"/>
      <c r="AQ149" s="234"/>
      <c r="AR149" s="234"/>
      <c r="AS149" s="234"/>
      <c r="AT149" s="234"/>
      <c r="AU149" s="234"/>
      <c r="AV149" s="234"/>
      <c r="AW149" s="234"/>
      <c r="AX149" s="234"/>
      <c r="AY149" s="234"/>
    </row>
    <row r="150" spans="1:51" ht="24" customHeight="1" x14ac:dyDescent="0.25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  <c r="AB150" s="234"/>
      <c r="AC150" s="234"/>
      <c r="AD150" s="234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34"/>
      <c r="AP150" s="234"/>
      <c r="AQ150" s="234"/>
      <c r="AR150" s="234"/>
      <c r="AS150" s="234"/>
      <c r="AT150" s="234"/>
      <c r="AU150" s="234"/>
      <c r="AV150" s="234"/>
      <c r="AW150" s="234"/>
      <c r="AX150" s="234"/>
      <c r="AY150" s="234"/>
    </row>
    <row r="151" spans="1:51" ht="24" customHeight="1" x14ac:dyDescent="0.25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  <c r="AB151" s="234"/>
      <c r="AC151" s="234"/>
      <c r="AD151" s="234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34"/>
      <c r="AP151" s="234"/>
      <c r="AQ151" s="234"/>
      <c r="AR151" s="234"/>
      <c r="AS151" s="234"/>
      <c r="AT151" s="234"/>
      <c r="AU151" s="234"/>
      <c r="AV151" s="234"/>
      <c r="AW151" s="234"/>
      <c r="AX151" s="234"/>
      <c r="AY151" s="234"/>
    </row>
    <row r="152" spans="1:51" ht="24" customHeight="1" x14ac:dyDescent="0.25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  <c r="AB152" s="234"/>
      <c r="AC152" s="234"/>
      <c r="AD152" s="234"/>
      <c r="AE152" s="234"/>
      <c r="AF152" s="234"/>
      <c r="AG152" s="234"/>
      <c r="AH152" s="234"/>
      <c r="AI152" s="234"/>
      <c r="AJ152" s="234"/>
      <c r="AK152" s="234"/>
      <c r="AL152" s="234"/>
      <c r="AM152" s="234"/>
      <c r="AN152" s="234"/>
      <c r="AO152" s="234"/>
      <c r="AP152" s="234"/>
      <c r="AQ152" s="234"/>
      <c r="AR152" s="234"/>
      <c r="AS152" s="234"/>
      <c r="AT152" s="234"/>
      <c r="AU152" s="234"/>
      <c r="AV152" s="234"/>
      <c r="AW152" s="234"/>
      <c r="AX152" s="234"/>
      <c r="AY152" s="234"/>
    </row>
    <row r="153" spans="1:51" ht="24" customHeight="1" x14ac:dyDescent="0.25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  <c r="AB153" s="234"/>
      <c r="AC153" s="234"/>
      <c r="AD153" s="234"/>
      <c r="AE153" s="234"/>
      <c r="AF153" s="234"/>
      <c r="AG153" s="234"/>
      <c r="AH153" s="234"/>
      <c r="AI153" s="234"/>
      <c r="AJ153" s="234"/>
      <c r="AK153" s="234"/>
      <c r="AL153" s="234"/>
      <c r="AM153" s="234"/>
      <c r="AN153" s="234"/>
      <c r="AO153" s="234"/>
      <c r="AP153" s="234"/>
      <c r="AQ153" s="234"/>
      <c r="AR153" s="234"/>
      <c r="AS153" s="234"/>
      <c r="AT153" s="234"/>
      <c r="AU153" s="234"/>
      <c r="AV153" s="234"/>
      <c r="AW153" s="234"/>
      <c r="AX153" s="234"/>
      <c r="AY153" s="234"/>
    </row>
    <row r="154" spans="1:51" ht="24" customHeight="1" x14ac:dyDescent="0.25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  <c r="AB154" s="234"/>
      <c r="AC154" s="234"/>
      <c r="AD154" s="234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234"/>
      <c r="AO154" s="234"/>
      <c r="AP154" s="234"/>
      <c r="AQ154" s="234"/>
      <c r="AR154" s="234"/>
      <c r="AS154" s="234"/>
      <c r="AT154" s="234"/>
      <c r="AU154" s="234"/>
      <c r="AV154" s="234"/>
      <c r="AW154" s="234"/>
      <c r="AX154" s="234"/>
      <c r="AY154" s="234"/>
    </row>
    <row r="155" spans="1:51" ht="24" customHeight="1" x14ac:dyDescent="0.25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  <c r="AB155" s="234"/>
      <c r="AC155" s="234"/>
      <c r="AD155" s="234"/>
      <c r="AE155" s="234"/>
      <c r="AF155" s="234"/>
      <c r="AG155" s="234"/>
      <c r="AH155" s="234"/>
      <c r="AI155" s="234"/>
      <c r="AJ155" s="234"/>
      <c r="AK155" s="234"/>
      <c r="AL155" s="234"/>
      <c r="AM155" s="234"/>
      <c r="AN155" s="234"/>
      <c r="AO155" s="234"/>
      <c r="AP155" s="234"/>
      <c r="AQ155" s="234"/>
      <c r="AR155" s="234"/>
      <c r="AS155" s="234"/>
      <c r="AT155" s="234"/>
      <c r="AU155" s="234"/>
      <c r="AV155" s="234"/>
      <c r="AW155" s="234"/>
      <c r="AX155" s="234"/>
      <c r="AY155" s="234"/>
    </row>
    <row r="156" spans="1:51" ht="24" customHeight="1" x14ac:dyDescent="0.25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  <c r="AB156" s="234"/>
      <c r="AC156" s="234"/>
      <c r="AD156" s="234"/>
      <c r="AE156" s="234"/>
      <c r="AF156" s="234"/>
      <c r="AG156" s="234"/>
      <c r="AH156" s="234"/>
      <c r="AI156" s="234"/>
      <c r="AJ156" s="234"/>
      <c r="AK156" s="234"/>
      <c r="AL156" s="234"/>
      <c r="AM156" s="234"/>
      <c r="AN156" s="234"/>
      <c r="AO156" s="234"/>
      <c r="AP156" s="234"/>
      <c r="AQ156" s="234"/>
      <c r="AR156" s="234"/>
      <c r="AS156" s="234"/>
      <c r="AT156" s="234"/>
      <c r="AU156" s="234"/>
      <c r="AV156" s="234"/>
      <c r="AW156" s="234"/>
      <c r="AX156" s="234"/>
      <c r="AY156" s="234"/>
    </row>
    <row r="157" spans="1:51" ht="24" customHeight="1" x14ac:dyDescent="0.25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  <c r="AB157" s="234"/>
      <c r="AC157" s="234"/>
      <c r="AD157" s="234"/>
      <c r="AE157" s="234"/>
      <c r="AF157" s="234"/>
      <c r="AG157" s="234"/>
      <c r="AH157" s="234"/>
      <c r="AI157" s="234"/>
      <c r="AJ157" s="234"/>
      <c r="AK157" s="234"/>
      <c r="AL157" s="234"/>
      <c r="AM157" s="234"/>
      <c r="AN157" s="234"/>
      <c r="AO157" s="234"/>
      <c r="AP157" s="234"/>
      <c r="AQ157" s="234"/>
      <c r="AR157" s="234"/>
      <c r="AS157" s="234"/>
      <c r="AT157" s="234"/>
      <c r="AU157" s="234"/>
      <c r="AV157" s="234"/>
      <c r="AW157" s="234"/>
      <c r="AX157" s="234"/>
      <c r="AY157" s="234"/>
    </row>
    <row r="158" spans="1:51" ht="24" customHeight="1" x14ac:dyDescent="0.25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  <c r="AB158" s="234"/>
      <c r="AC158" s="234"/>
      <c r="AD158" s="234"/>
      <c r="AE158" s="234"/>
      <c r="AF158" s="234"/>
      <c r="AG158" s="234"/>
      <c r="AH158" s="234"/>
      <c r="AI158" s="234"/>
      <c r="AJ158" s="234"/>
      <c r="AK158" s="234"/>
      <c r="AL158" s="234"/>
      <c r="AM158" s="234"/>
      <c r="AN158" s="234"/>
      <c r="AO158" s="234"/>
      <c r="AP158" s="234"/>
      <c r="AQ158" s="234"/>
      <c r="AR158" s="234"/>
      <c r="AS158" s="234"/>
      <c r="AT158" s="234"/>
      <c r="AU158" s="234"/>
      <c r="AV158" s="234"/>
      <c r="AW158" s="234"/>
      <c r="AX158" s="234"/>
      <c r="AY158" s="234"/>
    </row>
    <row r="159" spans="1:51" ht="24" customHeight="1" x14ac:dyDescent="0.25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  <c r="AB159" s="234"/>
      <c r="AC159" s="234"/>
      <c r="AD159" s="234"/>
      <c r="AE159" s="234"/>
      <c r="AF159" s="234"/>
      <c r="AG159" s="234"/>
      <c r="AH159" s="234"/>
      <c r="AI159" s="234"/>
      <c r="AJ159" s="234"/>
      <c r="AK159" s="234"/>
      <c r="AL159" s="234"/>
      <c r="AM159" s="234"/>
      <c r="AN159" s="234"/>
      <c r="AO159" s="234"/>
      <c r="AP159" s="234"/>
      <c r="AQ159" s="234"/>
      <c r="AR159" s="234"/>
      <c r="AS159" s="234"/>
      <c r="AT159" s="234"/>
      <c r="AU159" s="234"/>
      <c r="AV159" s="234"/>
      <c r="AW159" s="234"/>
      <c r="AX159" s="234"/>
      <c r="AY159" s="234"/>
    </row>
    <row r="160" spans="1:51" ht="24" customHeight="1" x14ac:dyDescent="0.25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  <c r="AB160" s="234"/>
      <c r="AC160" s="234"/>
      <c r="AD160" s="234"/>
      <c r="AE160" s="234"/>
      <c r="AF160" s="234"/>
      <c r="AG160" s="234"/>
      <c r="AH160" s="234"/>
      <c r="AI160" s="234"/>
      <c r="AJ160" s="234"/>
      <c r="AK160" s="234"/>
      <c r="AL160" s="234"/>
      <c r="AM160" s="234"/>
      <c r="AN160" s="234"/>
      <c r="AO160" s="234"/>
      <c r="AP160" s="234"/>
      <c r="AQ160" s="234"/>
      <c r="AR160" s="234"/>
      <c r="AS160" s="234"/>
      <c r="AT160" s="234"/>
      <c r="AU160" s="234"/>
      <c r="AV160" s="234"/>
      <c r="AW160" s="234"/>
      <c r="AX160" s="234"/>
      <c r="AY160" s="234"/>
    </row>
    <row r="161" spans="1:51" ht="24" customHeight="1" x14ac:dyDescent="0.25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4"/>
      <c r="AK161" s="234"/>
      <c r="AL161" s="234"/>
      <c r="AM161" s="234"/>
      <c r="AN161" s="234"/>
      <c r="AO161" s="234"/>
      <c r="AP161" s="234"/>
      <c r="AQ161" s="234"/>
      <c r="AR161" s="234"/>
      <c r="AS161" s="234"/>
      <c r="AT161" s="234"/>
      <c r="AU161" s="234"/>
      <c r="AV161" s="234"/>
      <c r="AW161" s="234"/>
      <c r="AX161" s="234"/>
      <c r="AY161" s="234"/>
    </row>
    <row r="162" spans="1:51" ht="24" customHeight="1" x14ac:dyDescent="0.25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  <c r="AB162" s="234"/>
      <c r="AC162" s="234"/>
      <c r="AD162" s="234"/>
      <c r="AE162" s="234"/>
      <c r="AF162" s="234"/>
      <c r="AG162" s="234"/>
      <c r="AH162" s="234"/>
      <c r="AI162" s="234"/>
      <c r="AJ162" s="234"/>
      <c r="AK162" s="234"/>
      <c r="AL162" s="234"/>
      <c r="AM162" s="234"/>
      <c r="AN162" s="234"/>
      <c r="AO162" s="234"/>
      <c r="AP162" s="234"/>
      <c r="AQ162" s="234"/>
      <c r="AR162" s="234"/>
      <c r="AS162" s="234"/>
      <c r="AT162" s="234"/>
      <c r="AU162" s="234"/>
      <c r="AV162" s="234"/>
      <c r="AW162" s="234"/>
      <c r="AX162" s="234"/>
      <c r="AY162" s="234"/>
    </row>
    <row r="163" spans="1:51" ht="24" customHeight="1" x14ac:dyDescent="0.25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  <c r="AB163" s="234"/>
      <c r="AC163" s="234"/>
      <c r="AD163" s="234"/>
      <c r="AE163" s="234"/>
      <c r="AF163" s="234"/>
      <c r="AG163" s="234"/>
      <c r="AH163" s="234"/>
      <c r="AI163" s="234"/>
      <c r="AJ163" s="234"/>
      <c r="AK163" s="234"/>
      <c r="AL163" s="234"/>
      <c r="AM163" s="234"/>
      <c r="AN163" s="234"/>
      <c r="AO163" s="234"/>
      <c r="AP163" s="234"/>
      <c r="AQ163" s="234"/>
      <c r="AR163" s="234"/>
      <c r="AS163" s="234"/>
      <c r="AT163" s="234"/>
      <c r="AU163" s="234"/>
      <c r="AV163" s="234"/>
      <c r="AW163" s="234"/>
      <c r="AX163" s="234"/>
      <c r="AY163" s="234"/>
    </row>
    <row r="164" spans="1:51" ht="24" customHeight="1" x14ac:dyDescent="0.25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  <c r="AB164" s="234"/>
      <c r="AC164" s="234"/>
      <c r="AD164" s="234"/>
      <c r="AE164" s="234"/>
      <c r="AF164" s="234"/>
      <c r="AG164" s="234"/>
      <c r="AH164" s="234"/>
      <c r="AI164" s="234"/>
      <c r="AJ164" s="234"/>
      <c r="AK164" s="234"/>
      <c r="AL164" s="234"/>
      <c r="AM164" s="234"/>
      <c r="AN164" s="234"/>
      <c r="AO164" s="234"/>
      <c r="AP164" s="234"/>
      <c r="AQ164" s="234"/>
      <c r="AR164" s="234"/>
      <c r="AS164" s="234"/>
      <c r="AT164" s="234"/>
      <c r="AU164" s="234"/>
      <c r="AV164" s="234"/>
      <c r="AW164" s="234"/>
      <c r="AX164" s="234"/>
      <c r="AY164" s="234"/>
    </row>
    <row r="165" spans="1:51" ht="24" customHeight="1" x14ac:dyDescent="0.25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  <c r="AB165" s="234"/>
      <c r="AC165" s="234"/>
      <c r="AD165" s="234"/>
      <c r="AE165" s="234"/>
      <c r="AF165" s="234"/>
      <c r="AG165" s="234"/>
      <c r="AH165" s="234"/>
      <c r="AI165" s="234"/>
      <c r="AJ165" s="234"/>
      <c r="AK165" s="234"/>
      <c r="AL165" s="234"/>
      <c r="AM165" s="234"/>
      <c r="AN165" s="234"/>
      <c r="AO165" s="234"/>
      <c r="AP165" s="234"/>
      <c r="AQ165" s="234"/>
      <c r="AR165" s="234"/>
      <c r="AS165" s="234"/>
      <c r="AT165" s="234"/>
      <c r="AU165" s="234"/>
      <c r="AV165" s="234"/>
      <c r="AW165" s="234"/>
      <c r="AX165" s="234"/>
      <c r="AY165" s="234"/>
    </row>
    <row r="166" spans="1:51" ht="24" customHeight="1" x14ac:dyDescent="0.25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  <c r="AB166" s="234"/>
      <c r="AC166" s="234"/>
      <c r="AD166" s="234"/>
      <c r="AE166" s="234"/>
      <c r="AF166" s="234"/>
      <c r="AG166" s="234"/>
      <c r="AH166" s="234"/>
      <c r="AI166" s="234"/>
      <c r="AJ166" s="234"/>
      <c r="AK166" s="234"/>
      <c r="AL166" s="234"/>
      <c r="AM166" s="234"/>
      <c r="AN166" s="234"/>
      <c r="AO166" s="234"/>
      <c r="AP166" s="234"/>
      <c r="AQ166" s="234"/>
      <c r="AR166" s="234"/>
      <c r="AS166" s="234"/>
      <c r="AT166" s="234"/>
      <c r="AU166" s="234"/>
      <c r="AV166" s="234"/>
      <c r="AW166" s="234"/>
      <c r="AX166" s="234"/>
      <c r="AY166" s="234"/>
    </row>
    <row r="167" spans="1:51" ht="24" customHeight="1" x14ac:dyDescent="0.25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  <c r="AB167" s="234"/>
      <c r="AC167" s="234"/>
      <c r="AD167" s="234"/>
      <c r="AE167" s="234"/>
      <c r="AF167" s="234"/>
      <c r="AG167" s="234"/>
      <c r="AH167" s="234"/>
      <c r="AI167" s="234"/>
      <c r="AJ167" s="234"/>
      <c r="AK167" s="234"/>
      <c r="AL167" s="234"/>
      <c r="AM167" s="234"/>
      <c r="AN167" s="234"/>
      <c r="AO167" s="234"/>
      <c r="AP167" s="234"/>
      <c r="AQ167" s="234"/>
      <c r="AR167" s="234"/>
      <c r="AS167" s="234"/>
      <c r="AT167" s="234"/>
      <c r="AU167" s="234"/>
      <c r="AV167" s="234"/>
      <c r="AW167" s="234"/>
      <c r="AX167" s="234"/>
      <c r="AY167" s="234"/>
    </row>
    <row r="168" spans="1:51" ht="24" customHeight="1" x14ac:dyDescent="0.25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  <c r="AB168" s="234"/>
      <c r="AC168" s="234"/>
      <c r="AD168" s="234"/>
      <c r="AE168" s="234"/>
      <c r="AF168" s="234"/>
      <c r="AG168" s="234"/>
      <c r="AH168" s="234"/>
      <c r="AI168" s="234"/>
      <c r="AJ168" s="234"/>
      <c r="AK168" s="234"/>
      <c r="AL168" s="234"/>
      <c r="AM168" s="234"/>
      <c r="AN168" s="234"/>
      <c r="AO168" s="234"/>
      <c r="AP168" s="234"/>
      <c r="AQ168" s="234"/>
      <c r="AR168" s="234"/>
      <c r="AS168" s="234"/>
      <c r="AT168" s="234"/>
      <c r="AU168" s="234"/>
      <c r="AV168" s="234"/>
      <c r="AW168" s="234"/>
      <c r="AX168" s="234"/>
      <c r="AY168" s="234"/>
    </row>
    <row r="169" spans="1:51" ht="24" customHeight="1" x14ac:dyDescent="0.25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  <c r="AB169" s="234"/>
      <c r="AC169" s="234"/>
      <c r="AD169" s="234"/>
      <c r="AE169" s="234"/>
      <c r="AF169" s="234"/>
      <c r="AG169" s="234"/>
      <c r="AH169" s="234"/>
      <c r="AI169" s="234"/>
      <c r="AJ169" s="234"/>
      <c r="AK169" s="234"/>
      <c r="AL169" s="234"/>
      <c r="AM169" s="234"/>
      <c r="AN169" s="234"/>
      <c r="AO169" s="234"/>
      <c r="AP169" s="234"/>
      <c r="AQ169" s="234"/>
      <c r="AR169" s="234"/>
      <c r="AS169" s="234"/>
      <c r="AT169" s="234"/>
      <c r="AU169" s="234"/>
      <c r="AV169" s="234"/>
      <c r="AW169" s="234"/>
      <c r="AX169" s="234"/>
      <c r="AY169" s="234"/>
    </row>
    <row r="170" spans="1:51" ht="24" customHeight="1" x14ac:dyDescent="0.25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  <c r="AB170" s="234"/>
      <c r="AC170" s="234"/>
      <c r="AD170" s="234"/>
      <c r="AE170" s="234"/>
      <c r="AF170" s="234"/>
      <c r="AG170" s="234"/>
      <c r="AH170" s="234"/>
      <c r="AI170" s="234"/>
      <c r="AJ170" s="234"/>
      <c r="AK170" s="234"/>
      <c r="AL170" s="234"/>
      <c r="AM170" s="234"/>
      <c r="AN170" s="234"/>
      <c r="AO170" s="234"/>
      <c r="AP170" s="234"/>
      <c r="AQ170" s="234"/>
      <c r="AR170" s="234"/>
      <c r="AS170" s="234"/>
      <c r="AT170" s="234"/>
      <c r="AU170" s="234"/>
      <c r="AV170" s="234"/>
      <c r="AW170" s="234"/>
      <c r="AX170" s="234"/>
      <c r="AY170" s="234"/>
    </row>
    <row r="171" spans="1:51" ht="24" customHeight="1" x14ac:dyDescent="0.25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  <c r="AB171" s="234"/>
      <c r="AC171" s="234"/>
      <c r="AD171" s="234"/>
      <c r="AE171" s="234"/>
      <c r="AF171" s="234"/>
      <c r="AG171" s="234"/>
      <c r="AH171" s="234"/>
      <c r="AI171" s="234"/>
      <c r="AJ171" s="234"/>
      <c r="AK171" s="234"/>
      <c r="AL171" s="234"/>
      <c r="AM171" s="234"/>
      <c r="AN171" s="234"/>
      <c r="AO171" s="234"/>
      <c r="AP171" s="234"/>
      <c r="AQ171" s="234"/>
      <c r="AR171" s="234"/>
      <c r="AS171" s="234"/>
      <c r="AT171" s="234"/>
      <c r="AU171" s="234"/>
      <c r="AV171" s="234"/>
      <c r="AW171" s="234"/>
      <c r="AX171" s="234"/>
      <c r="AY171" s="234"/>
    </row>
    <row r="172" spans="1:51" ht="24" customHeight="1" x14ac:dyDescent="0.25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  <c r="AB172" s="234"/>
      <c r="AC172" s="234"/>
      <c r="AD172" s="234"/>
      <c r="AE172" s="234"/>
      <c r="AF172" s="234"/>
      <c r="AG172" s="234"/>
      <c r="AH172" s="234"/>
      <c r="AI172" s="234"/>
      <c r="AJ172" s="234"/>
      <c r="AK172" s="234"/>
      <c r="AL172" s="234"/>
      <c r="AM172" s="234"/>
      <c r="AN172" s="234"/>
      <c r="AO172" s="234"/>
      <c r="AP172" s="234"/>
      <c r="AQ172" s="234"/>
      <c r="AR172" s="234"/>
      <c r="AS172" s="234"/>
      <c r="AT172" s="234"/>
      <c r="AU172" s="234"/>
      <c r="AV172" s="234"/>
      <c r="AW172" s="234"/>
      <c r="AX172" s="234"/>
      <c r="AY172" s="234"/>
    </row>
    <row r="173" spans="1:51" ht="24" customHeight="1" x14ac:dyDescent="0.25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4"/>
      <c r="AL173" s="234"/>
      <c r="AM173" s="234"/>
      <c r="AN173" s="234"/>
      <c r="AO173" s="234"/>
      <c r="AP173" s="234"/>
      <c r="AQ173" s="234"/>
      <c r="AR173" s="234"/>
      <c r="AS173" s="234"/>
      <c r="AT173" s="234"/>
      <c r="AU173" s="234"/>
      <c r="AV173" s="234"/>
      <c r="AW173" s="234"/>
      <c r="AX173" s="234"/>
      <c r="AY173" s="234"/>
    </row>
    <row r="174" spans="1:51" ht="24" customHeight="1" x14ac:dyDescent="0.25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  <c r="AB174" s="234"/>
      <c r="AC174" s="234"/>
      <c r="AD174" s="234"/>
      <c r="AE174" s="234"/>
      <c r="AF174" s="234"/>
      <c r="AG174" s="234"/>
      <c r="AH174" s="234"/>
      <c r="AI174" s="234"/>
      <c r="AJ174" s="234"/>
      <c r="AK174" s="234"/>
      <c r="AL174" s="234"/>
      <c r="AM174" s="234"/>
      <c r="AN174" s="234"/>
      <c r="AO174" s="234"/>
      <c r="AP174" s="234"/>
      <c r="AQ174" s="234"/>
      <c r="AR174" s="234"/>
      <c r="AS174" s="234"/>
      <c r="AT174" s="234"/>
      <c r="AU174" s="234"/>
      <c r="AV174" s="234"/>
      <c r="AW174" s="234"/>
      <c r="AX174" s="234"/>
      <c r="AY174" s="234"/>
    </row>
    <row r="175" spans="1:51" ht="24" customHeight="1" x14ac:dyDescent="0.25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  <c r="AB175" s="234"/>
      <c r="AC175" s="234"/>
      <c r="AD175" s="234"/>
      <c r="AE175" s="234"/>
      <c r="AF175" s="234"/>
      <c r="AG175" s="234"/>
      <c r="AH175" s="234"/>
      <c r="AI175" s="234"/>
      <c r="AJ175" s="234"/>
      <c r="AK175" s="234"/>
      <c r="AL175" s="234"/>
      <c r="AM175" s="234"/>
      <c r="AN175" s="234"/>
      <c r="AO175" s="234"/>
      <c r="AP175" s="234"/>
      <c r="AQ175" s="234"/>
      <c r="AR175" s="234"/>
      <c r="AS175" s="234"/>
      <c r="AT175" s="234"/>
      <c r="AU175" s="234"/>
      <c r="AV175" s="234"/>
      <c r="AW175" s="234"/>
      <c r="AX175" s="234"/>
      <c r="AY175" s="234"/>
    </row>
    <row r="176" spans="1:51" ht="24" customHeight="1" x14ac:dyDescent="0.25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  <c r="AB176" s="234"/>
      <c r="AC176" s="234"/>
      <c r="AD176" s="234"/>
      <c r="AE176" s="234"/>
      <c r="AF176" s="234"/>
      <c r="AG176" s="234"/>
      <c r="AH176" s="234"/>
      <c r="AI176" s="234"/>
      <c r="AJ176" s="234"/>
      <c r="AK176" s="234"/>
      <c r="AL176" s="234"/>
      <c r="AM176" s="234"/>
      <c r="AN176" s="234"/>
      <c r="AO176" s="234"/>
      <c r="AP176" s="234"/>
      <c r="AQ176" s="234"/>
      <c r="AR176" s="234"/>
      <c r="AS176" s="234"/>
      <c r="AT176" s="234"/>
      <c r="AU176" s="234"/>
      <c r="AV176" s="234"/>
      <c r="AW176" s="234"/>
      <c r="AX176" s="234"/>
      <c r="AY176" s="234"/>
    </row>
    <row r="177" spans="1:51" ht="24" customHeight="1" x14ac:dyDescent="0.25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  <c r="AB177" s="234"/>
      <c r="AC177" s="234"/>
      <c r="AD177" s="234"/>
      <c r="AE177" s="234"/>
      <c r="AF177" s="234"/>
      <c r="AG177" s="234"/>
      <c r="AH177" s="234"/>
      <c r="AI177" s="234"/>
      <c r="AJ177" s="234"/>
      <c r="AK177" s="234"/>
      <c r="AL177" s="234"/>
      <c r="AM177" s="234"/>
      <c r="AN177" s="234"/>
      <c r="AO177" s="234"/>
      <c r="AP177" s="234"/>
      <c r="AQ177" s="234"/>
      <c r="AR177" s="234"/>
      <c r="AS177" s="234"/>
      <c r="AT177" s="234"/>
      <c r="AU177" s="234"/>
      <c r="AV177" s="234"/>
      <c r="AW177" s="234"/>
      <c r="AX177" s="234"/>
      <c r="AY177" s="234"/>
    </row>
    <row r="178" spans="1:51" ht="24" customHeight="1" x14ac:dyDescent="0.25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  <c r="AB178" s="234"/>
      <c r="AC178" s="234"/>
      <c r="AD178" s="234"/>
      <c r="AE178" s="234"/>
      <c r="AF178" s="234"/>
      <c r="AG178" s="234"/>
      <c r="AH178" s="234"/>
      <c r="AI178" s="234"/>
      <c r="AJ178" s="234"/>
      <c r="AK178" s="234"/>
      <c r="AL178" s="234"/>
      <c r="AM178" s="234"/>
      <c r="AN178" s="234"/>
      <c r="AO178" s="234"/>
      <c r="AP178" s="234"/>
      <c r="AQ178" s="234"/>
      <c r="AR178" s="234"/>
      <c r="AS178" s="234"/>
      <c r="AT178" s="234"/>
      <c r="AU178" s="234"/>
      <c r="AV178" s="234"/>
      <c r="AW178" s="234"/>
      <c r="AX178" s="234"/>
      <c r="AY178" s="234"/>
    </row>
    <row r="179" spans="1:51" ht="24" customHeight="1" x14ac:dyDescent="0.25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  <c r="AB179" s="234"/>
      <c r="AC179" s="234"/>
      <c r="AD179" s="234"/>
      <c r="AE179" s="234"/>
      <c r="AF179" s="234"/>
      <c r="AG179" s="234"/>
      <c r="AH179" s="234"/>
      <c r="AI179" s="234"/>
      <c r="AJ179" s="234"/>
      <c r="AK179" s="234"/>
      <c r="AL179" s="234"/>
      <c r="AM179" s="234"/>
      <c r="AN179" s="234"/>
      <c r="AO179" s="234"/>
      <c r="AP179" s="234"/>
      <c r="AQ179" s="234"/>
      <c r="AR179" s="234"/>
      <c r="AS179" s="234"/>
      <c r="AT179" s="234"/>
      <c r="AU179" s="234"/>
      <c r="AV179" s="234"/>
      <c r="AW179" s="234"/>
      <c r="AX179" s="234"/>
      <c r="AY179" s="234"/>
    </row>
    <row r="180" spans="1:51" ht="24" customHeight="1" x14ac:dyDescent="0.25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  <c r="AB180" s="234"/>
      <c r="AC180" s="234"/>
      <c r="AD180" s="234"/>
      <c r="AE180" s="234"/>
      <c r="AF180" s="234"/>
      <c r="AG180" s="234"/>
      <c r="AH180" s="234"/>
      <c r="AI180" s="234"/>
      <c r="AJ180" s="234"/>
      <c r="AK180" s="234"/>
      <c r="AL180" s="234"/>
      <c r="AM180" s="234"/>
      <c r="AN180" s="234"/>
      <c r="AO180" s="234"/>
      <c r="AP180" s="234"/>
      <c r="AQ180" s="234"/>
      <c r="AR180" s="234"/>
      <c r="AS180" s="234"/>
      <c r="AT180" s="234"/>
      <c r="AU180" s="234"/>
      <c r="AV180" s="234"/>
      <c r="AW180" s="234"/>
      <c r="AX180" s="234"/>
      <c r="AY180" s="234"/>
    </row>
    <row r="181" spans="1:51" ht="24" customHeight="1" x14ac:dyDescent="0.25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4"/>
      <c r="AK181" s="234"/>
      <c r="AL181" s="234"/>
      <c r="AM181" s="234"/>
      <c r="AN181" s="234"/>
      <c r="AO181" s="234"/>
      <c r="AP181" s="234"/>
      <c r="AQ181" s="234"/>
      <c r="AR181" s="234"/>
      <c r="AS181" s="234"/>
      <c r="AT181" s="234"/>
      <c r="AU181" s="234"/>
      <c r="AV181" s="234"/>
      <c r="AW181" s="234"/>
      <c r="AX181" s="234"/>
      <c r="AY181" s="234"/>
    </row>
    <row r="182" spans="1:51" ht="24" customHeight="1" x14ac:dyDescent="0.25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  <c r="AB182" s="234"/>
      <c r="AC182" s="234"/>
      <c r="AD182" s="234"/>
      <c r="AE182" s="234"/>
      <c r="AF182" s="234"/>
      <c r="AG182" s="234"/>
      <c r="AH182" s="234"/>
      <c r="AI182" s="234"/>
      <c r="AJ182" s="234"/>
      <c r="AK182" s="234"/>
      <c r="AL182" s="234"/>
      <c r="AM182" s="234"/>
      <c r="AN182" s="234"/>
      <c r="AO182" s="234"/>
      <c r="AP182" s="234"/>
      <c r="AQ182" s="234"/>
      <c r="AR182" s="234"/>
      <c r="AS182" s="234"/>
      <c r="AT182" s="234"/>
      <c r="AU182" s="234"/>
      <c r="AV182" s="234"/>
      <c r="AW182" s="234"/>
      <c r="AX182" s="234"/>
      <c r="AY182" s="234"/>
    </row>
    <row r="183" spans="1:51" ht="24" customHeight="1" x14ac:dyDescent="0.25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  <c r="AB183" s="234"/>
      <c r="AC183" s="234"/>
      <c r="AD183" s="234"/>
      <c r="AE183" s="234"/>
      <c r="AF183" s="234"/>
      <c r="AG183" s="234"/>
      <c r="AH183" s="234"/>
      <c r="AI183" s="234"/>
      <c r="AJ183" s="234"/>
      <c r="AK183" s="234"/>
      <c r="AL183" s="234"/>
      <c r="AM183" s="234"/>
      <c r="AN183" s="234"/>
      <c r="AO183" s="234"/>
      <c r="AP183" s="234"/>
      <c r="AQ183" s="234"/>
      <c r="AR183" s="234"/>
      <c r="AS183" s="234"/>
      <c r="AT183" s="234"/>
      <c r="AU183" s="234"/>
      <c r="AV183" s="234"/>
      <c r="AW183" s="234"/>
      <c r="AX183" s="234"/>
      <c r="AY183" s="234"/>
    </row>
    <row r="184" spans="1:51" ht="24" customHeight="1" x14ac:dyDescent="0.25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34"/>
      <c r="AG184" s="234"/>
      <c r="AH184" s="234"/>
      <c r="AI184" s="234"/>
      <c r="AJ184" s="234"/>
      <c r="AK184" s="234"/>
      <c r="AL184" s="234"/>
      <c r="AM184" s="234"/>
      <c r="AN184" s="234"/>
      <c r="AO184" s="234"/>
      <c r="AP184" s="234"/>
      <c r="AQ184" s="234"/>
      <c r="AR184" s="234"/>
      <c r="AS184" s="234"/>
      <c r="AT184" s="234"/>
      <c r="AU184" s="234"/>
      <c r="AV184" s="234"/>
      <c r="AW184" s="234"/>
      <c r="AX184" s="234"/>
      <c r="AY184" s="234"/>
    </row>
    <row r="185" spans="1:51" ht="24" customHeight="1" x14ac:dyDescent="0.25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  <c r="AB185" s="234"/>
      <c r="AC185" s="234"/>
      <c r="AD185" s="234"/>
      <c r="AE185" s="234"/>
      <c r="AF185" s="234"/>
      <c r="AG185" s="234"/>
      <c r="AH185" s="234"/>
      <c r="AI185" s="234"/>
      <c r="AJ185" s="234"/>
      <c r="AK185" s="234"/>
      <c r="AL185" s="234"/>
      <c r="AM185" s="234"/>
      <c r="AN185" s="234"/>
      <c r="AO185" s="234"/>
      <c r="AP185" s="234"/>
      <c r="AQ185" s="234"/>
      <c r="AR185" s="234"/>
      <c r="AS185" s="234"/>
      <c r="AT185" s="234"/>
      <c r="AU185" s="234"/>
      <c r="AV185" s="234"/>
      <c r="AW185" s="234"/>
      <c r="AX185" s="234"/>
      <c r="AY185" s="234"/>
    </row>
    <row r="186" spans="1:51" ht="24" customHeight="1" x14ac:dyDescent="0.25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  <c r="AB186" s="234"/>
      <c r="AC186" s="234"/>
      <c r="AD186" s="234"/>
      <c r="AE186" s="234"/>
      <c r="AF186" s="234"/>
      <c r="AG186" s="234"/>
      <c r="AH186" s="234"/>
      <c r="AI186" s="234"/>
      <c r="AJ186" s="234"/>
      <c r="AK186" s="234"/>
      <c r="AL186" s="234"/>
      <c r="AM186" s="234"/>
      <c r="AN186" s="234"/>
      <c r="AO186" s="234"/>
      <c r="AP186" s="234"/>
      <c r="AQ186" s="234"/>
      <c r="AR186" s="234"/>
      <c r="AS186" s="234"/>
      <c r="AT186" s="234"/>
      <c r="AU186" s="234"/>
      <c r="AV186" s="234"/>
      <c r="AW186" s="234"/>
      <c r="AX186" s="234"/>
      <c r="AY186" s="234"/>
    </row>
    <row r="187" spans="1:51" ht="24" customHeight="1" x14ac:dyDescent="0.25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  <c r="AB187" s="234"/>
      <c r="AC187" s="234"/>
      <c r="AD187" s="234"/>
      <c r="AE187" s="234"/>
      <c r="AF187" s="234"/>
      <c r="AG187" s="234"/>
      <c r="AH187" s="234"/>
      <c r="AI187" s="234"/>
      <c r="AJ187" s="234"/>
      <c r="AK187" s="234"/>
      <c r="AL187" s="234"/>
      <c r="AM187" s="234"/>
      <c r="AN187" s="234"/>
      <c r="AO187" s="234"/>
      <c r="AP187" s="234"/>
      <c r="AQ187" s="234"/>
      <c r="AR187" s="234"/>
      <c r="AS187" s="234"/>
      <c r="AT187" s="234"/>
      <c r="AU187" s="234"/>
      <c r="AV187" s="234"/>
      <c r="AW187" s="234"/>
      <c r="AX187" s="234"/>
      <c r="AY187" s="234"/>
    </row>
    <row r="188" spans="1:51" ht="24" customHeight="1" x14ac:dyDescent="0.25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  <c r="AB188" s="234"/>
      <c r="AC188" s="234"/>
      <c r="AD188" s="234"/>
      <c r="AE188" s="234"/>
      <c r="AF188" s="234"/>
      <c r="AG188" s="234"/>
      <c r="AH188" s="234"/>
      <c r="AI188" s="234"/>
      <c r="AJ188" s="234"/>
      <c r="AK188" s="234"/>
      <c r="AL188" s="234"/>
      <c r="AM188" s="234"/>
      <c r="AN188" s="234"/>
      <c r="AO188" s="234"/>
      <c r="AP188" s="234"/>
      <c r="AQ188" s="234"/>
      <c r="AR188" s="234"/>
      <c r="AS188" s="234"/>
      <c r="AT188" s="234"/>
      <c r="AU188" s="234"/>
      <c r="AV188" s="234"/>
      <c r="AW188" s="234"/>
      <c r="AX188" s="234"/>
      <c r="AY188" s="234"/>
    </row>
    <row r="189" spans="1:51" ht="24" customHeight="1" x14ac:dyDescent="0.25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  <c r="AB189" s="234"/>
      <c r="AC189" s="234"/>
      <c r="AD189" s="234"/>
      <c r="AE189" s="234"/>
      <c r="AF189" s="234"/>
      <c r="AG189" s="234"/>
      <c r="AH189" s="234"/>
      <c r="AI189" s="234"/>
      <c r="AJ189" s="234"/>
      <c r="AK189" s="234"/>
      <c r="AL189" s="234"/>
      <c r="AM189" s="234"/>
      <c r="AN189" s="234"/>
      <c r="AO189" s="234"/>
      <c r="AP189" s="234"/>
      <c r="AQ189" s="234"/>
      <c r="AR189" s="234"/>
      <c r="AS189" s="234"/>
      <c r="AT189" s="234"/>
      <c r="AU189" s="234"/>
      <c r="AV189" s="234"/>
      <c r="AW189" s="234"/>
      <c r="AX189" s="234"/>
      <c r="AY189" s="234"/>
    </row>
    <row r="190" spans="1:51" ht="24" customHeight="1" x14ac:dyDescent="0.25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  <c r="AB190" s="234"/>
      <c r="AC190" s="234"/>
      <c r="AD190" s="234"/>
      <c r="AE190" s="234"/>
      <c r="AF190" s="234"/>
      <c r="AG190" s="234"/>
      <c r="AH190" s="234"/>
      <c r="AI190" s="234"/>
      <c r="AJ190" s="234"/>
      <c r="AK190" s="234"/>
      <c r="AL190" s="234"/>
      <c r="AM190" s="234"/>
      <c r="AN190" s="234"/>
      <c r="AO190" s="234"/>
      <c r="AP190" s="234"/>
      <c r="AQ190" s="234"/>
      <c r="AR190" s="234"/>
      <c r="AS190" s="234"/>
      <c r="AT190" s="234"/>
      <c r="AU190" s="234"/>
      <c r="AV190" s="234"/>
      <c r="AW190" s="234"/>
      <c r="AX190" s="234"/>
      <c r="AY190" s="234"/>
    </row>
    <row r="191" spans="1:51" ht="24" customHeight="1" x14ac:dyDescent="0.25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  <c r="AB191" s="234"/>
      <c r="AC191" s="234"/>
      <c r="AD191" s="234"/>
      <c r="AE191" s="234"/>
      <c r="AF191" s="234"/>
      <c r="AG191" s="234"/>
      <c r="AH191" s="234"/>
      <c r="AI191" s="234"/>
      <c r="AJ191" s="234"/>
      <c r="AK191" s="234"/>
      <c r="AL191" s="234"/>
      <c r="AM191" s="234"/>
      <c r="AN191" s="234"/>
      <c r="AO191" s="234"/>
      <c r="AP191" s="234"/>
      <c r="AQ191" s="234"/>
      <c r="AR191" s="234"/>
      <c r="AS191" s="234"/>
      <c r="AT191" s="234"/>
      <c r="AU191" s="234"/>
      <c r="AV191" s="234"/>
      <c r="AW191" s="234"/>
      <c r="AX191" s="234"/>
      <c r="AY191" s="234"/>
    </row>
    <row r="192" spans="1:51" ht="24" customHeight="1" x14ac:dyDescent="0.25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  <c r="AB192" s="234"/>
      <c r="AC192" s="234"/>
      <c r="AD192" s="234"/>
      <c r="AE192" s="234"/>
      <c r="AF192" s="234"/>
      <c r="AG192" s="234"/>
      <c r="AH192" s="234"/>
      <c r="AI192" s="234"/>
      <c r="AJ192" s="234"/>
      <c r="AK192" s="234"/>
      <c r="AL192" s="234"/>
      <c r="AM192" s="234"/>
      <c r="AN192" s="234"/>
      <c r="AO192" s="234"/>
      <c r="AP192" s="234"/>
      <c r="AQ192" s="234"/>
      <c r="AR192" s="234"/>
      <c r="AS192" s="234"/>
      <c r="AT192" s="234"/>
      <c r="AU192" s="234"/>
      <c r="AV192" s="234"/>
      <c r="AW192" s="234"/>
      <c r="AX192" s="234"/>
      <c r="AY192" s="234"/>
    </row>
    <row r="193" spans="1:51" ht="24" customHeight="1" x14ac:dyDescent="0.25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  <c r="AB193" s="234"/>
      <c r="AC193" s="234"/>
      <c r="AD193" s="234"/>
      <c r="AE193" s="234"/>
      <c r="AF193" s="234"/>
      <c r="AG193" s="234"/>
      <c r="AH193" s="234"/>
      <c r="AI193" s="234"/>
      <c r="AJ193" s="234"/>
      <c r="AK193" s="234"/>
      <c r="AL193" s="234"/>
      <c r="AM193" s="234"/>
      <c r="AN193" s="234"/>
      <c r="AO193" s="234"/>
      <c r="AP193" s="234"/>
      <c r="AQ193" s="234"/>
      <c r="AR193" s="234"/>
      <c r="AS193" s="234"/>
      <c r="AT193" s="234"/>
      <c r="AU193" s="234"/>
      <c r="AV193" s="234"/>
      <c r="AW193" s="234"/>
      <c r="AX193" s="234"/>
      <c r="AY193" s="234"/>
    </row>
    <row r="194" spans="1:51" ht="24" customHeight="1" x14ac:dyDescent="0.25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234"/>
      <c r="AS194" s="234"/>
      <c r="AT194" s="234"/>
      <c r="AU194" s="234"/>
      <c r="AV194" s="234"/>
      <c r="AW194" s="234"/>
      <c r="AX194" s="234"/>
      <c r="AY194" s="234"/>
    </row>
    <row r="195" spans="1:51" ht="24" customHeight="1" x14ac:dyDescent="0.25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  <c r="AB195" s="234"/>
      <c r="AC195" s="234"/>
      <c r="AD195" s="234"/>
      <c r="AE195" s="234"/>
      <c r="AF195" s="234"/>
      <c r="AG195" s="234"/>
      <c r="AH195" s="234"/>
      <c r="AI195" s="234"/>
      <c r="AJ195" s="234"/>
      <c r="AK195" s="234"/>
      <c r="AL195" s="234"/>
      <c r="AM195" s="234"/>
      <c r="AN195" s="234"/>
      <c r="AO195" s="234"/>
      <c r="AP195" s="234"/>
      <c r="AQ195" s="234"/>
      <c r="AR195" s="234"/>
      <c r="AS195" s="234"/>
      <c r="AT195" s="234"/>
      <c r="AU195" s="234"/>
      <c r="AV195" s="234"/>
      <c r="AW195" s="234"/>
      <c r="AX195" s="234"/>
      <c r="AY195" s="234"/>
    </row>
    <row r="196" spans="1:51" ht="24" customHeight="1" x14ac:dyDescent="0.25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  <c r="AB196" s="234"/>
      <c r="AC196" s="234"/>
      <c r="AD196" s="234"/>
      <c r="AE196" s="234"/>
      <c r="AF196" s="234"/>
      <c r="AG196" s="234"/>
      <c r="AH196" s="234"/>
      <c r="AI196" s="234"/>
      <c r="AJ196" s="234"/>
      <c r="AK196" s="234"/>
      <c r="AL196" s="234"/>
      <c r="AM196" s="234"/>
      <c r="AN196" s="234"/>
      <c r="AO196" s="234"/>
      <c r="AP196" s="234"/>
      <c r="AQ196" s="234"/>
      <c r="AR196" s="234"/>
      <c r="AS196" s="234"/>
      <c r="AT196" s="234"/>
      <c r="AU196" s="234"/>
      <c r="AV196" s="234"/>
      <c r="AW196" s="234"/>
      <c r="AX196" s="234"/>
      <c r="AY196" s="234"/>
    </row>
    <row r="197" spans="1:51" ht="24" customHeight="1" x14ac:dyDescent="0.25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  <c r="AB197" s="234"/>
      <c r="AC197" s="234"/>
      <c r="AD197" s="234"/>
      <c r="AE197" s="234"/>
      <c r="AF197" s="234"/>
      <c r="AG197" s="234"/>
      <c r="AH197" s="234"/>
      <c r="AI197" s="234"/>
      <c r="AJ197" s="234"/>
      <c r="AK197" s="234"/>
      <c r="AL197" s="234"/>
      <c r="AM197" s="234"/>
      <c r="AN197" s="234"/>
      <c r="AO197" s="234"/>
      <c r="AP197" s="234"/>
      <c r="AQ197" s="234"/>
      <c r="AR197" s="234"/>
      <c r="AS197" s="234"/>
      <c r="AT197" s="234"/>
      <c r="AU197" s="234"/>
      <c r="AV197" s="234"/>
      <c r="AW197" s="234"/>
      <c r="AX197" s="234"/>
      <c r="AY197" s="234"/>
    </row>
    <row r="198" spans="1:51" ht="24" customHeight="1" x14ac:dyDescent="0.25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  <c r="AB198" s="234"/>
      <c r="AC198" s="234"/>
      <c r="AD198" s="234"/>
      <c r="AE198" s="234"/>
      <c r="AF198" s="234"/>
      <c r="AG198" s="234"/>
      <c r="AH198" s="234"/>
      <c r="AI198" s="234"/>
      <c r="AJ198" s="234"/>
      <c r="AK198" s="234"/>
      <c r="AL198" s="234"/>
      <c r="AM198" s="234"/>
      <c r="AN198" s="234"/>
      <c r="AO198" s="234"/>
      <c r="AP198" s="234"/>
      <c r="AQ198" s="234"/>
      <c r="AR198" s="234"/>
      <c r="AS198" s="234"/>
      <c r="AT198" s="234"/>
      <c r="AU198" s="234"/>
      <c r="AV198" s="234"/>
      <c r="AW198" s="234"/>
      <c r="AX198" s="234"/>
      <c r="AY198" s="234"/>
    </row>
    <row r="199" spans="1:51" ht="24" customHeight="1" x14ac:dyDescent="0.25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  <c r="AB199" s="234"/>
      <c r="AC199" s="234"/>
      <c r="AD199" s="234"/>
      <c r="AE199" s="234"/>
      <c r="AF199" s="234"/>
      <c r="AG199" s="234"/>
      <c r="AH199" s="234"/>
      <c r="AI199" s="234"/>
      <c r="AJ199" s="234"/>
      <c r="AK199" s="234"/>
      <c r="AL199" s="234"/>
      <c r="AM199" s="234"/>
      <c r="AN199" s="234"/>
      <c r="AO199" s="234"/>
      <c r="AP199" s="234"/>
      <c r="AQ199" s="234"/>
      <c r="AR199" s="234"/>
      <c r="AS199" s="234"/>
      <c r="AT199" s="234"/>
      <c r="AU199" s="234"/>
      <c r="AV199" s="234"/>
      <c r="AW199" s="234"/>
      <c r="AX199" s="234"/>
      <c r="AY199" s="234"/>
    </row>
    <row r="200" spans="1:51" ht="24" customHeight="1" x14ac:dyDescent="0.25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  <c r="AB200" s="234"/>
      <c r="AC200" s="234"/>
      <c r="AD200" s="234"/>
      <c r="AE200" s="234"/>
      <c r="AF200" s="234"/>
      <c r="AG200" s="234"/>
      <c r="AH200" s="234"/>
      <c r="AI200" s="234"/>
      <c r="AJ200" s="234"/>
      <c r="AK200" s="234"/>
      <c r="AL200" s="234"/>
      <c r="AM200" s="234"/>
      <c r="AN200" s="234"/>
      <c r="AO200" s="234"/>
      <c r="AP200" s="234"/>
      <c r="AQ200" s="234"/>
      <c r="AR200" s="234"/>
      <c r="AS200" s="234"/>
      <c r="AT200" s="234"/>
      <c r="AU200" s="234"/>
      <c r="AV200" s="234"/>
      <c r="AW200" s="234"/>
      <c r="AX200" s="234"/>
      <c r="AY200" s="234"/>
    </row>
    <row r="201" spans="1:51" ht="24" customHeight="1" x14ac:dyDescent="0.25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4"/>
      <c r="AK201" s="234"/>
      <c r="AL201" s="234"/>
      <c r="AM201" s="234"/>
      <c r="AN201" s="234"/>
      <c r="AO201" s="234"/>
      <c r="AP201" s="234"/>
      <c r="AQ201" s="234"/>
      <c r="AR201" s="234"/>
      <c r="AS201" s="234"/>
      <c r="AT201" s="234"/>
      <c r="AU201" s="234"/>
      <c r="AV201" s="234"/>
      <c r="AW201" s="234"/>
      <c r="AX201" s="234"/>
      <c r="AY201" s="234"/>
    </row>
    <row r="202" spans="1:51" ht="24" customHeight="1" x14ac:dyDescent="0.25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  <c r="AB202" s="234"/>
      <c r="AC202" s="234"/>
      <c r="AD202" s="234"/>
      <c r="AE202" s="234"/>
      <c r="AF202" s="234"/>
      <c r="AG202" s="234"/>
      <c r="AH202" s="234"/>
      <c r="AI202" s="234"/>
      <c r="AJ202" s="234"/>
      <c r="AK202" s="234"/>
      <c r="AL202" s="234"/>
      <c r="AM202" s="234"/>
      <c r="AN202" s="234"/>
      <c r="AO202" s="234"/>
      <c r="AP202" s="234"/>
      <c r="AQ202" s="234"/>
      <c r="AR202" s="234"/>
      <c r="AS202" s="234"/>
      <c r="AT202" s="234"/>
      <c r="AU202" s="234"/>
      <c r="AV202" s="234"/>
      <c r="AW202" s="234"/>
      <c r="AX202" s="234"/>
      <c r="AY202" s="234"/>
    </row>
    <row r="203" spans="1:51" ht="24" customHeight="1" x14ac:dyDescent="0.25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  <c r="AB203" s="234"/>
      <c r="AC203" s="234"/>
      <c r="AD203" s="234"/>
      <c r="AE203" s="234"/>
      <c r="AF203" s="234"/>
      <c r="AG203" s="234"/>
      <c r="AH203" s="234"/>
      <c r="AI203" s="234"/>
      <c r="AJ203" s="234"/>
      <c r="AK203" s="234"/>
      <c r="AL203" s="234"/>
      <c r="AM203" s="234"/>
      <c r="AN203" s="234"/>
      <c r="AO203" s="234"/>
      <c r="AP203" s="234"/>
      <c r="AQ203" s="234"/>
      <c r="AR203" s="234"/>
      <c r="AS203" s="234"/>
      <c r="AT203" s="234"/>
      <c r="AU203" s="234"/>
      <c r="AV203" s="234"/>
      <c r="AW203" s="234"/>
      <c r="AX203" s="234"/>
      <c r="AY203" s="234"/>
    </row>
    <row r="204" spans="1:51" ht="24" customHeight="1" x14ac:dyDescent="0.25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  <c r="AB204" s="234"/>
      <c r="AC204" s="234"/>
      <c r="AD204" s="234"/>
      <c r="AE204" s="234"/>
      <c r="AF204" s="234"/>
      <c r="AG204" s="234"/>
      <c r="AH204" s="234"/>
      <c r="AI204" s="234"/>
      <c r="AJ204" s="234"/>
      <c r="AK204" s="234"/>
      <c r="AL204" s="234"/>
      <c r="AM204" s="234"/>
      <c r="AN204" s="234"/>
      <c r="AO204" s="234"/>
      <c r="AP204" s="234"/>
      <c r="AQ204" s="234"/>
      <c r="AR204" s="234"/>
      <c r="AS204" s="234"/>
      <c r="AT204" s="234"/>
      <c r="AU204" s="234"/>
      <c r="AV204" s="234"/>
      <c r="AW204" s="234"/>
      <c r="AX204" s="234"/>
      <c r="AY204" s="234"/>
    </row>
    <row r="205" spans="1:51" ht="24" customHeight="1" x14ac:dyDescent="0.25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  <c r="AB205" s="234"/>
      <c r="AC205" s="234"/>
      <c r="AD205" s="234"/>
      <c r="AE205" s="234"/>
      <c r="AF205" s="234"/>
      <c r="AG205" s="234"/>
      <c r="AH205" s="234"/>
      <c r="AI205" s="234"/>
      <c r="AJ205" s="234"/>
      <c r="AK205" s="234"/>
      <c r="AL205" s="234"/>
      <c r="AM205" s="234"/>
      <c r="AN205" s="234"/>
      <c r="AO205" s="234"/>
      <c r="AP205" s="234"/>
      <c r="AQ205" s="234"/>
      <c r="AR205" s="234"/>
      <c r="AS205" s="234"/>
      <c r="AT205" s="234"/>
      <c r="AU205" s="234"/>
      <c r="AV205" s="234"/>
      <c r="AW205" s="234"/>
      <c r="AX205" s="234"/>
      <c r="AY205" s="234"/>
    </row>
    <row r="206" spans="1:51" ht="24" customHeight="1" x14ac:dyDescent="0.25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  <c r="AB206" s="234"/>
      <c r="AC206" s="234"/>
      <c r="AD206" s="234"/>
      <c r="AE206" s="234"/>
      <c r="AF206" s="234"/>
      <c r="AG206" s="234"/>
      <c r="AH206" s="234"/>
      <c r="AI206" s="234"/>
      <c r="AJ206" s="234"/>
      <c r="AK206" s="234"/>
      <c r="AL206" s="234"/>
      <c r="AM206" s="234"/>
      <c r="AN206" s="234"/>
      <c r="AO206" s="234"/>
      <c r="AP206" s="234"/>
      <c r="AQ206" s="234"/>
      <c r="AR206" s="234"/>
      <c r="AS206" s="234"/>
      <c r="AT206" s="234"/>
      <c r="AU206" s="234"/>
      <c r="AV206" s="234"/>
      <c r="AW206" s="234"/>
      <c r="AX206" s="234"/>
      <c r="AY206" s="234"/>
    </row>
    <row r="207" spans="1:51" ht="24" customHeight="1" x14ac:dyDescent="0.25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  <c r="AB207" s="234"/>
      <c r="AC207" s="234"/>
      <c r="AD207" s="234"/>
      <c r="AE207" s="234"/>
      <c r="AF207" s="234"/>
      <c r="AG207" s="234"/>
      <c r="AH207" s="234"/>
      <c r="AI207" s="234"/>
      <c r="AJ207" s="234"/>
      <c r="AK207" s="234"/>
      <c r="AL207" s="234"/>
      <c r="AM207" s="234"/>
      <c r="AN207" s="234"/>
      <c r="AO207" s="234"/>
      <c r="AP207" s="234"/>
      <c r="AQ207" s="234"/>
      <c r="AR207" s="234"/>
      <c r="AS207" s="234"/>
      <c r="AT207" s="234"/>
      <c r="AU207" s="234"/>
      <c r="AV207" s="234"/>
      <c r="AW207" s="234"/>
      <c r="AX207" s="234"/>
      <c r="AY207" s="234"/>
    </row>
    <row r="208" spans="1:51" ht="24" customHeight="1" x14ac:dyDescent="0.25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  <c r="AB208" s="234"/>
      <c r="AC208" s="234"/>
      <c r="AD208" s="234"/>
      <c r="AE208" s="234"/>
      <c r="AF208" s="234"/>
      <c r="AG208" s="234"/>
      <c r="AH208" s="234"/>
      <c r="AI208" s="234"/>
      <c r="AJ208" s="234"/>
      <c r="AK208" s="234"/>
      <c r="AL208" s="234"/>
      <c r="AM208" s="234"/>
      <c r="AN208" s="234"/>
      <c r="AO208" s="234"/>
      <c r="AP208" s="234"/>
      <c r="AQ208" s="234"/>
      <c r="AR208" s="234"/>
      <c r="AS208" s="234"/>
      <c r="AT208" s="234"/>
      <c r="AU208" s="234"/>
      <c r="AV208" s="234"/>
      <c r="AW208" s="234"/>
      <c r="AX208" s="234"/>
      <c r="AY208" s="234"/>
    </row>
    <row r="209" spans="1:51" ht="24" customHeight="1" x14ac:dyDescent="0.25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  <c r="AB209" s="234"/>
      <c r="AC209" s="234"/>
      <c r="AD209" s="234"/>
      <c r="AE209" s="234"/>
      <c r="AF209" s="234"/>
      <c r="AG209" s="234"/>
      <c r="AH209" s="234"/>
      <c r="AI209" s="234"/>
      <c r="AJ209" s="234"/>
      <c r="AK209" s="234"/>
      <c r="AL209" s="234"/>
      <c r="AM209" s="234"/>
      <c r="AN209" s="234"/>
      <c r="AO209" s="234"/>
      <c r="AP209" s="234"/>
      <c r="AQ209" s="234"/>
      <c r="AR209" s="234"/>
      <c r="AS209" s="234"/>
      <c r="AT209" s="234"/>
      <c r="AU209" s="234"/>
      <c r="AV209" s="234"/>
      <c r="AW209" s="234"/>
      <c r="AX209" s="234"/>
      <c r="AY209" s="234"/>
    </row>
    <row r="210" spans="1:51" ht="24" customHeight="1" x14ac:dyDescent="0.25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  <c r="AB210" s="234"/>
      <c r="AC210" s="234"/>
      <c r="AD210" s="234"/>
      <c r="AE210" s="234"/>
      <c r="AF210" s="234"/>
      <c r="AG210" s="234"/>
      <c r="AH210" s="234"/>
      <c r="AI210" s="234"/>
      <c r="AJ210" s="234"/>
      <c r="AK210" s="234"/>
      <c r="AL210" s="234"/>
      <c r="AM210" s="234"/>
      <c r="AN210" s="234"/>
      <c r="AO210" s="234"/>
      <c r="AP210" s="234"/>
      <c r="AQ210" s="234"/>
      <c r="AR210" s="234"/>
      <c r="AS210" s="234"/>
      <c r="AT210" s="234"/>
      <c r="AU210" s="234"/>
      <c r="AV210" s="234"/>
      <c r="AW210" s="234"/>
      <c r="AX210" s="234"/>
      <c r="AY210" s="234"/>
    </row>
    <row r="211" spans="1:51" ht="24" customHeight="1" x14ac:dyDescent="0.25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  <c r="AB211" s="234"/>
      <c r="AC211" s="234"/>
      <c r="AD211" s="234"/>
      <c r="AE211" s="234"/>
      <c r="AF211" s="234"/>
      <c r="AG211" s="234"/>
      <c r="AH211" s="234"/>
      <c r="AI211" s="234"/>
      <c r="AJ211" s="234"/>
      <c r="AK211" s="234"/>
      <c r="AL211" s="234"/>
      <c r="AM211" s="234"/>
      <c r="AN211" s="234"/>
      <c r="AO211" s="234"/>
      <c r="AP211" s="234"/>
      <c r="AQ211" s="234"/>
      <c r="AR211" s="234"/>
      <c r="AS211" s="234"/>
      <c r="AT211" s="234"/>
      <c r="AU211" s="234"/>
      <c r="AV211" s="234"/>
      <c r="AW211" s="234"/>
      <c r="AX211" s="234"/>
      <c r="AY211" s="234"/>
    </row>
    <row r="212" spans="1:51" ht="24" customHeight="1" x14ac:dyDescent="0.25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  <c r="AB212" s="234"/>
      <c r="AC212" s="234"/>
      <c r="AD212" s="234"/>
      <c r="AE212" s="234"/>
      <c r="AF212" s="234"/>
      <c r="AG212" s="234"/>
      <c r="AH212" s="234"/>
      <c r="AI212" s="234"/>
      <c r="AJ212" s="234"/>
      <c r="AK212" s="234"/>
      <c r="AL212" s="234"/>
      <c r="AM212" s="234"/>
      <c r="AN212" s="234"/>
      <c r="AO212" s="234"/>
      <c r="AP212" s="234"/>
      <c r="AQ212" s="234"/>
      <c r="AR212" s="234"/>
      <c r="AS212" s="234"/>
      <c r="AT212" s="234"/>
      <c r="AU212" s="234"/>
      <c r="AV212" s="234"/>
      <c r="AW212" s="234"/>
      <c r="AX212" s="234"/>
      <c r="AY212" s="234"/>
    </row>
    <row r="213" spans="1:51" ht="24" customHeight="1" x14ac:dyDescent="0.25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  <c r="AB213" s="234"/>
      <c r="AC213" s="234"/>
      <c r="AD213" s="234"/>
      <c r="AE213" s="234"/>
      <c r="AF213" s="234"/>
      <c r="AG213" s="234"/>
      <c r="AH213" s="234"/>
      <c r="AI213" s="234"/>
      <c r="AJ213" s="234"/>
      <c r="AK213" s="234"/>
      <c r="AL213" s="234"/>
      <c r="AM213" s="234"/>
      <c r="AN213" s="234"/>
      <c r="AO213" s="234"/>
      <c r="AP213" s="234"/>
      <c r="AQ213" s="234"/>
      <c r="AR213" s="234"/>
      <c r="AS213" s="234"/>
      <c r="AT213" s="234"/>
      <c r="AU213" s="234"/>
      <c r="AV213" s="234"/>
      <c r="AW213" s="234"/>
      <c r="AX213" s="234"/>
      <c r="AY213" s="234"/>
    </row>
    <row r="214" spans="1:51" ht="24" customHeight="1" x14ac:dyDescent="0.25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  <c r="AB214" s="234"/>
      <c r="AC214" s="234"/>
      <c r="AD214" s="234"/>
      <c r="AE214" s="234"/>
      <c r="AF214" s="234"/>
      <c r="AG214" s="234"/>
      <c r="AH214" s="234"/>
      <c r="AI214" s="234"/>
      <c r="AJ214" s="234"/>
      <c r="AK214" s="234"/>
      <c r="AL214" s="234"/>
      <c r="AM214" s="234"/>
      <c r="AN214" s="234"/>
      <c r="AO214" s="234"/>
      <c r="AP214" s="234"/>
      <c r="AQ214" s="234"/>
      <c r="AR214" s="234"/>
      <c r="AS214" s="234"/>
      <c r="AT214" s="234"/>
      <c r="AU214" s="234"/>
      <c r="AV214" s="234"/>
      <c r="AW214" s="234"/>
      <c r="AX214" s="234"/>
      <c r="AY214" s="234"/>
    </row>
    <row r="215" spans="1:51" ht="24" customHeight="1" x14ac:dyDescent="0.25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  <c r="AB215" s="234"/>
      <c r="AC215" s="234"/>
      <c r="AD215" s="234"/>
      <c r="AE215" s="234"/>
      <c r="AF215" s="234"/>
      <c r="AG215" s="234"/>
      <c r="AH215" s="234"/>
      <c r="AI215" s="234"/>
      <c r="AJ215" s="234"/>
      <c r="AK215" s="234"/>
      <c r="AL215" s="234"/>
      <c r="AM215" s="234"/>
      <c r="AN215" s="234"/>
      <c r="AO215" s="234"/>
      <c r="AP215" s="234"/>
      <c r="AQ215" s="234"/>
      <c r="AR215" s="234"/>
      <c r="AS215" s="234"/>
      <c r="AT215" s="234"/>
      <c r="AU215" s="234"/>
      <c r="AV215" s="234"/>
      <c r="AW215" s="234"/>
      <c r="AX215" s="234"/>
      <c r="AY215" s="234"/>
    </row>
    <row r="216" spans="1:51" ht="24" customHeight="1" x14ac:dyDescent="0.25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  <c r="AB216" s="234"/>
      <c r="AC216" s="234"/>
      <c r="AD216" s="234"/>
      <c r="AE216" s="234"/>
      <c r="AF216" s="234"/>
      <c r="AG216" s="234"/>
      <c r="AH216" s="234"/>
      <c r="AI216" s="234"/>
      <c r="AJ216" s="234"/>
      <c r="AK216" s="234"/>
      <c r="AL216" s="234"/>
      <c r="AM216" s="234"/>
      <c r="AN216" s="234"/>
      <c r="AO216" s="234"/>
      <c r="AP216" s="234"/>
      <c r="AQ216" s="234"/>
      <c r="AR216" s="234"/>
      <c r="AS216" s="234"/>
      <c r="AT216" s="234"/>
      <c r="AU216" s="234"/>
      <c r="AV216" s="234"/>
      <c r="AW216" s="234"/>
      <c r="AX216" s="234"/>
      <c r="AY216" s="234"/>
    </row>
    <row r="217" spans="1:51" ht="24" customHeight="1" x14ac:dyDescent="0.25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  <c r="AB217" s="234"/>
      <c r="AC217" s="234"/>
      <c r="AD217" s="234"/>
      <c r="AE217" s="234"/>
      <c r="AF217" s="234"/>
      <c r="AG217" s="234"/>
      <c r="AH217" s="234"/>
      <c r="AI217" s="234"/>
      <c r="AJ217" s="234"/>
      <c r="AK217" s="234"/>
      <c r="AL217" s="234"/>
      <c r="AM217" s="234"/>
      <c r="AN217" s="234"/>
      <c r="AO217" s="234"/>
      <c r="AP217" s="234"/>
      <c r="AQ217" s="234"/>
      <c r="AR217" s="234"/>
      <c r="AS217" s="234"/>
      <c r="AT217" s="234"/>
      <c r="AU217" s="234"/>
      <c r="AV217" s="234"/>
      <c r="AW217" s="234"/>
      <c r="AX217" s="234"/>
      <c r="AY217" s="234"/>
    </row>
    <row r="218" spans="1:51" ht="24" customHeight="1" x14ac:dyDescent="0.25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  <c r="AB218" s="234"/>
      <c r="AC218" s="234"/>
      <c r="AD218" s="234"/>
      <c r="AE218" s="234"/>
      <c r="AF218" s="234"/>
      <c r="AG218" s="234"/>
      <c r="AH218" s="234"/>
      <c r="AI218" s="234"/>
      <c r="AJ218" s="234"/>
      <c r="AK218" s="234"/>
      <c r="AL218" s="234"/>
      <c r="AM218" s="234"/>
      <c r="AN218" s="234"/>
      <c r="AO218" s="234"/>
      <c r="AP218" s="234"/>
      <c r="AQ218" s="234"/>
      <c r="AR218" s="234"/>
      <c r="AS218" s="234"/>
      <c r="AT218" s="234"/>
      <c r="AU218" s="234"/>
      <c r="AV218" s="234"/>
      <c r="AW218" s="234"/>
      <c r="AX218" s="234"/>
      <c r="AY218" s="234"/>
    </row>
    <row r="219" spans="1:51" ht="24" customHeight="1" x14ac:dyDescent="0.25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  <c r="AB219" s="234"/>
      <c r="AC219" s="234"/>
      <c r="AD219" s="234"/>
      <c r="AE219" s="234"/>
      <c r="AF219" s="234"/>
      <c r="AG219" s="234"/>
      <c r="AH219" s="234"/>
      <c r="AI219" s="234"/>
      <c r="AJ219" s="234"/>
      <c r="AK219" s="234"/>
      <c r="AL219" s="234"/>
      <c r="AM219" s="234"/>
      <c r="AN219" s="234"/>
      <c r="AO219" s="234"/>
      <c r="AP219" s="234"/>
      <c r="AQ219" s="234"/>
      <c r="AR219" s="234"/>
      <c r="AS219" s="234"/>
      <c r="AT219" s="234"/>
      <c r="AU219" s="234"/>
      <c r="AV219" s="234"/>
      <c r="AW219" s="234"/>
      <c r="AX219" s="234"/>
      <c r="AY219" s="234"/>
    </row>
    <row r="220" spans="1:51" ht="24" customHeight="1" x14ac:dyDescent="0.25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  <c r="AB220" s="234"/>
      <c r="AC220" s="234"/>
      <c r="AD220" s="234"/>
      <c r="AE220" s="234"/>
      <c r="AF220" s="234"/>
      <c r="AG220" s="234"/>
      <c r="AH220" s="234"/>
      <c r="AI220" s="234"/>
      <c r="AJ220" s="234"/>
      <c r="AK220" s="234"/>
      <c r="AL220" s="234"/>
      <c r="AM220" s="234"/>
      <c r="AN220" s="234"/>
      <c r="AO220" s="234"/>
      <c r="AP220" s="234"/>
      <c r="AQ220" s="234"/>
      <c r="AR220" s="234"/>
      <c r="AS220" s="234"/>
      <c r="AT220" s="234"/>
      <c r="AU220" s="234"/>
      <c r="AV220" s="234"/>
      <c r="AW220" s="234"/>
      <c r="AX220" s="234"/>
      <c r="AY220" s="234"/>
    </row>
    <row r="221" spans="1:51" ht="24" customHeight="1" x14ac:dyDescent="0.25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4"/>
      <c r="AK221" s="234"/>
      <c r="AL221" s="234"/>
      <c r="AM221" s="234"/>
      <c r="AN221" s="234"/>
      <c r="AO221" s="234"/>
      <c r="AP221" s="234"/>
      <c r="AQ221" s="234"/>
      <c r="AR221" s="234"/>
      <c r="AS221" s="234"/>
      <c r="AT221" s="234"/>
      <c r="AU221" s="234"/>
      <c r="AV221" s="234"/>
      <c r="AW221" s="234"/>
      <c r="AX221" s="234"/>
      <c r="AY221" s="234"/>
    </row>
    <row r="222" spans="1:51" ht="24" customHeight="1" x14ac:dyDescent="0.25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  <c r="AB222" s="234"/>
      <c r="AC222" s="234"/>
      <c r="AD222" s="234"/>
      <c r="AE222" s="234"/>
      <c r="AF222" s="234"/>
      <c r="AG222" s="234"/>
      <c r="AH222" s="234"/>
      <c r="AI222" s="234"/>
      <c r="AJ222" s="234"/>
      <c r="AK222" s="234"/>
      <c r="AL222" s="234"/>
      <c r="AM222" s="234"/>
      <c r="AN222" s="234"/>
      <c r="AO222" s="234"/>
      <c r="AP222" s="234"/>
      <c r="AQ222" s="234"/>
      <c r="AR222" s="234"/>
      <c r="AS222" s="234"/>
      <c r="AT222" s="234"/>
      <c r="AU222" s="234"/>
      <c r="AV222" s="234"/>
      <c r="AW222" s="234"/>
      <c r="AX222" s="234"/>
      <c r="AY222" s="234"/>
    </row>
    <row r="223" spans="1:51" ht="24" customHeight="1" x14ac:dyDescent="0.25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  <c r="AB223" s="234"/>
      <c r="AC223" s="234"/>
      <c r="AD223" s="234"/>
      <c r="AE223" s="234"/>
      <c r="AF223" s="234"/>
      <c r="AG223" s="234"/>
      <c r="AH223" s="234"/>
      <c r="AI223" s="234"/>
      <c r="AJ223" s="234"/>
      <c r="AK223" s="234"/>
      <c r="AL223" s="234"/>
      <c r="AM223" s="234"/>
      <c r="AN223" s="234"/>
      <c r="AO223" s="234"/>
      <c r="AP223" s="234"/>
      <c r="AQ223" s="234"/>
      <c r="AR223" s="234"/>
      <c r="AS223" s="234"/>
      <c r="AT223" s="234"/>
      <c r="AU223" s="234"/>
      <c r="AV223" s="234"/>
      <c r="AW223" s="234"/>
      <c r="AX223" s="234"/>
      <c r="AY223" s="234"/>
    </row>
    <row r="224" spans="1:51" ht="24" customHeight="1" x14ac:dyDescent="0.25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  <c r="AB224" s="234"/>
      <c r="AC224" s="234"/>
      <c r="AD224" s="234"/>
      <c r="AE224" s="234"/>
      <c r="AF224" s="234"/>
      <c r="AG224" s="234"/>
      <c r="AH224" s="234"/>
      <c r="AI224" s="234"/>
      <c r="AJ224" s="234"/>
      <c r="AK224" s="234"/>
      <c r="AL224" s="234"/>
      <c r="AM224" s="234"/>
      <c r="AN224" s="234"/>
      <c r="AO224" s="234"/>
      <c r="AP224" s="234"/>
      <c r="AQ224" s="234"/>
      <c r="AR224" s="234"/>
      <c r="AS224" s="234"/>
      <c r="AT224" s="234"/>
      <c r="AU224" s="234"/>
      <c r="AV224" s="234"/>
      <c r="AW224" s="234"/>
      <c r="AX224" s="234"/>
      <c r="AY224" s="234"/>
    </row>
    <row r="225" spans="1:51" ht="24" customHeight="1" x14ac:dyDescent="0.25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  <c r="AB225" s="234"/>
      <c r="AC225" s="234"/>
      <c r="AD225" s="234"/>
      <c r="AE225" s="234"/>
      <c r="AF225" s="234"/>
      <c r="AG225" s="234"/>
      <c r="AH225" s="234"/>
      <c r="AI225" s="234"/>
      <c r="AJ225" s="234"/>
      <c r="AK225" s="234"/>
      <c r="AL225" s="234"/>
      <c r="AM225" s="234"/>
      <c r="AN225" s="234"/>
      <c r="AO225" s="234"/>
      <c r="AP225" s="234"/>
      <c r="AQ225" s="234"/>
      <c r="AR225" s="234"/>
      <c r="AS225" s="234"/>
      <c r="AT225" s="234"/>
      <c r="AU225" s="234"/>
      <c r="AV225" s="234"/>
      <c r="AW225" s="234"/>
      <c r="AX225" s="234"/>
      <c r="AY225" s="234"/>
    </row>
    <row r="226" spans="1:51" ht="24" customHeight="1" x14ac:dyDescent="0.25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  <c r="AB226" s="234"/>
      <c r="AC226" s="234"/>
      <c r="AD226" s="234"/>
      <c r="AE226" s="234"/>
      <c r="AF226" s="234"/>
      <c r="AG226" s="234"/>
      <c r="AH226" s="234"/>
      <c r="AI226" s="234"/>
      <c r="AJ226" s="234"/>
      <c r="AK226" s="234"/>
      <c r="AL226" s="234"/>
      <c r="AM226" s="234"/>
      <c r="AN226" s="234"/>
      <c r="AO226" s="234"/>
      <c r="AP226" s="234"/>
      <c r="AQ226" s="234"/>
      <c r="AR226" s="234"/>
      <c r="AS226" s="234"/>
      <c r="AT226" s="234"/>
      <c r="AU226" s="234"/>
      <c r="AV226" s="234"/>
      <c r="AW226" s="234"/>
      <c r="AX226" s="234"/>
      <c r="AY226" s="234"/>
    </row>
    <row r="227" spans="1:51" ht="24" customHeight="1" x14ac:dyDescent="0.25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  <c r="AB227" s="234"/>
      <c r="AC227" s="234"/>
      <c r="AD227" s="234"/>
      <c r="AE227" s="234"/>
      <c r="AF227" s="234"/>
      <c r="AG227" s="234"/>
      <c r="AH227" s="234"/>
      <c r="AI227" s="234"/>
      <c r="AJ227" s="234"/>
      <c r="AK227" s="234"/>
      <c r="AL227" s="234"/>
      <c r="AM227" s="234"/>
      <c r="AN227" s="234"/>
      <c r="AO227" s="234"/>
      <c r="AP227" s="234"/>
      <c r="AQ227" s="234"/>
      <c r="AR227" s="234"/>
      <c r="AS227" s="234"/>
      <c r="AT227" s="234"/>
      <c r="AU227" s="234"/>
      <c r="AV227" s="234"/>
      <c r="AW227" s="234"/>
      <c r="AX227" s="234"/>
      <c r="AY227" s="234"/>
    </row>
    <row r="228" spans="1:51" ht="24" customHeight="1" x14ac:dyDescent="0.25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  <c r="AB228" s="234"/>
      <c r="AC228" s="234"/>
      <c r="AD228" s="234"/>
      <c r="AE228" s="234"/>
      <c r="AF228" s="234"/>
      <c r="AG228" s="234"/>
      <c r="AH228" s="234"/>
      <c r="AI228" s="234"/>
      <c r="AJ228" s="234"/>
      <c r="AK228" s="234"/>
      <c r="AL228" s="234"/>
      <c r="AM228" s="234"/>
      <c r="AN228" s="234"/>
      <c r="AO228" s="234"/>
      <c r="AP228" s="234"/>
      <c r="AQ228" s="234"/>
      <c r="AR228" s="234"/>
      <c r="AS228" s="234"/>
      <c r="AT228" s="234"/>
      <c r="AU228" s="234"/>
      <c r="AV228" s="234"/>
      <c r="AW228" s="234"/>
      <c r="AX228" s="234"/>
      <c r="AY228" s="234"/>
    </row>
    <row r="229" spans="1:51" ht="24" customHeight="1" x14ac:dyDescent="0.25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  <c r="AB229" s="234"/>
      <c r="AC229" s="234"/>
      <c r="AD229" s="234"/>
      <c r="AE229" s="234"/>
      <c r="AF229" s="234"/>
      <c r="AG229" s="234"/>
      <c r="AH229" s="234"/>
      <c r="AI229" s="234"/>
      <c r="AJ229" s="234"/>
      <c r="AK229" s="234"/>
      <c r="AL229" s="234"/>
      <c r="AM229" s="234"/>
      <c r="AN229" s="234"/>
      <c r="AO229" s="234"/>
      <c r="AP229" s="234"/>
      <c r="AQ229" s="234"/>
      <c r="AR229" s="234"/>
      <c r="AS229" s="234"/>
      <c r="AT229" s="234"/>
      <c r="AU229" s="234"/>
      <c r="AV229" s="234"/>
      <c r="AW229" s="234"/>
      <c r="AX229" s="234"/>
      <c r="AY229" s="234"/>
    </row>
    <row r="230" spans="1:51" ht="24" customHeight="1" x14ac:dyDescent="0.25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  <c r="AB230" s="234"/>
      <c r="AC230" s="234"/>
      <c r="AD230" s="234"/>
      <c r="AE230" s="234"/>
      <c r="AF230" s="234"/>
      <c r="AG230" s="234"/>
      <c r="AH230" s="234"/>
      <c r="AI230" s="234"/>
      <c r="AJ230" s="234"/>
      <c r="AK230" s="234"/>
      <c r="AL230" s="234"/>
      <c r="AM230" s="234"/>
      <c r="AN230" s="234"/>
      <c r="AO230" s="234"/>
      <c r="AP230" s="234"/>
      <c r="AQ230" s="234"/>
      <c r="AR230" s="234"/>
      <c r="AS230" s="234"/>
      <c r="AT230" s="234"/>
      <c r="AU230" s="234"/>
      <c r="AV230" s="234"/>
      <c r="AW230" s="234"/>
      <c r="AX230" s="234"/>
      <c r="AY230" s="234"/>
    </row>
    <row r="231" spans="1:51" ht="24" customHeight="1" x14ac:dyDescent="0.25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  <c r="AB231" s="234"/>
      <c r="AC231" s="234"/>
      <c r="AD231" s="234"/>
      <c r="AE231" s="234"/>
      <c r="AF231" s="234"/>
      <c r="AG231" s="234"/>
      <c r="AH231" s="234"/>
      <c r="AI231" s="234"/>
      <c r="AJ231" s="234"/>
      <c r="AK231" s="234"/>
      <c r="AL231" s="234"/>
      <c r="AM231" s="234"/>
      <c r="AN231" s="234"/>
      <c r="AO231" s="234"/>
      <c r="AP231" s="234"/>
      <c r="AQ231" s="234"/>
      <c r="AR231" s="234"/>
      <c r="AS231" s="234"/>
      <c r="AT231" s="234"/>
      <c r="AU231" s="234"/>
      <c r="AV231" s="234"/>
      <c r="AW231" s="234"/>
      <c r="AX231" s="234"/>
      <c r="AY231" s="234"/>
    </row>
    <row r="232" spans="1:51" ht="24" customHeight="1" x14ac:dyDescent="0.25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  <c r="AB232" s="234"/>
      <c r="AC232" s="234"/>
      <c r="AD232" s="234"/>
      <c r="AE232" s="234"/>
      <c r="AF232" s="234"/>
      <c r="AG232" s="234"/>
      <c r="AH232" s="234"/>
      <c r="AI232" s="234"/>
      <c r="AJ232" s="234"/>
      <c r="AK232" s="234"/>
      <c r="AL232" s="234"/>
      <c r="AM232" s="234"/>
      <c r="AN232" s="234"/>
      <c r="AO232" s="234"/>
      <c r="AP232" s="234"/>
      <c r="AQ232" s="234"/>
      <c r="AR232" s="234"/>
      <c r="AS232" s="234"/>
      <c r="AT232" s="234"/>
      <c r="AU232" s="234"/>
      <c r="AV232" s="234"/>
      <c r="AW232" s="234"/>
      <c r="AX232" s="234"/>
      <c r="AY232" s="234"/>
    </row>
    <row r="233" spans="1:51" ht="24" customHeight="1" x14ac:dyDescent="0.25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  <c r="AB233" s="234"/>
      <c r="AC233" s="234"/>
      <c r="AD233" s="234"/>
      <c r="AE233" s="234"/>
      <c r="AF233" s="234"/>
      <c r="AG233" s="234"/>
      <c r="AH233" s="234"/>
      <c r="AI233" s="234"/>
      <c r="AJ233" s="234"/>
      <c r="AK233" s="234"/>
      <c r="AL233" s="234"/>
      <c r="AM233" s="234"/>
      <c r="AN233" s="234"/>
      <c r="AO233" s="234"/>
      <c r="AP233" s="234"/>
      <c r="AQ233" s="234"/>
      <c r="AR233" s="234"/>
      <c r="AS233" s="234"/>
      <c r="AT233" s="234"/>
      <c r="AU233" s="234"/>
      <c r="AV233" s="234"/>
      <c r="AW233" s="234"/>
      <c r="AX233" s="234"/>
      <c r="AY233" s="234"/>
    </row>
    <row r="234" spans="1:51" ht="24" customHeight="1" x14ac:dyDescent="0.25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  <c r="AB234" s="234"/>
      <c r="AC234" s="234"/>
      <c r="AD234" s="234"/>
      <c r="AE234" s="234"/>
      <c r="AF234" s="234"/>
      <c r="AG234" s="234"/>
      <c r="AH234" s="234"/>
      <c r="AI234" s="234"/>
      <c r="AJ234" s="234"/>
      <c r="AK234" s="234"/>
      <c r="AL234" s="234"/>
      <c r="AM234" s="234"/>
      <c r="AN234" s="234"/>
      <c r="AO234" s="234"/>
      <c r="AP234" s="234"/>
      <c r="AQ234" s="234"/>
      <c r="AR234" s="234"/>
      <c r="AS234" s="234"/>
      <c r="AT234" s="234"/>
      <c r="AU234" s="234"/>
      <c r="AV234" s="234"/>
      <c r="AW234" s="234"/>
      <c r="AX234" s="234"/>
      <c r="AY234" s="234"/>
    </row>
    <row r="235" spans="1:51" ht="24" customHeight="1" x14ac:dyDescent="0.25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  <c r="AB235" s="234"/>
      <c r="AC235" s="234"/>
      <c r="AD235" s="234"/>
      <c r="AE235" s="234"/>
      <c r="AF235" s="234"/>
      <c r="AG235" s="234"/>
      <c r="AH235" s="234"/>
      <c r="AI235" s="234"/>
      <c r="AJ235" s="234"/>
      <c r="AK235" s="234"/>
      <c r="AL235" s="234"/>
      <c r="AM235" s="234"/>
      <c r="AN235" s="234"/>
      <c r="AO235" s="234"/>
      <c r="AP235" s="234"/>
      <c r="AQ235" s="234"/>
      <c r="AR235" s="234"/>
      <c r="AS235" s="234"/>
      <c r="AT235" s="234"/>
      <c r="AU235" s="234"/>
      <c r="AV235" s="234"/>
      <c r="AW235" s="234"/>
      <c r="AX235" s="234"/>
      <c r="AY235" s="234"/>
    </row>
    <row r="236" spans="1:51" ht="24" customHeight="1" x14ac:dyDescent="0.25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  <c r="AB236" s="234"/>
      <c r="AC236" s="234"/>
      <c r="AD236" s="234"/>
      <c r="AE236" s="234"/>
      <c r="AF236" s="234"/>
      <c r="AG236" s="234"/>
      <c r="AH236" s="234"/>
      <c r="AI236" s="234"/>
      <c r="AJ236" s="234"/>
      <c r="AK236" s="234"/>
      <c r="AL236" s="234"/>
      <c r="AM236" s="234"/>
      <c r="AN236" s="234"/>
      <c r="AO236" s="234"/>
      <c r="AP236" s="234"/>
      <c r="AQ236" s="234"/>
      <c r="AR236" s="234"/>
      <c r="AS236" s="234"/>
      <c r="AT236" s="234"/>
      <c r="AU236" s="234"/>
      <c r="AV236" s="234"/>
      <c r="AW236" s="234"/>
      <c r="AX236" s="234"/>
      <c r="AY236" s="234"/>
    </row>
    <row r="237" spans="1:51" ht="24" customHeight="1" x14ac:dyDescent="0.25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  <c r="AB237" s="234"/>
      <c r="AC237" s="234"/>
      <c r="AD237" s="234"/>
      <c r="AE237" s="234"/>
      <c r="AF237" s="234"/>
      <c r="AG237" s="234"/>
      <c r="AH237" s="234"/>
      <c r="AI237" s="234"/>
      <c r="AJ237" s="234"/>
      <c r="AK237" s="234"/>
      <c r="AL237" s="234"/>
      <c r="AM237" s="234"/>
      <c r="AN237" s="234"/>
      <c r="AO237" s="234"/>
      <c r="AP237" s="234"/>
      <c r="AQ237" s="234"/>
      <c r="AR237" s="234"/>
      <c r="AS237" s="234"/>
      <c r="AT237" s="234"/>
      <c r="AU237" s="234"/>
      <c r="AV237" s="234"/>
      <c r="AW237" s="234"/>
      <c r="AX237" s="234"/>
      <c r="AY237" s="234"/>
    </row>
    <row r="238" spans="1:51" ht="24" customHeight="1" x14ac:dyDescent="0.25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  <c r="AB238" s="234"/>
      <c r="AC238" s="234"/>
      <c r="AD238" s="234"/>
      <c r="AE238" s="234"/>
      <c r="AF238" s="234"/>
      <c r="AG238" s="234"/>
      <c r="AH238" s="234"/>
      <c r="AI238" s="234"/>
      <c r="AJ238" s="234"/>
      <c r="AK238" s="234"/>
      <c r="AL238" s="234"/>
      <c r="AM238" s="234"/>
      <c r="AN238" s="234"/>
      <c r="AO238" s="234"/>
      <c r="AP238" s="234"/>
      <c r="AQ238" s="234"/>
      <c r="AR238" s="234"/>
      <c r="AS238" s="234"/>
      <c r="AT238" s="234"/>
      <c r="AU238" s="234"/>
      <c r="AV238" s="234"/>
      <c r="AW238" s="234"/>
      <c r="AX238" s="234"/>
      <c r="AY238" s="234"/>
    </row>
    <row r="239" spans="1:51" ht="24" customHeight="1" x14ac:dyDescent="0.25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  <c r="AB239" s="234"/>
      <c r="AC239" s="234"/>
      <c r="AD239" s="234"/>
      <c r="AE239" s="234"/>
      <c r="AF239" s="234"/>
      <c r="AG239" s="234"/>
      <c r="AH239" s="234"/>
      <c r="AI239" s="234"/>
      <c r="AJ239" s="234"/>
      <c r="AK239" s="234"/>
      <c r="AL239" s="234"/>
      <c r="AM239" s="234"/>
      <c r="AN239" s="234"/>
      <c r="AO239" s="234"/>
      <c r="AP239" s="234"/>
      <c r="AQ239" s="234"/>
      <c r="AR239" s="234"/>
      <c r="AS239" s="234"/>
      <c r="AT239" s="234"/>
      <c r="AU239" s="234"/>
      <c r="AV239" s="234"/>
      <c r="AW239" s="234"/>
      <c r="AX239" s="234"/>
      <c r="AY239" s="234"/>
    </row>
    <row r="240" spans="1:51" ht="24" customHeight="1" x14ac:dyDescent="0.25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  <c r="AB240" s="234"/>
      <c r="AC240" s="234"/>
      <c r="AD240" s="234"/>
      <c r="AE240" s="234"/>
      <c r="AF240" s="234"/>
      <c r="AG240" s="234"/>
      <c r="AH240" s="234"/>
      <c r="AI240" s="234"/>
      <c r="AJ240" s="234"/>
      <c r="AK240" s="234"/>
      <c r="AL240" s="234"/>
      <c r="AM240" s="234"/>
      <c r="AN240" s="234"/>
      <c r="AO240" s="234"/>
      <c r="AP240" s="234"/>
      <c r="AQ240" s="234"/>
      <c r="AR240" s="234"/>
      <c r="AS240" s="234"/>
      <c r="AT240" s="234"/>
      <c r="AU240" s="234"/>
      <c r="AV240" s="234"/>
      <c r="AW240" s="234"/>
      <c r="AX240" s="234"/>
      <c r="AY240" s="234"/>
    </row>
    <row r="241" spans="1:51" ht="24" customHeight="1" x14ac:dyDescent="0.25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  <c r="AB241" s="234"/>
      <c r="AC241" s="234"/>
      <c r="AD241" s="234"/>
      <c r="AE241" s="234"/>
      <c r="AF241" s="234"/>
      <c r="AG241" s="234"/>
      <c r="AH241" s="234"/>
      <c r="AI241" s="234"/>
      <c r="AJ241" s="234"/>
      <c r="AK241" s="234"/>
      <c r="AL241" s="234"/>
      <c r="AM241" s="234"/>
      <c r="AN241" s="234"/>
      <c r="AO241" s="234"/>
      <c r="AP241" s="234"/>
      <c r="AQ241" s="234"/>
      <c r="AR241" s="234"/>
      <c r="AS241" s="234"/>
      <c r="AT241" s="234"/>
      <c r="AU241" s="234"/>
      <c r="AV241" s="234"/>
      <c r="AW241" s="234"/>
      <c r="AX241" s="234"/>
      <c r="AY241" s="234"/>
    </row>
    <row r="242" spans="1:51" ht="24" customHeight="1" x14ac:dyDescent="0.25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  <c r="AB242" s="234"/>
      <c r="AC242" s="234"/>
      <c r="AD242" s="234"/>
      <c r="AE242" s="234"/>
      <c r="AF242" s="234"/>
      <c r="AG242" s="234"/>
      <c r="AH242" s="234"/>
      <c r="AI242" s="234"/>
      <c r="AJ242" s="234"/>
      <c r="AK242" s="234"/>
      <c r="AL242" s="234"/>
      <c r="AM242" s="234"/>
      <c r="AN242" s="234"/>
      <c r="AO242" s="234"/>
      <c r="AP242" s="234"/>
      <c r="AQ242" s="234"/>
      <c r="AR242" s="234"/>
      <c r="AS242" s="234"/>
      <c r="AT242" s="234"/>
      <c r="AU242" s="234"/>
      <c r="AV242" s="234"/>
      <c r="AW242" s="234"/>
      <c r="AX242" s="234"/>
      <c r="AY242" s="234"/>
    </row>
    <row r="243" spans="1:51" ht="24" customHeight="1" x14ac:dyDescent="0.25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  <c r="AB243" s="234"/>
      <c r="AC243" s="234"/>
      <c r="AD243" s="234"/>
      <c r="AE243" s="234"/>
      <c r="AF243" s="234"/>
      <c r="AG243" s="234"/>
      <c r="AH243" s="234"/>
      <c r="AI243" s="234"/>
      <c r="AJ243" s="234"/>
      <c r="AK243" s="234"/>
      <c r="AL243" s="234"/>
      <c r="AM243" s="234"/>
      <c r="AN243" s="234"/>
      <c r="AO243" s="234"/>
      <c r="AP243" s="234"/>
      <c r="AQ243" s="234"/>
      <c r="AR243" s="234"/>
      <c r="AS243" s="234"/>
      <c r="AT243" s="234"/>
      <c r="AU243" s="234"/>
      <c r="AV243" s="234"/>
      <c r="AW243" s="234"/>
      <c r="AX243" s="234"/>
      <c r="AY243" s="234"/>
    </row>
    <row r="244" spans="1:51" ht="24" customHeight="1" x14ac:dyDescent="0.25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  <c r="AB244" s="234"/>
      <c r="AC244" s="234"/>
      <c r="AD244" s="234"/>
      <c r="AE244" s="234"/>
      <c r="AF244" s="234"/>
      <c r="AG244" s="234"/>
      <c r="AH244" s="234"/>
      <c r="AI244" s="234"/>
      <c r="AJ244" s="234"/>
      <c r="AK244" s="234"/>
      <c r="AL244" s="234"/>
      <c r="AM244" s="234"/>
      <c r="AN244" s="234"/>
      <c r="AO244" s="234"/>
      <c r="AP244" s="234"/>
      <c r="AQ244" s="234"/>
      <c r="AR244" s="234"/>
      <c r="AS244" s="234"/>
      <c r="AT244" s="234"/>
      <c r="AU244" s="234"/>
      <c r="AV244" s="234"/>
      <c r="AW244" s="234"/>
      <c r="AX244" s="234"/>
      <c r="AY244" s="234"/>
    </row>
    <row r="245" spans="1:51" ht="24" customHeight="1" x14ac:dyDescent="0.2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  <c r="AB245" s="234"/>
      <c r="AC245" s="234"/>
      <c r="AD245" s="234"/>
      <c r="AE245" s="234"/>
      <c r="AF245" s="234"/>
      <c r="AG245" s="234"/>
      <c r="AH245" s="234"/>
      <c r="AI245" s="234"/>
      <c r="AJ245" s="234"/>
      <c r="AK245" s="234"/>
      <c r="AL245" s="234"/>
      <c r="AM245" s="234"/>
      <c r="AN245" s="234"/>
      <c r="AO245" s="234"/>
      <c r="AP245" s="234"/>
      <c r="AQ245" s="234"/>
      <c r="AR245" s="234"/>
      <c r="AS245" s="234"/>
      <c r="AT245" s="234"/>
      <c r="AU245" s="234"/>
      <c r="AV245" s="234"/>
      <c r="AW245" s="234"/>
      <c r="AX245" s="234"/>
      <c r="AY245" s="234"/>
    </row>
    <row r="246" spans="1:51" ht="24" customHeight="1" x14ac:dyDescent="0.25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  <c r="AB246" s="234"/>
      <c r="AC246" s="234"/>
      <c r="AD246" s="234"/>
      <c r="AE246" s="234"/>
      <c r="AF246" s="234"/>
      <c r="AG246" s="234"/>
      <c r="AH246" s="234"/>
      <c r="AI246" s="234"/>
      <c r="AJ246" s="234"/>
      <c r="AK246" s="234"/>
      <c r="AL246" s="234"/>
      <c r="AM246" s="234"/>
      <c r="AN246" s="234"/>
      <c r="AO246" s="234"/>
      <c r="AP246" s="234"/>
      <c r="AQ246" s="234"/>
      <c r="AR246" s="234"/>
      <c r="AS246" s="234"/>
      <c r="AT246" s="234"/>
      <c r="AU246" s="234"/>
      <c r="AV246" s="234"/>
      <c r="AW246" s="234"/>
      <c r="AX246" s="234"/>
      <c r="AY246" s="234"/>
    </row>
    <row r="247" spans="1:51" ht="24" customHeight="1" x14ac:dyDescent="0.25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  <c r="AB247" s="234"/>
      <c r="AC247" s="234"/>
      <c r="AD247" s="234"/>
      <c r="AE247" s="234"/>
      <c r="AF247" s="234"/>
      <c r="AG247" s="234"/>
      <c r="AH247" s="234"/>
      <c r="AI247" s="234"/>
      <c r="AJ247" s="234"/>
      <c r="AK247" s="234"/>
      <c r="AL247" s="234"/>
      <c r="AM247" s="234"/>
      <c r="AN247" s="234"/>
      <c r="AO247" s="234"/>
      <c r="AP247" s="234"/>
      <c r="AQ247" s="234"/>
      <c r="AR247" s="234"/>
      <c r="AS247" s="234"/>
      <c r="AT247" s="234"/>
      <c r="AU247" s="234"/>
      <c r="AV247" s="234"/>
      <c r="AW247" s="234"/>
      <c r="AX247" s="234"/>
      <c r="AY247" s="234"/>
    </row>
    <row r="248" spans="1:51" ht="24" customHeight="1" x14ac:dyDescent="0.25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  <c r="AB248" s="234"/>
      <c r="AC248" s="234"/>
      <c r="AD248" s="234"/>
      <c r="AE248" s="234"/>
      <c r="AF248" s="234"/>
      <c r="AG248" s="234"/>
      <c r="AH248" s="234"/>
      <c r="AI248" s="234"/>
      <c r="AJ248" s="234"/>
      <c r="AK248" s="234"/>
      <c r="AL248" s="234"/>
      <c r="AM248" s="234"/>
      <c r="AN248" s="234"/>
      <c r="AO248" s="234"/>
      <c r="AP248" s="234"/>
      <c r="AQ248" s="234"/>
      <c r="AR248" s="234"/>
      <c r="AS248" s="234"/>
      <c r="AT248" s="234"/>
      <c r="AU248" s="234"/>
      <c r="AV248" s="234"/>
      <c r="AW248" s="234"/>
      <c r="AX248" s="234"/>
      <c r="AY248" s="234"/>
    </row>
    <row r="249" spans="1:51" ht="24" customHeight="1" x14ac:dyDescent="0.25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  <c r="AB249" s="234"/>
      <c r="AC249" s="234"/>
      <c r="AD249" s="234"/>
      <c r="AE249" s="234"/>
      <c r="AF249" s="234"/>
      <c r="AG249" s="234"/>
      <c r="AH249" s="234"/>
      <c r="AI249" s="234"/>
      <c r="AJ249" s="234"/>
      <c r="AK249" s="234"/>
      <c r="AL249" s="234"/>
      <c r="AM249" s="234"/>
      <c r="AN249" s="234"/>
      <c r="AO249" s="234"/>
      <c r="AP249" s="234"/>
      <c r="AQ249" s="234"/>
      <c r="AR249" s="234"/>
      <c r="AS249" s="234"/>
      <c r="AT249" s="234"/>
      <c r="AU249" s="234"/>
      <c r="AV249" s="234"/>
      <c r="AW249" s="234"/>
      <c r="AX249" s="234"/>
      <c r="AY249" s="234"/>
    </row>
    <row r="250" spans="1:51" ht="24" customHeight="1" x14ac:dyDescent="0.25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  <c r="AB250" s="234"/>
      <c r="AC250" s="234"/>
      <c r="AD250" s="234"/>
      <c r="AE250" s="234"/>
      <c r="AF250" s="234"/>
      <c r="AG250" s="234"/>
      <c r="AH250" s="234"/>
      <c r="AI250" s="234"/>
      <c r="AJ250" s="234"/>
      <c r="AK250" s="234"/>
      <c r="AL250" s="234"/>
      <c r="AM250" s="234"/>
      <c r="AN250" s="234"/>
      <c r="AO250" s="234"/>
      <c r="AP250" s="234"/>
      <c r="AQ250" s="234"/>
      <c r="AR250" s="234"/>
      <c r="AS250" s="234"/>
      <c r="AT250" s="234"/>
      <c r="AU250" s="234"/>
      <c r="AV250" s="234"/>
      <c r="AW250" s="234"/>
      <c r="AX250" s="234"/>
      <c r="AY250" s="234"/>
    </row>
    <row r="251" spans="1:51" ht="24" customHeight="1" x14ac:dyDescent="0.25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  <c r="AB251" s="234"/>
      <c r="AC251" s="234"/>
      <c r="AD251" s="234"/>
      <c r="AE251" s="234"/>
      <c r="AF251" s="234"/>
      <c r="AG251" s="234"/>
      <c r="AH251" s="234"/>
      <c r="AI251" s="234"/>
      <c r="AJ251" s="234"/>
      <c r="AK251" s="234"/>
      <c r="AL251" s="234"/>
      <c r="AM251" s="234"/>
      <c r="AN251" s="234"/>
      <c r="AO251" s="234"/>
      <c r="AP251" s="234"/>
      <c r="AQ251" s="234"/>
      <c r="AR251" s="234"/>
      <c r="AS251" s="234"/>
      <c r="AT251" s="234"/>
      <c r="AU251" s="234"/>
      <c r="AV251" s="234"/>
      <c r="AW251" s="234"/>
      <c r="AX251" s="234"/>
      <c r="AY251" s="234"/>
    </row>
    <row r="252" spans="1:51" ht="24" customHeight="1" x14ac:dyDescent="0.25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  <c r="AB252" s="234"/>
      <c r="AC252" s="234"/>
      <c r="AD252" s="234"/>
      <c r="AE252" s="234"/>
      <c r="AF252" s="234"/>
      <c r="AG252" s="234"/>
      <c r="AH252" s="234"/>
      <c r="AI252" s="234"/>
      <c r="AJ252" s="234"/>
      <c r="AK252" s="234"/>
      <c r="AL252" s="234"/>
      <c r="AM252" s="234"/>
      <c r="AN252" s="234"/>
      <c r="AO252" s="234"/>
      <c r="AP252" s="234"/>
      <c r="AQ252" s="234"/>
      <c r="AR252" s="234"/>
      <c r="AS252" s="234"/>
      <c r="AT252" s="234"/>
      <c r="AU252" s="234"/>
      <c r="AV252" s="234"/>
      <c r="AW252" s="234"/>
      <c r="AX252" s="234"/>
      <c r="AY252" s="234"/>
    </row>
    <row r="253" spans="1:51" ht="24" customHeight="1" x14ac:dyDescent="0.25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  <c r="AB253" s="234"/>
      <c r="AC253" s="234"/>
      <c r="AD253" s="234"/>
      <c r="AE253" s="234"/>
      <c r="AF253" s="234"/>
      <c r="AG253" s="234"/>
      <c r="AH253" s="234"/>
      <c r="AI253" s="234"/>
      <c r="AJ253" s="234"/>
      <c r="AK253" s="234"/>
      <c r="AL253" s="234"/>
      <c r="AM253" s="234"/>
      <c r="AN253" s="234"/>
      <c r="AO253" s="234"/>
      <c r="AP253" s="234"/>
      <c r="AQ253" s="234"/>
      <c r="AR253" s="234"/>
      <c r="AS253" s="234"/>
      <c r="AT253" s="234"/>
      <c r="AU253" s="234"/>
      <c r="AV253" s="234"/>
      <c r="AW253" s="234"/>
      <c r="AX253" s="234"/>
      <c r="AY253" s="234"/>
    </row>
    <row r="254" spans="1:51" ht="24" customHeight="1" x14ac:dyDescent="0.25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  <c r="AB254" s="234"/>
      <c r="AC254" s="234"/>
      <c r="AD254" s="234"/>
      <c r="AE254" s="234"/>
      <c r="AF254" s="234"/>
      <c r="AG254" s="234"/>
      <c r="AH254" s="234"/>
      <c r="AI254" s="234"/>
      <c r="AJ254" s="234"/>
      <c r="AK254" s="234"/>
      <c r="AL254" s="234"/>
      <c r="AM254" s="234"/>
      <c r="AN254" s="234"/>
      <c r="AO254" s="234"/>
      <c r="AP254" s="234"/>
      <c r="AQ254" s="234"/>
      <c r="AR254" s="234"/>
      <c r="AS254" s="234"/>
      <c r="AT254" s="234"/>
      <c r="AU254" s="234"/>
      <c r="AV254" s="234"/>
      <c r="AW254" s="234"/>
      <c r="AX254" s="234"/>
      <c r="AY254" s="234"/>
    </row>
    <row r="255" spans="1:51" ht="24" customHeight="1" x14ac:dyDescent="0.2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  <c r="AB255" s="234"/>
      <c r="AC255" s="234"/>
      <c r="AD255" s="234"/>
      <c r="AE255" s="234"/>
      <c r="AF255" s="234"/>
      <c r="AG255" s="234"/>
      <c r="AH255" s="234"/>
      <c r="AI255" s="234"/>
      <c r="AJ255" s="234"/>
      <c r="AK255" s="234"/>
      <c r="AL255" s="234"/>
      <c r="AM255" s="234"/>
      <c r="AN255" s="234"/>
      <c r="AO255" s="234"/>
      <c r="AP255" s="234"/>
      <c r="AQ255" s="234"/>
      <c r="AR255" s="234"/>
      <c r="AS255" s="234"/>
      <c r="AT255" s="234"/>
      <c r="AU255" s="234"/>
      <c r="AV255" s="234"/>
      <c r="AW255" s="234"/>
      <c r="AX255" s="234"/>
      <c r="AY255" s="234"/>
    </row>
    <row r="256" spans="1:51" ht="24" customHeight="1" x14ac:dyDescent="0.25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  <c r="AB256" s="234"/>
      <c r="AC256" s="234"/>
      <c r="AD256" s="234"/>
      <c r="AE256" s="234"/>
      <c r="AF256" s="234"/>
      <c r="AG256" s="234"/>
      <c r="AH256" s="234"/>
      <c r="AI256" s="234"/>
      <c r="AJ256" s="234"/>
      <c r="AK256" s="234"/>
      <c r="AL256" s="234"/>
      <c r="AM256" s="234"/>
      <c r="AN256" s="234"/>
      <c r="AO256" s="234"/>
      <c r="AP256" s="234"/>
      <c r="AQ256" s="234"/>
      <c r="AR256" s="234"/>
      <c r="AS256" s="234"/>
      <c r="AT256" s="234"/>
      <c r="AU256" s="234"/>
      <c r="AV256" s="234"/>
      <c r="AW256" s="234"/>
      <c r="AX256" s="234"/>
      <c r="AY256" s="234"/>
    </row>
    <row r="257" spans="1:51" ht="24" customHeight="1" x14ac:dyDescent="0.25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  <c r="AB257" s="234"/>
      <c r="AC257" s="234"/>
      <c r="AD257" s="234"/>
      <c r="AE257" s="234"/>
      <c r="AF257" s="234"/>
      <c r="AG257" s="234"/>
      <c r="AH257" s="234"/>
      <c r="AI257" s="234"/>
      <c r="AJ257" s="234"/>
      <c r="AK257" s="234"/>
      <c r="AL257" s="234"/>
      <c r="AM257" s="234"/>
      <c r="AN257" s="234"/>
      <c r="AO257" s="234"/>
      <c r="AP257" s="234"/>
      <c r="AQ257" s="234"/>
      <c r="AR257" s="234"/>
      <c r="AS257" s="234"/>
      <c r="AT257" s="234"/>
      <c r="AU257" s="234"/>
      <c r="AV257" s="234"/>
      <c r="AW257" s="234"/>
      <c r="AX257" s="234"/>
      <c r="AY257" s="234"/>
    </row>
    <row r="258" spans="1:51" ht="24" customHeight="1" x14ac:dyDescent="0.25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  <c r="AB258" s="234"/>
      <c r="AC258" s="234"/>
      <c r="AD258" s="234"/>
      <c r="AE258" s="234"/>
      <c r="AF258" s="234"/>
      <c r="AG258" s="234"/>
      <c r="AH258" s="234"/>
      <c r="AI258" s="234"/>
      <c r="AJ258" s="234"/>
      <c r="AK258" s="234"/>
      <c r="AL258" s="234"/>
      <c r="AM258" s="234"/>
      <c r="AN258" s="234"/>
      <c r="AO258" s="234"/>
      <c r="AP258" s="234"/>
      <c r="AQ258" s="234"/>
      <c r="AR258" s="234"/>
      <c r="AS258" s="234"/>
      <c r="AT258" s="234"/>
      <c r="AU258" s="234"/>
      <c r="AV258" s="234"/>
      <c r="AW258" s="234"/>
      <c r="AX258" s="234"/>
      <c r="AY258" s="234"/>
    </row>
    <row r="259" spans="1:51" ht="24" customHeight="1" x14ac:dyDescent="0.25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  <c r="AB259" s="234"/>
      <c r="AC259" s="234"/>
      <c r="AD259" s="234"/>
      <c r="AE259" s="234"/>
      <c r="AF259" s="234"/>
      <c r="AG259" s="234"/>
      <c r="AH259" s="234"/>
      <c r="AI259" s="234"/>
      <c r="AJ259" s="234"/>
      <c r="AK259" s="234"/>
      <c r="AL259" s="234"/>
      <c r="AM259" s="234"/>
      <c r="AN259" s="234"/>
      <c r="AO259" s="234"/>
      <c r="AP259" s="234"/>
      <c r="AQ259" s="234"/>
      <c r="AR259" s="234"/>
      <c r="AS259" s="234"/>
      <c r="AT259" s="234"/>
      <c r="AU259" s="234"/>
      <c r="AV259" s="234"/>
      <c r="AW259" s="234"/>
      <c r="AX259" s="234"/>
      <c r="AY259" s="234"/>
    </row>
    <row r="260" spans="1:51" ht="24" customHeight="1" x14ac:dyDescent="0.25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  <c r="AB260" s="234"/>
      <c r="AC260" s="234"/>
      <c r="AD260" s="234"/>
      <c r="AE260" s="234"/>
      <c r="AF260" s="234"/>
      <c r="AG260" s="234"/>
      <c r="AH260" s="234"/>
      <c r="AI260" s="234"/>
      <c r="AJ260" s="234"/>
      <c r="AK260" s="234"/>
      <c r="AL260" s="234"/>
      <c r="AM260" s="234"/>
      <c r="AN260" s="234"/>
      <c r="AO260" s="234"/>
      <c r="AP260" s="234"/>
      <c r="AQ260" s="234"/>
      <c r="AR260" s="234"/>
      <c r="AS260" s="234"/>
      <c r="AT260" s="234"/>
      <c r="AU260" s="234"/>
      <c r="AV260" s="234"/>
      <c r="AW260" s="234"/>
      <c r="AX260" s="234"/>
      <c r="AY260" s="234"/>
    </row>
    <row r="261" spans="1:51" ht="24" customHeight="1" x14ac:dyDescent="0.25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  <c r="AB261" s="234"/>
      <c r="AC261" s="234"/>
      <c r="AD261" s="234"/>
      <c r="AE261" s="234"/>
      <c r="AF261" s="234"/>
      <c r="AG261" s="234"/>
      <c r="AH261" s="234"/>
      <c r="AI261" s="234"/>
      <c r="AJ261" s="234"/>
      <c r="AK261" s="234"/>
      <c r="AL261" s="234"/>
      <c r="AM261" s="234"/>
      <c r="AN261" s="234"/>
      <c r="AO261" s="234"/>
      <c r="AP261" s="234"/>
      <c r="AQ261" s="234"/>
      <c r="AR261" s="234"/>
      <c r="AS261" s="234"/>
      <c r="AT261" s="234"/>
      <c r="AU261" s="234"/>
      <c r="AV261" s="234"/>
      <c r="AW261" s="234"/>
      <c r="AX261" s="234"/>
      <c r="AY261" s="234"/>
    </row>
    <row r="262" spans="1:51" ht="24" customHeight="1" x14ac:dyDescent="0.25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  <c r="AB262" s="234"/>
      <c r="AC262" s="234"/>
      <c r="AD262" s="234"/>
      <c r="AE262" s="234"/>
      <c r="AF262" s="234"/>
      <c r="AG262" s="234"/>
      <c r="AH262" s="234"/>
      <c r="AI262" s="234"/>
      <c r="AJ262" s="234"/>
      <c r="AK262" s="234"/>
      <c r="AL262" s="234"/>
      <c r="AM262" s="234"/>
      <c r="AN262" s="234"/>
      <c r="AO262" s="234"/>
      <c r="AP262" s="234"/>
      <c r="AQ262" s="234"/>
      <c r="AR262" s="234"/>
      <c r="AS262" s="234"/>
      <c r="AT262" s="234"/>
      <c r="AU262" s="234"/>
      <c r="AV262" s="234"/>
      <c r="AW262" s="234"/>
      <c r="AX262" s="234"/>
      <c r="AY262" s="234"/>
    </row>
    <row r="263" spans="1:51" ht="24" customHeight="1" x14ac:dyDescent="0.25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  <c r="AB263" s="234"/>
      <c r="AC263" s="234"/>
      <c r="AD263" s="234"/>
      <c r="AE263" s="234"/>
      <c r="AF263" s="234"/>
      <c r="AG263" s="234"/>
      <c r="AH263" s="234"/>
      <c r="AI263" s="234"/>
      <c r="AJ263" s="234"/>
      <c r="AK263" s="234"/>
      <c r="AL263" s="234"/>
      <c r="AM263" s="234"/>
      <c r="AN263" s="234"/>
      <c r="AO263" s="234"/>
      <c r="AP263" s="234"/>
      <c r="AQ263" s="234"/>
      <c r="AR263" s="234"/>
      <c r="AS263" s="234"/>
      <c r="AT263" s="234"/>
      <c r="AU263" s="234"/>
      <c r="AV263" s="234"/>
      <c r="AW263" s="234"/>
      <c r="AX263" s="234"/>
      <c r="AY263" s="234"/>
    </row>
    <row r="264" spans="1:51" ht="24" customHeight="1" x14ac:dyDescent="0.25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  <c r="AB264" s="234"/>
      <c r="AC264" s="234"/>
      <c r="AD264" s="234"/>
      <c r="AE264" s="234"/>
      <c r="AF264" s="234"/>
      <c r="AG264" s="234"/>
      <c r="AH264" s="234"/>
      <c r="AI264" s="234"/>
      <c r="AJ264" s="234"/>
      <c r="AK264" s="234"/>
      <c r="AL264" s="234"/>
      <c r="AM264" s="234"/>
      <c r="AN264" s="234"/>
      <c r="AO264" s="234"/>
      <c r="AP264" s="234"/>
      <c r="AQ264" s="234"/>
      <c r="AR264" s="234"/>
      <c r="AS264" s="234"/>
      <c r="AT264" s="234"/>
      <c r="AU264" s="234"/>
      <c r="AV264" s="234"/>
      <c r="AW264" s="234"/>
      <c r="AX264" s="234"/>
      <c r="AY264" s="234"/>
    </row>
    <row r="265" spans="1:51" ht="24" customHeight="1" x14ac:dyDescent="0.2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  <c r="AB265" s="234"/>
      <c r="AC265" s="234"/>
      <c r="AD265" s="234"/>
      <c r="AE265" s="234"/>
      <c r="AF265" s="234"/>
      <c r="AG265" s="234"/>
      <c r="AH265" s="234"/>
      <c r="AI265" s="234"/>
      <c r="AJ265" s="234"/>
      <c r="AK265" s="234"/>
      <c r="AL265" s="234"/>
      <c r="AM265" s="234"/>
      <c r="AN265" s="234"/>
      <c r="AO265" s="234"/>
      <c r="AP265" s="234"/>
      <c r="AQ265" s="234"/>
      <c r="AR265" s="234"/>
      <c r="AS265" s="234"/>
      <c r="AT265" s="234"/>
      <c r="AU265" s="234"/>
      <c r="AV265" s="234"/>
      <c r="AW265" s="234"/>
      <c r="AX265" s="234"/>
      <c r="AY265" s="234"/>
    </row>
    <row r="266" spans="1:51" ht="24" customHeight="1" x14ac:dyDescent="0.25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  <c r="AB266" s="234"/>
      <c r="AC266" s="234"/>
      <c r="AD266" s="234"/>
      <c r="AE266" s="234"/>
      <c r="AF266" s="234"/>
      <c r="AG266" s="234"/>
      <c r="AH266" s="234"/>
      <c r="AI266" s="234"/>
      <c r="AJ266" s="234"/>
      <c r="AK266" s="234"/>
      <c r="AL266" s="234"/>
      <c r="AM266" s="234"/>
      <c r="AN266" s="234"/>
      <c r="AO266" s="234"/>
      <c r="AP266" s="234"/>
      <c r="AQ266" s="234"/>
      <c r="AR266" s="234"/>
      <c r="AS266" s="234"/>
      <c r="AT266" s="234"/>
      <c r="AU266" s="234"/>
      <c r="AV266" s="234"/>
      <c r="AW266" s="234"/>
      <c r="AX266" s="234"/>
      <c r="AY266" s="234"/>
    </row>
    <row r="267" spans="1:51" ht="24" customHeight="1" x14ac:dyDescent="0.25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  <c r="AB267" s="234"/>
      <c r="AC267" s="234"/>
      <c r="AD267" s="234"/>
      <c r="AE267" s="234"/>
      <c r="AF267" s="234"/>
      <c r="AG267" s="234"/>
      <c r="AH267" s="234"/>
      <c r="AI267" s="234"/>
      <c r="AJ267" s="234"/>
      <c r="AK267" s="234"/>
      <c r="AL267" s="234"/>
      <c r="AM267" s="234"/>
      <c r="AN267" s="234"/>
      <c r="AO267" s="234"/>
      <c r="AP267" s="234"/>
      <c r="AQ267" s="234"/>
      <c r="AR267" s="234"/>
      <c r="AS267" s="234"/>
      <c r="AT267" s="234"/>
      <c r="AU267" s="234"/>
      <c r="AV267" s="234"/>
      <c r="AW267" s="234"/>
      <c r="AX267" s="234"/>
      <c r="AY267" s="234"/>
    </row>
    <row r="268" spans="1:51" ht="24" customHeight="1" x14ac:dyDescent="0.25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  <c r="AB268" s="234"/>
      <c r="AC268" s="234"/>
      <c r="AD268" s="234"/>
      <c r="AE268" s="234"/>
      <c r="AF268" s="234"/>
      <c r="AG268" s="234"/>
      <c r="AH268" s="234"/>
      <c r="AI268" s="234"/>
      <c r="AJ268" s="234"/>
      <c r="AK268" s="234"/>
      <c r="AL268" s="234"/>
      <c r="AM268" s="234"/>
      <c r="AN268" s="234"/>
      <c r="AO268" s="234"/>
      <c r="AP268" s="234"/>
      <c r="AQ268" s="234"/>
      <c r="AR268" s="234"/>
      <c r="AS268" s="234"/>
      <c r="AT268" s="234"/>
      <c r="AU268" s="234"/>
      <c r="AV268" s="234"/>
      <c r="AW268" s="234"/>
      <c r="AX268" s="234"/>
      <c r="AY268" s="234"/>
    </row>
    <row r="269" spans="1:51" ht="24" customHeight="1" x14ac:dyDescent="0.25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  <c r="AB269" s="234"/>
      <c r="AC269" s="234"/>
      <c r="AD269" s="234"/>
      <c r="AE269" s="234"/>
      <c r="AF269" s="234"/>
      <c r="AG269" s="234"/>
      <c r="AH269" s="234"/>
      <c r="AI269" s="234"/>
      <c r="AJ269" s="234"/>
      <c r="AK269" s="234"/>
      <c r="AL269" s="234"/>
      <c r="AM269" s="234"/>
      <c r="AN269" s="234"/>
      <c r="AO269" s="234"/>
      <c r="AP269" s="234"/>
      <c r="AQ269" s="234"/>
      <c r="AR269" s="234"/>
      <c r="AS269" s="234"/>
      <c r="AT269" s="234"/>
      <c r="AU269" s="234"/>
      <c r="AV269" s="234"/>
      <c r="AW269" s="234"/>
      <c r="AX269" s="234"/>
      <c r="AY269" s="234"/>
    </row>
    <row r="270" spans="1:51" ht="24" customHeight="1" x14ac:dyDescent="0.25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  <c r="AB270" s="234"/>
      <c r="AC270" s="234"/>
      <c r="AD270" s="234"/>
      <c r="AE270" s="234"/>
      <c r="AF270" s="234"/>
      <c r="AG270" s="234"/>
      <c r="AH270" s="234"/>
      <c r="AI270" s="234"/>
      <c r="AJ270" s="234"/>
      <c r="AK270" s="234"/>
      <c r="AL270" s="234"/>
      <c r="AM270" s="234"/>
      <c r="AN270" s="234"/>
      <c r="AO270" s="234"/>
      <c r="AP270" s="234"/>
      <c r="AQ270" s="234"/>
      <c r="AR270" s="234"/>
      <c r="AS270" s="234"/>
      <c r="AT270" s="234"/>
      <c r="AU270" s="234"/>
      <c r="AV270" s="234"/>
      <c r="AW270" s="234"/>
      <c r="AX270" s="234"/>
      <c r="AY270" s="234"/>
    </row>
    <row r="271" spans="1:51" ht="24" customHeight="1" x14ac:dyDescent="0.25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  <c r="AB271" s="234"/>
      <c r="AC271" s="234"/>
      <c r="AD271" s="234"/>
      <c r="AE271" s="234"/>
      <c r="AF271" s="234"/>
      <c r="AG271" s="234"/>
      <c r="AH271" s="234"/>
      <c r="AI271" s="234"/>
      <c r="AJ271" s="234"/>
      <c r="AK271" s="234"/>
      <c r="AL271" s="234"/>
      <c r="AM271" s="234"/>
      <c r="AN271" s="234"/>
      <c r="AO271" s="234"/>
      <c r="AP271" s="234"/>
      <c r="AQ271" s="234"/>
      <c r="AR271" s="234"/>
      <c r="AS271" s="234"/>
      <c r="AT271" s="234"/>
      <c r="AU271" s="234"/>
      <c r="AV271" s="234"/>
      <c r="AW271" s="234"/>
      <c r="AX271" s="234"/>
      <c r="AY271" s="234"/>
    </row>
    <row r="272" spans="1:51" ht="24" customHeight="1" x14ac:dyDescent="0.25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  <c r="AB272" s="234"/>
      <c r="AC272" s="234"/>
      <c r="AD272" s="234"/>
      <c r="AE272" s="234"/>
      <c r="AF272" s="234"/>
      <c r="AG272" s="234"/>
      <c r="AH272" s="234"/>
      <c r="AI272" s="234"/>
      <c r="AJ272" s="234"/>
      <c r="AK272" s="234"/>
      <c r="AL272" s="234"/>
      <c r="AM272" s="234"/>
      <c r="AN272" s="234"/>
      <c r="AO272" s="234"/>
      <c r="AP272" s="234"/>
      <c r="AQ272" s="234"/>
      <c r="AR272" s="234"/>
      <c r="AS272" s="234"/>
      <c r="AT272" s="234"/>
      <c r="AU272" s="234"/>
      <c r="AV272" s="234"/>
      <c r="AW272" s="234"/>
      <c r="AX272" s="234"/>
      <c r="AY272" s="234"/>
    </row>
    <row r="273" spans="1:51" ht="24" customHeight="1" x14ac:dyDescent="0.25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  <c r="AB273" s="234"/>
      <c r="AC273" s="234"/>
      <c r="AD273" s="234"/>
      <c r="AE273" s="234"/>
      <c r="AF273" s="234"/>
      <c r="AG273" s="234"/>
      <c r="AH273" s="234"/>
      <c r="AI273" s="234"/>
      <c r="AJ273" s="234"/>
      <c r="AK273" s="234"/>
      <c r="AL273" s="234"/>
      <c r="AM273" s="234"/>
      <c r="AN273" s="234"/>
      <c r="AO273" s="234"/>
      <c r="AP273" s="234"/>
      <c r="AQ273" s="234"/>
      <c r="AR273" s="234"/>
      <c r="AS273" s="234"/>
      <c r="AT273" s="234"/>
      <c r="AU273" s="234"/>
      <c r="AV273" s="234"/>
      <c r="AW273" s="234"/>
      <c r="AX273" s="234"/>
      <c r="AY273" s="234"/>
    </row>
    <row r="274" spans="1:51" ht="24" customHeight="1" x14ac:dyDescent="0.25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  <c r="AB274" s="234"/>
      <c r="AC274" s="234"/>
      <c r="AD274" s="234"/>
      <c r="AE274" s="234"/>
      <c r="AF274" s="234"/>
      <c r="AG274" s="234"/>
      <c r="AH274" s="234"/>
      <c r="AI274" s="234"/>
      <c r="AJ274" s="234"/>
      <c r="AK274" s="234"/>
      <c r="AL274" s="234"/>
      <c r="AM274" s="234"/>
      <c r="AN274" s="234"/>
      <c r="AO274" s="234"/>
      <c r="AP274" s="234"/>
      <c r="AQ274" s="234"/>
      <c r="AR274" s="234"/>
      <c r="AS274" s="234"/>
      <c r="AT274" s="234"/>
      <c r="AU274" s="234"/>
      <c r="AV274" s="234"/>
      <c r="AW274" s="234"/>
      <c r="AX274" s="234"/>
      <c r="AY274" s="234"/>
    </row>
    <row r="275" spans="1:51" ht="24" customHeight="1" x14ac:dyDescent="0.2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  <c r="AB275" s="234"/>
      <c r="AC275" s="234"/>
      <c r="AD275" s="234"/>
      <c r="AE275" s="234"/>
      <c r="AF275" s="234"/>
      <c r="AG275" s="234"/>
      <c r="AH275" s="234"/>
      <c r="AI275" s="234"/>
      <c r="AJ275" s="234"/>
      <c r="AK275" s="234"/>
      <c r="AL275" s="234"/>
      <c r="AM275" s="234"/>
      <c r="AN275" s="234"/>
      <c r="AO275" s="234"/>
      <c r="AP275" s="234"/>
      <c r="AQ275" s="234"/>
      <c r="AR275" s="234"/>
      <c r="AS275" s="234"/>
      <c r="AT275" s="234"/>
      <c r="AU275" s="234"/>
      <c r="AV275" s="234"/>
      <c r="AW275" s="234"/>
      <c r="AX275" s="234"/>
      <c r="AY275" s="234"/>
    </row>
    <row r="276" spans="1:51" ht="24" customHeight="1" x14ac:dyDescent="0.25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  <c r="AB276" s="234"/>
      <c r="AC276" s="234"/>
      <c r="AD276" s="234"/>
      <c r="AE276" s="234"/>
      <c r="AF276" s="234"/>
      <c r="AG276" s="234"/>
      <c r="AH276" s="234"/>
      <c r="AI276" s="234"/>
      <c r="AJ276" s="234"/>
      <c r="AK276" s="234"/>
      <c r="AL276" s="234"/>
      <c r="AM276" s="234"/>
      <c r="AN276" s="234"/>
      <c r="AO276" s="234"/>
      <c r="AP276" s="234"/>
      <c r="AQ276" s="234"/>
      <c r="AR276" s="234"/>
      <c r="AS276" s="234"/>
      <c r="AT276" s="234"/>
      <c r="AU276" s="234"/>
      <c r="AV276" s="234"/>
      <c r="AW276" s="234"/>
      <c r="AX276" s="234"/>
      <c r="AY276" s="234"/>
    </row>
    <row r="277" spans="1:51" ht="24" customHeight="1" x14ac:dyDescent="0.25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  <c r="AB277" s="234"/>
      <c r="AC277" s="234"/>
      <c r="AD277" s="234"/>
      <c r="AE277" s="234"/>
      <c r="AF277" s="234"/>
      <c r="AG277" s="234"/>
      <c r="AH277" s="234"/>
      <c r="AI277" s="234"/>
      <c r="AJ277" s="234"/>
      <c r="AK277" s="234"/>
      <c r="AL277" s="234"/>
      <c r="AM277" s="234"/>
      <c r="AN277" s="234"/>
      <c r="AO277" s="234"/>
      <c r="AP277" s="234"/>
      <c r="AQ277" s="234"/>
      <c r="AR277" s="234"/>
      <c r="AS277" s="234"/>
      <c r="AT277" s="234"/>
      <c r="AU277" s="234"/>
      <c r="AV277" s="234"/>
      <c r="AW277" s="234"/>
      <c r="AX277" s="234"/>
      <c r="AY277" s="234"/>
    </row>
    <row r="278" spans="1:51" ht="24" customHeight="1" x14ac:dyDescent="0.25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  <c r="AB278" s="234"/>
      <c r="AC278" s="234"/>
      <c r="AD278" s="234"/>
      <c r="AE278" s="234"/>
      <c r="AF278" s="234"/>
      <c r="AG278" s="234"/>
      <c r="AH278" s="234"/>
      <c r="AI278" s="234"/>
      <c r="AJ278" s="234"/>
      <c r="AK278" s="234"/>
      <c r="AL278" s="234"/>
      <c r="AM278" s="234"/>
      <c r="AN278" s="234"/>
      <c r="AO278" s="234"/>
      <c r="AP278" s="234"/>
      <c r="AQ278" s="234"/>
      <c r="AR278" s="234"/>
      <c r="AS278" s="234"/>
      <c r="AT278" s="234"/>
      <c r="AU278" s="234"/>
      <c r="AV278" s="234"/>
      <c r="AW278" s="234"/>
      <c r="AX278" s="234"/>
      <c r="AY278" s="234"/>
    </row>
    <row r="279" spans="1:51" ht="24" customHeight="1" x14ac:dyDescent="0.25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  <c r="AB279" s="234"/>
      <c r="AC279" s="234"/>
      <c r="AD279" s="234"/>
      <c r="AE279" s="234"/>
      <c r="AF279" s="234"/>
      <c r="AG279" s="234"/>
      <c r="AH279" s="234"/>
      <c r="AI279" s="234"/>
      <c r="AJ279" s="234"/>
      <c r="AK279" s="234"/>
      <c r="AL279" s="234"/>
      <c r="AM279" s="234"/>
      <c r="AN279" s="234"/>
      <c r="AO279" s="234"/>
      <c r="AP279" s="234"/>
      <c r="AQ279" s="234"/>
      <c r="AR279" s="234"/>
      <c r="AS279" s="234"/>
      <c r="AT279" s="234"/>
      <c r="AU279" s="234"/>
      <c r="AV279" s="234"/>
      <c r="AW279" s="234"/>
      <c r="AX279" s="234"/>
      <c r="AY279" s="234"/>
    </row>
    <row r="280" spans="1:51" ht="24" customHeight="1" x14ac:dyDescent="0.25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  <c r="AB280" s="234"/>
      <c r="AC280" s="234"/>
      <c r="AD280" s="234"/>
      <c r="AE280" s="234"/>
      <c r="AF280" s="234"/>
      <c r="AG280" s="234"/>
      <c r="AH280" s="234"/>
      <c r="AI280" s="234"/>
      <c r="AJ280" s="234"/>
      <c r="AK280" s="234"/>
      <c r="AL280" s="234"/>
      <c r="AM280" s="234"/>
      <c r="AN280" s="234"/>
      <c r="AO280" s="234"/>
      <c r="AP280" s="234"/>
      <c r="AQ280" s="234"/>
      <c r="AR280" s="234"/>
      <c r="AS280" s="234"/>
      <c r="AT280" s="234"/>
      <c r="AU280" s="234"/>
      <c r="AV280" s="234"/>
      <c r="AW280" s="234"/>
      <c r="AX280" s="234"/>
      <c r="AY280" s="234"/>
    </row>
    <row r="281" spans="1:51" ht="24" customHeight="1" x14ac:dyDescent="0.25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  <c r="AB281" s="234"/>
      <c r="AC281" s="234"/>
      <c r="AD281" s="234"/>
      <c r="AE281" s="234"/>
      <c r="AF281" s="234"/>
      <c r="AG281" s="234"/>
      <c r="AH281" s="234"/>
      <c r="AI281" s="234"/>
      <c r="AJ281" s="234"/>
      <c r="AK281" s="234"/>
      <c r="AL281" s="234"/>
      <c r="AM281" s="234"/>
      <c r="AN281" s="234"/>
      <c r="AO281" s="234"/>
      <c r="AP281" s="234"/>
      <c r="AQ281" s="234"/>
      <c r="AR281" s="234"/>
      <c r="AS281" s="234"/>
      <c r="AT281" s="234"/>
      <c r="AU281" s="234"/>
      <c r="AV281" s="234"/>
      <c r="AW281" s="234"/>
      <c r="AX281" s="234"/>
      <c r="AY281" s="234"/>
    </row>
    <row r="282" spans="1:51" ht="24" customHeight="1" x14ac:dyDescent="0.25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  <c r="AB282" s="234"/>
      <c r="AC282" s="234"/>
      <c r="AD282" s="234"/>
      <c r="AE282" s="234"/>
      <c r="AF282" s="234"/>
      <c r="AG282" s="234"/>
      <c r="AH282" s="234"/>
      <c r="AI282" s="234"/>
      <c r="AJ282" s="234"/>
      <c r="AK282" s="234"/>
      <c r="AL282" s="234"/>
      <c r="AM282" s="234"/>
      <c r="AN282" s="234"/>
      <c r="AO282" s="234"/>
      <c r="AP282" s="234"/>
      <c r="AQ282" s="234"/>
      <c r="AR282" s="234"/>
      <c r="AS282" s="234"/>
      <c r="AT282" s="234"/>
      <c r="AU282" s="234"/>
      <c r="AV282" s="234"/>
      <c r="AW282" s="234"/>
      <c r="AX282" s="234"/>
      <c r="AY282" s="234"/>
    </row>
    <row r="283" spans="1:51" ht="24" customHeight="1" x14ac:dyDescent="0.25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  <c r="AB283" s="234"/>
      <c r="AC283" s="234"/>
      <c r="AD283" s="234"/>
      <c r="AE283" s="234"/>
      <c r="AF283" s="234"/>
      <c r="AG283" s="234"/>
      <c r="AH283" s="234"/>
      <c r="AI283" s="234"/>
      <c r="AJ283" s="234"/>
      <c r="AK283" s="234"/>
      <c r="AL283" s="234"/>
      <c r="AM283" s="234"/>
      <c r="AN283" s="234"/>
      <c r="AO283" s="234"/>
      <c r="AP283" s="234"/>
      <c r="AQ283" s="234"/>
      <c r="AR283" s="234"/>
      <c r="AS283" s="234"/>
      <c r="AT283" s="234"/>
      <c r="AU283" s="234"/>
      <c r="AV283" s="234"/>
      <c r="AW283" s="234"/>
      <c r="AX283" s="234"/>
      <c r="AY283" s="234"/>
    </row>
    <row r="284" spans="1:51" ht="24" customHeight="1" x14ac:dyDescent="0.25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  <c r="AB284" s="234"/>
      <c r="AC284" s="234"/>
      <c r="AD284" s="234"/>
      <c r="AE284" s="234"/>
      <c r="AF284" s="234"/>
      <c r="AG284" s="234"/>
      <c r="AH284" s="234"/>
      <c r="AI284" s="234"/>
      <c r="AJ284" s="234"/>
      <c r="AK284" s="234"/>
      <c r="AL284" s="234"/>
      <c r="AM284" s="234"/>
      <c r="AN284" s="234"/>
      <c r="AO284" s="234"/>
      <c r="AP284" s="234"/>
      <c r="AQ284" s="234"/>
      <c r="AR284" s="234"/>
      <c r="AS284" s="234"/>
      <c r="AT284" s="234"/>
      <c r="AU284" s="234"/>
      <c r="AV284" s="234"/>
      <c r="AW284" s="234"/>
      <c r="AX284" s="234"/>
      <c r="AY284" s="234"/>
    </row>
    <row r="285" spans="1:51" ht="24" customHeight="1" x14ac:dyDescent="0.2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  <c r="AB285" s="234"/>
      <c r="AC285" s="234"/>
      <c r="AD285" s="234"/>
      <c r="AE285" s="234"/>
      <c r="AF285" s="234"/>
      <c r="AG285" s="234"/>
      <c r="AH285" s="234"/>
      <c r="AI285" s="234"/>
      <c r="AJ285" s="234"/>
      <c r="AK285" s="234"/>
      <c r="AL285" s="234"/>
      <c r="AM285" s="234"/>
      <c r="AN285" s="234"/>
      <c r="AO285" s="234"/>
      <c r="AP285" s="234"/>
      <c r="AQ285" s="234"/>
      <c r="AR285" s="234"/>
      <c r="AS285" s="234"/>
      <c r="AT285" s="234"/>
      <c r="AU285" s="234"/>
      <c r="AV285" s="234"/>
      <c r="AW285" s="234"/>
      <c r="AX285" s="234"/>
      <c r="AY285" s="234"/>
    </row>
    <row r="286" spans="1:51" ht="24" customHeight="1" x14ac:dyDescent="0.25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  <c r="AB286" s="234"/>
      <c r="AC286" s="234"/>
      <c r="AD286" s="234"/>
      <c r="AE286" s="234"/>
      <c r="AF286" s="234"/>
      <c r="AG286" s="234"/>
      <c r="AH286" s="234"/>
      <c r="AI286" s="234"/>
      <c r="AJ286" s="234"/>
      <c r="AK286" s="234"/>
      <c r="AL286" s="234"/>
      <c r="AM286" s="234"/>
      <c r="AN286" s="234"/>
      <c r="AO286" s="234"/>
      <c r="AP286" s="234"/>
      <c r="AQ286" s="234"/>
      <c r="AR286" s="234"/>
      <c r="AS286" s="234"/>
      <c r="AT286" s="234"/>
      <c r="AU286" s="234"/>
      <c r="AV286" s="234"/>
      <c r="AW286" s="234"/>
      <c r="AX286" s="234"/>
      <c r="AY286" s="234"/>
    </row>
    <row r="287" spans="1:51" ht="24" customHeight="1" x14ac:dyDescent="0.25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  <c r="AB287" s="234"/>
      <c r="AC287" s="234"/>
      <c r="AD287" s="234"/>
      <c r="AE287" s="234"/>
      <c r="AF287" s="234"/>
      <c r="AG287" s="234"/>
      <c r="AH287" s="234"/>
      <c r="AI287" s="234"/>
      <c r="AJ287" s="234"/>
      <c r="AK287" s="234"/>
      <c r="AL287" s="234"/>
      <c r="AM287" s="234"/>
      <c r="AN287" s="234"/>
      <c r="AO287" s="234"/>
      <c r="AP287" s="234"/>
      <c r="AQ287" s="234"/>
      <c r="AR287" s="234"/>
      <c r="AS287" s="234"/>
      <c r="AT287" s="234"/>
      <c r="AU287" s="234"/>
      <c r="AV287" s="234"/>
      <c r="AW287" s="234"/>
      <c r="AX287" s="234"/>
      <c r="AY287" s="234"/>
    </row>
    <row r="288" spans="1:51" ht="24" customHeight="1" x14ac:dyDescent="0.25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  <c r="AB288" s="234"/>
      <c r="AC288" s="234"/>
      <c r="AD288" s="234"/>
      <c r="AE288" s="234"/>
      <c r="AF288" s="234"/>
      <c r="AG288" s="234"/>
      <c r="AH288" s="234"/>
      <c r="AI288" s="234"/>
      <c r="AJ288" s="234"/>
      <c r="AK288" s="234"/>
      <c r="AL288" s="234"/>
      <c r="AM288" s="234"/>
      <c r="AN288" s="234"/>
      <c r="AO288" s="234"/>
      <c r="AP288" s="234"/>
      <c r="AQ288" s="234"/>
      <c r="AR288" s="234"/>
      <c r="AS288" s="234"/>
      <c r="AT288" s="234"/>
      <c r="AU288" s="234"/>
      <c r="AV288" s="234"/>
      <c r="AW288" s="234"/>
      <c r="AX288" s="234"/>
      <c r="AY288" s="234"/>
    </row>
    <row r="289" spans="1:51" ht="24" customHeight="1" x14ac:dyDescent="0.25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  <c r="AB289" s="234"/>
      <c r="AC289" s="234"/>
      <c r="AD289" s="234"/>
      <c r="AE289" s="234"/>
      <c r="AF289" s="234"/>
      <c r="AG289" s="234"/>
      <c r="AH289" s="234"/>
      <c r="AI289" s="234"/>
      <c r="AJ289" s="234"/>
      <c r="AK289" s="234"/>
      <c r="AL289" s="234"/>
      <c r="AM289" s="234"/>
      <c r="AN289" s="234"/>
      <c r="AO289" s="234"/>
      <c r="AP289" s="234"/>
      <c r="AQ289" s="234"/>
      <c r="AR289" s="234"/>
      <c r="AS289" s="234"/>
      <c r="AT289" s="234"/>
      <c r="AU289" s="234"/>
      <c r="AV289" s="234"/>
      <c r="AW289" s="234"/>
      <c r="AX289" s="234"/>
      <c r="AY289" s="234"/>
    </row>
    <row r="290" spans="1:51" ht="24" customHeight="1" x14ac:dyDescent="0.25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  <c r="AB290" s="234"/>
      <c r="AC290" s="234"/>
      <c r="AD290" s="234"/>
      <c r="AE290" s="234"/>
      <c r="AF290" s="234"/>
      <c r="AG290" s="234"/>
      <c r="AH290" s="234"/>
      <c r="AI290" s="234"/>
      <c r="AJ290" s="234"/>
      <c r="AK290" s="234"/>
      <c r="AL290" s="234"/>
      <c r="AM290" s="234"/>
      <c r="AN290" s="234"/>
      <c r="AO290" s="234"/>
      <c r="AP290" s="234"/>
      <c r="AQ290" s="234"/>
      <c r="AR290" s="234"/>
      <c r="AS290" s="234"/>
      <c r="AT290" s="234"/>
      <c r="AU290" s="234"/>
      <c r="AV290" s="234"/>
      <c r="AW290" s="234"/>
      <c r="AX290" s="234"/>
      <c r="AY290" s="234"/>
    </row>
    <row r="291" spans="1:51" ht="24" customHeight="1" x14ac:dyDescent="0.25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  <c r="AB291" s="234"/>
      <c r="AC291" s="234"/>
      <c r="AD291" s="234"/>
      <c r="AE291" s="234"/>
      <c r="AF291" s="234"/>
      <c r="AG291" s="234"/>
      <c r="AH291" s="234"/>
      <c r="AI291" s="234"/>
      <c r="AJ291" s="234"/>
      <c r="AK291" s="234"/>
      <c r="AL291" s="234"/>
      <c r="AM291" s="234"/>
      <c r="AN291" s="234"/>
      <c r="AO291" s="234"/>
      <c r="AP291" s="234"/>
      <c r="AQ291" s="234"/>
      <c r="AR291" s="234"/>
      <c r="AS291" s="234"/>
      <c r="AT291" s="234"/>
      <c r="AU291" s="234"/>
      <c r="AV291" s="234"/>
      <c r="AW291" s="234"/>
      <c r="AX291" s="234"/>
      <c r="AY291" s="234"/>
    </row>
    <row r="292" spans="1:51" ht="24" customHeight="1" x14ac:dyDescent="0.25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  <c r="AB292" s="234"/>
      <c r="AC292" s="234"/>
      <c r="AD292" s="234"/>
      <c r="AE292" s="234"/>
      <c r="AF292" s="234"/>
      <c r="AG292" s="234"/>
      <c r="AH292" s="234"/>
      <c r="AI292" s="234"/>
      <c r="AJ292" s="234"/>
      <c r="AK292" s="234"/>
      <c r="AL292" s="234"/>
      <c r="AM292" s="234"/>
      <c r="AN292" s="234"/>
      <c r="AO292" s="234"/>
      <c r="AP292" s="234"/>
      <c r="AQ292" s="234"/>
      <c r="AR292" s="234"/>
      <c r="AS292" s="234"/>
      <c r="AT292" s="234"/>
      <c r="AU292" s="234"/>
      <c r="AV292" s="234"/>
      <c r="AW292" s="234"/>
      <c r="AX292" s="234"/>
      <c r="AY292" s="234"/>
    </row>
    <row r="293" spans="1:51" ht="24" customHeight="1" x14ac:dyDescent="0.25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  <c r="AB293" s="234"/>
      <c r="AC293" s="234"/>
      <c r="AD293" s="234"/>
      <c r="AE293" s="234"/>
      <c r="AF293" s="234"/>
      <c r="AG293" s="234"/>
      <c r="AH293" s="234"/>
      <c r="AI293" s="234"/>
      <c r="AJ293" s="234"/>
      <c r="AK293" s="234"/>
      <c r="AL293" s="234"/>
      <c r="AM293" s="234"/>
      <c r="AN293" s="234"/>
      <c r="AO293" s="234"/>
      <c r="AP293" s="234"/>
      <c r="AQ293" s="234"/>
      <c r="AR293" s="234"/>
      <c r="AS293" s="234"/>
      <c r="AT293" s="234"/>
      <c r="AU293" s="234"/>
      <c r="AV293" s="234"/>
      <c r="AW293" s="234"/>
      <c r="AX293" s="234"/>
      <c r="AY293" s="234"/>
    </row>
    <row r="294" spans="1:51" ht="24" customHeight="1" x14ac:dyDescent="0.25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  <c r="AB294" s="234"/>
      <c r="AC294" s="234"/>
      <c r="AD294" s="234"/>
      <c r="AE294" s="234"/>
      <c r="AF294" s="234"/>
      <c r="AG294" s="234"/>
      <c r="AH294" s="234"/>
      <c r="AI294" s="234"/>
      <c r="AJ294" s="234"/>
      <c r="AK294" s="234"/>
      <c r="AL294" s="234"/>
      <c r="AM294" s="234"/>
      <c r="AN294" s="234"/>
      <c r="AO294" s="234"/>
      <c r="AP294" s="234"/>
      <c r="AQ294" s="234"/>
      <c r="AR294" s="234"/>
      <c r="AS294" s="234"/>
      <c r="AT294" s="234"/>
      <c r="AU294" s="234"/>
      <c r="AV294" s="234"/>
      <c r="AW294" s="234"/>
      <c r="AX294" s="234"/>
      <c r="AY294" s="234"/>
    </row>
    <row r="295" spans="1:51" ht="24" customHeight="1" x14ac:dyDescent="0.2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  <c r="AB295" s="234"/>
      <c r="AC295" s="234"/>
      <c r="AD295" s="234"/>
      <c r="AE295" s="234"/>
      <c r="AF295" s="234"/>
      <c r="AG295" s="234"/>
      <c r="AH295" s="234"/>
      <c r="AI295" s="234"/>
      <c r="AJ295" s="234"/>
      <c r="AK295" s="234"/>
      <c r="AL295" s="234"/>
      <c r="AM295" s="234"/>
      <c r="AN295" s="234"/>
      <c r="AO295" s="234"/>
      <c r="AP295" s="234"/>
      <c r="AQ295" s="234"/>
      <c r="AR295" s="234"/>
      <c r="AS295" s="234"/>
      <c r="AT295" s="234"/>
      <c r="AU295" s="234"/>
      <c r="AV295" s="234"/>
      <c r="AW295" s="234"/>
      <c r="AX295" s="234"/>
      <c r="AY295" s="234"/>
    </row>
    <row r="296" spans="1:51" ht="24" customHeight="1" x14ac:dyDescent="0.25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  <c r="AB296" s="234"/>
      <c r="AC296" s="234"/>
      <c r="AD296" s="234"/>
      <c r="AE296" s="234"/>
      <c r="AF296" s="234"/>
      <c r="AG296" s="234"/>
      <c r="AH296" s="234"/>
      <c r="AI296" s="234"/>
      <c r="AJ296" s="234"/>
      <c r="AK296" s="234"/>
      <c r="AL296" s="234"/>
      <c r="AM296" s="234"/>
      <c r="AN296" s="234"/>
      <c r="AO296" s="234"/>
      <c r="AP296" s="234"/>
      <c r="AQ296" s="234"/>
      <c r="AR296" s="234"/>
      <c r="AS296" s="234"/>
      <c r="AT296" s="234"/>
      <c r="AU296" s="234"/>
      <c r="AV296" s="234"/>
      <c r="AW296" s="234"/>
      <c r="AX296" s="234"/>
      <c r="AY296" s="234"/>
    </row>
    <row r="297" spans="1:51" ht="24" customHeight="1" x14ac:dyDescent="0.25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  <c r="AB297" s="234"/>
      <c r="AC297" s="234"/>
      <c r="AD297" s="234"/>
      <c r="AE297" s="234"/>
      <c r="AF297" s="234"/>
      <c r="AG297" s="234"/>
      <c r="AH297" s="234"/>
      <c r="AI297" s="234"/>
      <c r="AJ297" s="234"/>
      <c r="AK297" s="234"/>
      <c r="AL297" s="234"/>
      <c r="AM297" s="234"/>
      <c r="AN297" s="234"/>
      <c r="AO297" s="234"/>
      <c r="AP297" s="234"/>
      <c r="AQ297" s="234"/>
      <c r="AR297" s="234"/>
      <c r="AS297" s="234"/>
      <c r="AT297" s="234"/>
      <c r="AU297" s="234"/>
      <c r="AV297" s="234"/>
      <c r="AW297" s="234"/>
      <c r="AX297" s="234"/>
      <c r="AY297" s="234"/>
    </row>
    <row r="298" spans="1:51" ht="24" customHeight="1" x14ac:dyDescent="0.25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  <c r="AB298" s="234"/>
      <c r="AC298" s="234"/>
      <c r="AD298" s="234"/>
      <c r="AE298" s="234"/>
      <c r="AF298" s="234"/>
      <c r="AG298" s="234"/>
      <c r="AH298" s="234"/>
      <c r="AI298" s="234"/>
      <c r="AJ298" s="234"/>
      <c r="AK298" s="234"/>
      <c r="AL298" s="234"/>
      <c r="AM298" s="234"/>
      <c r="AN298" s="234"/>
      <c r="AO298" s="234"/>
      <c r="AP298" s="234"/>
      <c r="AQ298" s="234"/>
      <c r="AR298" s="234"/>
      <c r="AS298" s="234"/>
      <c r="AT298" s="234"/>
      <c r="AU298" s="234"/>
      <c r="AV298" s="234"/>
      <c r="AW298" s="234"/>
      <c r="AX298" s="234"/>
      <c r="AY298" s="234"/>
    </row>
    <row r="299" spans="1:51" ht="24" customHeight="1" x14ac:dyDescent="0.25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  <c r="AB299" s="234"/>
      <c r="AC299" s="234"/>
      <c r="AD299" s="234"/>
      <c r="AE299" s="234"/>
      <c r="AF299" s="234"/>
      <c r="AG299" s="234"/>
      <c r="AH299" s="234"/>
      <c r="AI299" s="234"/>
      <c r="AJ299" s="234"/>
      <c r="AK299" s="234"/>
      <c r="AL299" s="234"/>
      <c r="AM299" s="234"/>
      <c r="AN299" s="234"/>
      <c r="AO299" s="234"/>
      <c r="AP299" s="234"/>
      <c r="AQ299" s="234"/>
      <c r="AR299" s="234"/>
      <c r="AS299" s="234"/>
      <c r="AT299" s="234"/>
      <c r="AU299" s="234"/>
      <c r="AV299" s="234"/>
      <c r="AW299" s="234"/>
      <c r="AX299" s="234"/>
      <c r="AY299" s="234"/>
    </row>
    <row r="300" spans="1:51" ht="24" customHeight="1" x14ac:dyDescent="0.25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  <c r="AB300" s="234"/>
      <c r="AC300" s="234"/>
      <c r="AD300" s="234"/>
      <c r="AE300" s="234"/>
      <c r="AF300" s="234"/>
      <c r="AG300" s="234"/>
      <c r="AH300" s="234"/>
      <c r="AI300" s="234"/>
      <c r="AJ300" s="234"/>
      <c r="AK300" s="234"/>
      <c r="AL300" s="234"/>
      <c r="AM300" s="234"/>
      <c r="AN300" s="234"/>
      <c r="AO300" s="234"/>
      <c r="AP300" s="234"/>
      <c r="AQ300" s="234"/>
      <c r="AR300" s="234"/>
      <c r="AS300" s="234"/>
      <c r="AT300" s="234"/>
      <c r="AU300" s="234"/>
      <c r="AV300" s="234"/>
      <c r="AW300" s="234"/>
      <c r="AX300" s="234"/>
      <c r="AY300" s="234"/>
    </row>
    <row r="301" spans="1:51" ht="24" customHeight="1" x14ac:dyDescent="0.25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  <c r="AB301" s="234"/>
      <c r="AC301" s="234"/>
      <c r="AD301" s="234"/>
      <c r="AE301" s="234"/>
      <c r="AF301" s="234"/>
      <c r="AG301" s="234"/>
      <c r="AH301" s="234"/>
      <c r="AI301" s="234"/>
      <c r="AJ301" s="234"/>
      <c r="AK301" s="234"/>
      <c r="AL301" s="234"/>
      <c r="AM301" s="234"/>
      <c r="AN301" s="234"/>
      <c r="AO301" s="234"/>
      <c r="AP301" s="234"/>
      <c r="AQ301" s="234"/>
      <c r="AR301" s="234"/>
      <c r="AS301" s="234"/>
      <c r="AT301" s="234"/>
      <c r="AU301" s="234"/>
      <c r="AV301" s="234"/>
      <c r="AW301" s="234"/>
      <c r="AX301" s="234"/>
      <c r="AY301" s="234"/>
    </row>
    <row r="302" spans="1:51" ht="24" customHeight="1" x14ac:dyDescent="0.25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  <c r="AB302" s="234"/>
      <c r="AC302" s="234"/>
      <c r="AD302" s="234"/>
      <c r="AE302" s="234"/>
      <c r="AF302" s="234"/>
      <c r="AG302" s="234"/>
      <c r="AH302" s="234"/>
      <c r="AI302" s="234"/>
      <c r="AJ302" s="234"/>
      <c r="AK302" s="234"/>
      <c r="AL302" s="234"/>
      <c r="AM302" s="234"/>
      <c r="AN302" s="234"/>
      <c r="AO302" s="234"/>
      <c r="AP302" s="234"/>
      <c r="AQ302" s="234"/>
      <c r="AR302" s="234"/>
      <c r="AS302" s="234"/>
      <c r="AT302" s="234"/>
      <c r="AU302" s="234"/>
      <c r="AV302" s="234"/>
      <c r="AW302" s="234"/>
      <c r="AX302" s="234"/>
      <c r="AY302" s="234"/>
    </row>
    <row r="303" spans="1:51" ht="24" customHeight="1" x14ac:dyDescent="0.25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  <c r="AB303" s="234"/>
      <c r="AC303" s="234"/>
      <c r="AD303" s="234"/>
      <c r="AE303" s="234"/>
      <c r="AF303" s="234"/>
      <c r="AG303" s="234"/>
      <c r="AH303" s="234"/>
      <c r="AI303" s="234"/>
      <c r="AJ303" s="234"/>
      <c r="AK303" s="234"/>
      <c r="AL303" s="234"/>
      <c r="AM303" s="234"/>
      <c r="AN303" s="234"/>
      <c r="AO303" s="234"/>
      <c r="AP303" s="234"/>
      <c r="AQ303" s="234"/>
      <c r="AR303" s="234"/>
      <c r="AS303" s="234"/>
      <c r="AT303" s="234"/>
      <c r="AU303" s="234"/>
      <c r="AV303" s="234"/>
      <c r="AW303" s="234"/>
      <c r="AX303" s="234"/>
      <c r="AY303" s="234"/>
    </row>
    <row r="304" spans="1:51" ht="24" customHeight="1" x14ac:dyDescent="0.25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  <c r="AB304" s="234"/>
      <c r="AC304" s="234"/>
      <c r="AD304" s="234"/>
      <c r="AE304" s="234"/>
      <c r="AF304" s="234"/>
      <c r="AG304" s="234"/>
      <c r="AH304" s="234"/>
      <c r="AI304" s="234"/>
      <c r="AJ304" s="234"/>
      <c r="AK304" s="234"/>
      <c r="AL304" s="234"/>
      <c r="AM304" s="234"/>
      <c r="AN304" s="234"/>
      <c r="AO304" s="234"/>
      <c r="AP304" s="234"/>
      <c r="AQ304" s="234"/>
      <c r="AR304" s="234"/>
      <c r="AS304" s="234"/>
      <c r="AT304" s="234"/>
      <c r="AU304" s="234"/>
      <c r="AV304" s="234"/>
      <c r="AW304" s="234"/>
      <c r="AX304" s="234"/>
      <c r="AY304" s="234"/>
    </row>
    <row r="305" spans="1:51" ht="24" customHeight="1" x14ac:dyDescent="0.2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  <c r="AB305" s="234"/>
      <c r="AC305" s="234"/>
      <c r="AD305" s="234"/>
      <c r="AE305" s="234"/>
      <c r="AF305" s="234"/>
      <c r="AG305" s="234"/>
      <c r="AH305" s="234"/>
      <c r="AI305" s="234"/>
      <c r="AJ305" s="234"/>
      <c r="AK305" s="234"/>
      <c r="AL305" s="234"/>
      <c r="AM305" s="234"/>
      <c r="AN305" s="234"/>
      <c r="AO305" s="234"/>
      <c r="AP305" s="234"/>
      <c r="AQ305" s="234"/>
      <c r="AR305" s="234"/>
      <c r="AS305" s="234"/>
      <c r="AT305" s="234"/>
      <c r="AU305" s="234"/>
      <c r="AV305" s="234"/>
      <c r="AW305" s="234"/>
      <c r="AX305" s="234"/>
      <c r="AY305" s="234"/>
    </row>
    <row r="306" spans="1:51" ht="24" customHeight="1" x14ac:dyDescent="0.25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  <c r="AB306" s="234"/>
      <c r="AC306" s="234"/>
      <c r="AD306" s="234"/>
      <c r="AE306" s="234"/>
      <c r="AF306" s="234"/>
      <c r="AG306" s="234"/>
      <c r="AH306" s="234"/>
      <c r="AI306" s="234"/>
      <c r="AJ306" s="234"/>
      <c r="AK306" s="234"/>
      <c r="AL306" s="234"/>
      <c r="AM306" s="234"/>
      <c r="AN306" s="234"/>
      <c r="AO306" s="234"/>
      <c r="AP306" s="234"/>
      <c r="AQ306" s="234"/>
      <c r="AR306" s="234"/>
      <c r="AS306" s="234"/>
      <c r="AT306" s="234"/>
      <c r="AU306" s="234"/>
      <c r="AV306" s="234"/>
      <c r="AW306" s="234"/>
      <c r="AX306" s="234"/>
      <c r="AY306" s="234"/>
    </row>
    <row r="307" spans="1:51" ht="24" customHeight="1" x14ac:dyDescent="0.25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  <c r="AB307" s="234"/>
      <c r="AC307" s="234"/>
      <c r="AD307" s="234"/>
      <c r="AE307" s="234"/>
      <c r="AF307" s="234"/>
      <c r="AG307" s="234"/>
      <c r="AH307" s="234"/>
      <c r="AI307" s="234"/>
      <c r="AJ307" s="234"/>
      <c r="AK307" s="234"/>
      <c r="AL307" s="234"/>
      <c r="AM307" s="234"/>
      <c r="AN307" s="234"/>
      <c r="AO307" s="234"/>
      <c r="AP307" s="234"/>
      <c r="AQ307" s="234"/>
      <c r="AR307" s="234"/>
      <c r="AS307" s="234"/>
      <c r="AT307" s="234"/>
      <c r="AU307" s="234"/>
      <c r="AV307" s="234"/>
      <c r="AW307" s="234"/>
      <c r="AX307" s="234"/>
      <c r="AY307" s="234"/>
    </row>
    <row r="308" spans="1:51" ht="24" customHeight="1" x14ac:dyDescent="0.25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  <c r="AB308" s="234"/>
      <c r="AC308" s="234"/>
      <c r="AD308" s="234"/>
      <c r="AE308" s="234"/>
      <c r="AF308" s="234"/>
      <c r="AG308" s="234"/>
      <c r="AH308" s="234"/>
      <c r="AI308" s="234"/>
      <c r="AJ308" s="234"/>
      <c r="AK308" s="234"/>
      <c r="AL308" s="234"/>
      <c r="AM308" s="234"/>
      <c r="AN308" s="234"/>
      <c r="AO308" s="234"/>
      <c r="AP308" s="234"/>
      <c r="AQ308" s="234"/>
      <c r="AR308" s="234"/>
      <c r="AS308" s="234"/>
      <c r="AT308" s="234"/>
      <c r="AU308" s="234"/>
      <c r="AV308" s="234"/>
      <c r="AW308" s="234"/>
      <c r="AX308" s="234"/>
      <c r="AY308" s="234"/>
    </row>
    <row r="309" spans="1:51" ht="24" customHeight="1" x14ac:dyDescent="0.25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  <c r="AB309" s="234"/>
      <c r="AC309" s="234"/>
      <c r="AD309" s="234"/>
      <c r="AE309" s="234"/>
      <c r="AF309" s="234"/>
      <c r="AG309" s="234"/>
      <c r="AH309" s="234"/>
      <c r="AI309" s="234"/>
      <c r="AJ309" s="234"/>
      <c r="AK309" s="234"/>
      <c r="AL309" s="234"/>
      <c r="AM309" s="234"/>
      <c r="AN309" s="234"/>
      <c r="AO309" s="234"/>
      <c r="AP309" s="234"/>
      <c r="AQ309" s="234"/>
      <c r="AR309" s="234"/>
      <c r="AS309" s="234"/>
      <c r="AT309" s="234"/>
      <c r="AU309" s="234"/>
      <c r="AV309" s="234"/>
      <c r="AW309" s="234"/>
      <c r="AX309" s="234"/>
      <c r="AY309" s="234"/>
    </row>
    <row r="310" spans="1:51" ht="24" customHeight="1" x14ac:dyDescent="0.25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  <c r="AB310" s="234"/>
      <c r="AC310" s="234"/>
      <c r="AD310" s="234"/>
      <c r="AE310" s="234"/>
      <c r="AF310" s="234"/>
      <c r="AG310" s="234"/>
      <c r="AH310" s="234"/>
      <c r="AI310" s="234"/>
      <c r="AJ310" s="234"/>
      <c r="AK310" s="234"/>
      <c r="AL310" s="234"/>
      <c r="AM310" s="234"/>
      <c r="AN310" s="234"/>
      <c r="AO310" s="234"/>
      <c r="AP310" s="234"/>
      <c r="AQ310" s="234"/>
      <c r="AR310" s="234"/>
      <c r="AS310" s="234"/>
      <c r="AT310" s="234"/>
      <c r="AU310" s="234"/>
      <c r="AV310" s="234"/>
      <c r="AW310" s="234"/>
      <c r="AX310" s="234"/>
      <c r="AY310" s="234"/>
    </row>
    <row r="311" spans="1:51" ht="24" customHeight="1" x14ac:dyDescent="0.25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  <c r="AB311" s="234"/>
      <c r="AC311" s="234"/>
      <c r="AD311" s="234"/>
      <c r="AE311" s="234"/>
      <c r="AF311" s="234"/>
      <c r="AG311" s="234"/>
      <c r="AH311" s="234"/>
      <c r="AI311" s="234"/>
      <c r="AJ311" s="234"/>
      <c r="AK311" s="234"/>
      <c r="AL311" s="234"/>
      <c r="AM311" s="234"/>
      <c r="AN311" s="234"/>
      <c r="AO311" s="234"/>
      <c r="AP311" s="234"/>
      <c r="AQ311" s="234"/>
      <c r="AR311" s="234"/>
      <c r="AS311" s="234"/>
      <c r="AT311" s="234"/>
      <c r="AU311" s="234"/>
      <c r="AV311" s="234"/>
      <c r="AW311" s="234"/>
      <c r="AX311" s="234"/>
      <c r="AY311" s="234"/>
    </row>
    <row r="312" spans="1:51" ht="24" customHeight="1" x14ac:dyDescent="0.25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  <c r="AB312" s="234"/>
      <c r="AC312" s="234"/>
      <c r="AD312" s="234"/>
      <c r="AE312" s="234"/>
      <c r="AF312" s="234"/>
      <c r="AG312" s="234"/>
      <c r="AH312" s="234"/>
      <c r="AI312" s="234"/>
      <c r="AJ312" s="234"/>
      <c r="AK312" s="234"/>
      <c r="AL312" s="234"/>
      <c r="AM312" s="234"/>
      <c r="AN312" s="234"/>
      <c r="AO312" s="234"/>
      <c r="AP312" s="234"/>
      <c r="AQ312" s="234"/>
      <c r="AR312" s="234"/>
      <c r="AS312" s="234"/>
      <c r="AT312" s="234"/>
      <c r="AU312" s="234"/>
      <c r="AV312" s="234"/>
      <c r="AW312" s="234"/>
      <c r="AX312" s="234"/>
      <c r="AY312" s="234"/>
    </row>
    <row r="313" spans="1:51" ht="24" customHeight="1" x14ac:dyDescent="0.25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  <c r="AB313" s="234"/>
      <c r="AC313" s="234"/>
      <c r="AD313" s="234"/>
      <c r="AE313" s="234"/>
      <c r="AF313" s="234"/>
      <c r="AG313" s="234"/>
      <c r="AH313" s="234"/>
      <c r="AI313" s="234"/>
      <c r="AJ313" s="234"/>
      <c r="AK313" s="234"/>
      <c r="AL313" s="234"/>
      <c r="AM313" s="234"/>
      <c r="AN313" s="234"/>
      <c r="AO313" s="234"/>
      <c r="AP313" s="234"/>
      <c r="AQ313" s="234"/>
      <c r="AR313" s="234"/>
      <c r="AS313" s="234"/>
      <c r="AT313" s="234"/>
      <c r="AU313" s="234"/>
      <c r="AV313" s="234"/>
      <c r="AW313" s="234"/>
      <c r="AX313" s="234"/>
      <c r="AY313" s="234"/>
    </row>
    <row r="314" spans="1:51" ht="24" customHeight="1" x14ac:dyDescent="0.25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  <c r="AB314" s="234"/>
      <c r="AC314" s="234"/>
      <c r="AD314" s="234"/>
      <c r="AE314" s="234"/>
      <c r="AF314" s="234"/>
      <c r="AG314" s="234"/>
      <c r="AH314" s="234"/>
      <c r="AI314" s="234"/>
      <c r="AJ314" s="234"/>
      <c r="AK314" s="234"/>
      <c r="AL314" s="234"/>
      <c r="AM314" s="234"/>
      <c r="AN314" s="234"/>
      <c r="AO314" s="234"/>
      <c r="AP314" s="234"/>
      <c r="AQ314" s="234"/>
      <c r="AR314" s="234"/>
      <c r="AS314" s="234"/>
      <c r="AT314" s="234"/>
      <c r="AU314" s="234"/>
      <c r="AV314" s="234"/>
      <c r="AW314" s="234"/>
      <c r="AX314" s="234"/>
      <c r="AY314" s="234"/>
    </row>
    <row r="315" spans="1:51" ht="24" customHeight="1" x14ac:dyDescent="0.2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  <c r="AB315" s="234"/>
      <c r="AC315" s="234"/>
      <c r="AD315" s="234"/>
      <c r="AE315" s="234"/>
      <c r="AF315" s="234"/>
      <c r="AG315" s="234"/>
      <c r="AH315" s="234"/>
      <c r="AI315" s="234"/>
      <c r="AJ315" s="234"/>
      <c r="AK315" s="234"/>
      <c r="AL315" s="234"/>
      <c r="AM315" s="234"/>
      <c r="AN315" s="234"/>
      <c r="AO315" s="234"/>
      <c r="AP315" s="234"/>
      <c r="AQ315" s="234"/>
      <c r="AR315" s="234"/>
      <c r="AS315" s="234"/>
      <c r="AT315" s="234"/>
      <c r="AU315" s="234"/>
      <c r="AV315" s="234"/>
      <c r="AW315" s="234"/>
      <c r="AX315" s="234"/>
      <c r="AY315" s="234"/>
    </row>
    <row r="316" spans="1:51" ht="24" customHeight="1" x14ac:dyDescent="0.25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  <c r="AB316" s="234"/>
      <c r="AC316" s="234"/>
      <c r="AD316" s="234"/>
      <c r="AE316" s="234"/>
      <c r="AF316" s="234"/>
      <c r="AG316" s="234"/>
      <c r="AH316" s="234"/>
      <c r="AI316" s="234"/>
      <c r="AJ316" s="234"/>
      <c r="AK316" s="234"/>
      <c r="AL316" s="234"/>
      <c r="AM316" s="234"/>
      <c r="AN316" s="234"/>
      <c r="AO316" s="234"/>
      <c r="AP316" s="234"/>
      <c r="AQ316" s="234"/>
      <c r="AR316" s="234"/>
      <c r="AS316" s="234"/>
      <c r="AT316" s="234"/>
      <c r="AU316" s="234"/>
      <c r="AV316" s="234"/>
      <c r="AW316" s="234"/>
      <c r="AX316" s="234"/>
      <c r="AY316" s="234"/>
    </row>
    <row r="317" spans="1:51" ht="24" customHeight="1" x14ac:dyDescent="0.25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  <c r="AB317" s="234"/>
      <c r="AC317" s="234"/>
      <c r="AD317" s="234"/>
      <c r="AE317" s="234"/>
      <c r="AF317" s="234"/>
      <c r="AG317" s="234"/>
      <c r="AH317" s="234"/>
      <c r="AI317" s="234"/>
      <c r="AJ317" s="234"/>
      <c r="AK317" s="234"/>
      <c r="AL317" s="234"/>
      <c r="AM317" s="234"/>
      <c r="AN317" s="234"/>
      <c r="AO317" s="234"/>
      <c r="AP317" s="234"/>
      <c r="AQ317" s="234"/>
      <c r="AR317" s="234"/>
      <c r="AS317" s="234"/>
      <c r="AT317" s="234"/>
      <c r="AU317" s="234"/>
      <c r="AV317" s="234"/>
      <c r="AW317" s="234"/>
      <c r="AX317" s="234"/>
      <c r="AY317" s="234"/>
    </row>
    <row r="318" spans="1:51" ht="24" customHeight="1" x14ac:dyDescent="0.25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  <c r="AB318" s="234"/>
      <c r="AC318" s="234"/>
      <c r="AD318" s="234"/>
      <c r="AE318" s="234"/>
      <c r="AF318" s="234"/>
      <c r="AG318" s="234"/>
      <c r="AH318" s="234"/>
      <c r="AI318" s="234"/>
      <c r="AJ318" s="234"/>
      <c r="AK318" s="234"/>
      <c r="AL318" s="234"/>
      <c r="AM318" s="234"/>
      <c r="AN318" s="234"/>
      <c r="AO318" s="234"/>
      <c r="AP318" s="234"/>
      <c r="AQ318" s="234"/>
      <c r="AR318" s="234"/>
      <c r="AS318" s="234"/>
      <c r="AT318" s="234"/>
      <c r="AU318" s="234"/>
      <c r="AV318" s="234"/>
      <c r="AW318" s="234"/>
      <c r="AX318" s="234"/>
      <c r="AY318" s="234"/>
    </row>
    <row r="319" spans="1:51" ht="24" customHeight="1" x14ac:dyDescent="0.25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  <c r="AB319" s="234"/>
      <c r="AC319" s="234"/>
      <c r="AD319" s="234"/>
      <c r="AE319" s="234"/>
      <c r="AF319" s="234"/>
      <c r="AG319" s="234"/>
      <c r="AH319" s="234"/>
      <c r="AI319" s="234"/>
      <c r="AJ319" s="234"/>
      <c r="AK319" s="234"/>
      <c r="AL319" s="234"/>
      <c r="AM319" s="234"/>
      <c r="AN319" s="234"/>
      <c r="AO319" s="234"/>
      <c r="AP319" s="234"/>
      <c r="AQ319" s="234"/>
      <c r="AR319" s="234"/>
      <c r="AS319" s="234"/>
      <c r="AT319" s="234"/>
      <c r="AU319" s="234"/>
      <c r="AV319" s="234"/>
      <c r="AW319" s="234"/>
      <c r="AX319" s="234"/>
      <c r="AY319" s="234"/>
    </row>
    <row r="320" spans="1:51" ht="24" customHeight="1" x14ac:dyDescent="0.25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  <c r="AB320" s="234"/>
      <c r="AC320" s="234"/>
      <c r="AD320" s="234"/>
      <c r="AE320" s="234"/>
      <c r="AF320" s="234"/>
      <c r="AG320" s="234"/>
      <c r="AH320" s="234"/>
      <c r="AI320" s="234"/>
      <c r="AJ320" s="234"/>
      <c r="AK320" s="234"/>
      <c r="AL320" s="234"/>
      <c r="AM320" s="234"/>
      <c r="AN320" s="234"/>
      <c r="AO320" s="234"/>
      <c r="AP320" s="234"/>
      <c r="AQ320" s="234"/>
      <c r="AR320" s="234"/>
      <c r="AS320" s="234"/>
      <c r="AT320" s="234"/>
      <c r="AU320" s="234"/>
      <c r="AV320" s="234"/>
      <c r="AW320" s="234"/>
      <c r="AX320" s="234"/>
      <c r="AY320" s="234"/>
    </row>
    <row r="321" spans="1:51" ht="24" customHeight="1" x14ac:dyDescent="0.25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  <c r="AB321" s="234"/>
      <c r="AC321" s="234"/>
      <c r="AD321" s="234"/>
      <c r="AE321" s="234"/>
      <c r="AF321" s="234"/>
      <c r="AG321" s="234"/>
      <c r="AH321" s="234"/>
      <c r="AI321" s="234"/>
      <c r="AJ321" s="234"/>
      <c r="AK321" s="234"/>
      <c r="AL321" s="234"/>
      <c r="AM321" s="234"/>
      <c r="AN321" s="234"/>
      <c r="AO321" s="234"/>
      <c r="AP321" s="234"/>
      <c r="AQ321" s="234"/>
      <c r="AR321" s="234"/>
      <c r="AS321" s="234"/>
      <c r="AT321" s="234"/>
      <c r="AU321" s="234"/>
      <c r="AV321" s="234"/>
      <c r="AW321" s="234"/>
      <c r="AX321" s="234"/>
      <c r="AY321" s="234"/>
    </row>
    <row r="322" spans="1:51" ht="24" customHeight="1" x14ac:dyDescent="0.25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  <c r="AB322" s="234"/>
      <c r="AC322" s="234"/>
      <c r="AD322" s="234"/>
      <c r="AE322" s="234"/>
      <c r="AF322" s="234"/>
      <c r="AG322" s="234"/>
      <c r="AH322" s="234"/>
      <c r="AI322" s="234"/>
      <c r="AJ322" s="234"/>
      <c r="AK322" s="234"/>
      <c r="AL322" s="234"/>
      <c r="AM322" s="234"/>
      <c r="AN322" s="234"/>
      <c r="AO322" s="234"/>
      <c r="AP322" s="234"/>
      <c r="AQ322" s="234"/>
      <c r="AR322" s="234"/>
      <c r="AS322" s="234"/>
      <c r="AT322" s="234"/>
      <c r="AU322" s="234"/>
      <c r="AV322" s="234"/>
      <c r="AW322" s="234"/>
      <c r="AX322" s="234"/>
      <c r="AY322" s="234"/>
    </row>
    <row r="323" spans="1:51" ht="24" customHeight="1" x14ac:dyDescent="0.25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  <c r="AB323" s="234"/>
      <c r="AC323" s="234"/>
      <c r="AD323" s="234"/>
      <c r="AE323" s="234"/>
      <c r="AF323" s="234"/>
      <c r="AG323" s="234"/>
      <c r="AH323" s="234"/>
      <c r="AI323" s="234"/>
      <c r="AJ323" s="234"/>
      <c r="AK323" s="234"/>
      <c r="AL323" s="234"/>
      <c r="AM323" s="234"/>
      <c r="AN323" s="234"/>
      <c r="AO323" s="234"/>
      <c r="AP323" s="234"/>
      <c r="AQ323" s="234"/>
      <c r="AR323" s="234"/>
      <c r="AS323" s="234"/>
      <c r="AT323" s="234"/>
      <c r="AU323" s="234"/>
      <c r="AV323" s="234"/>
      <c r="AW323" s="234"/>
      <c r="AX323" s="234"/>
      <c r="AY323" s="234"/>
    </row>
    <row r="324" spans="1:51" ht="24" customHeight="1" x14ac:dyDescent="0.25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  <c r="AB324" s="234"/>
      <c r="AC324" s="234"/>
      <c r="AD324" s="234"/>
      <c r="AE324" s="234"/>
      <c r="AF324" s="234"/>
      <c r="AG324" s="234"/>
      <c r="AH324" s="234"/>
      <c r="AI324" s="234"/>
      <c r="AJ324" s="234"/>
      <c r="AK324" s="234"/>
      <c r="AL324" s="234"/>
      <c r="AM324" s="234"/>
      <c r="AN324" s="234"/>
      <c r="AO324" s="234"/>
      <c r="AP324" s="234"/>
      <c r="AQ324" s="234"/>
      <c r="AR324" s="234"/>
      <c r="AS324" s="234"/>
      <c r="AT324" s="234"/>
      <c r="AU324" s="234"/>
      <c r="AV324" s="234"/>
      <c r="AW324" s="234"/>
      <c r="AX324" s="234"/>
      <c r="AY324" s="234"/>
    </row>
    <row r="325" spans="1:51" ht="24" customHeight="1" x14ac:dyDescent="0.2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  <c r="AB325" s="234"/>
      <c r="AC325" s="234"/>
      <c r="AD325" s="234"/>
      <c r="AE325" s="234"/>
      <c r="AF325" s="234"/>
      <c r="AG325" s="234"/>
      <c r="AH325" s="234"/>
      <c r="AI325" s="234"/>
      <c r="AJ325" s="234"/>
      <c r="AK325" s="234"/>
      <c r="AL325" s="234"/>
      <c r="AM325" s="234"/>
      <c r="AN325" s="234"/>
      <c r="AO325" s="234"/>
      <c r="AP325" s="234"/>
      <c r="AQ325" s="234"/>
      <c r="AR325" s="234"/>
      <c r="AS325" s="234"/>
      <c r="AT325" s="234"/>
      <c r="AU325" s="234"/>
      <c r="AV325" s="234"/>
      <c r="AW325" s="234"/>
      <c r="AX325" s="234"/>
      <c r="AY325" s="234"/>
    </row>
    <row r="326" spans="1:51" ht="24" customHeight="1" x14ac:dyDescent="0.25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  <c r="AB326" s="234"/>
      <c r="AC326" s="234"/>
      <c r="AD326" s="234"/>
      <c r="AE326" s="234"/>
      <c r="AF326" s="234"/>
      <c r="AG326" s="234"/>
      <c r="AH326" s="234"/>
      <c r="AI326" s="234"/>
      <c r="AJ326" s="234"/>
      <c r="AK326" s="234"/>
      <c r="AL326" s="234"/>
      <c r="AM326" s="234"/>
      <c r="AN326" s="234"/>
      <c r="AO326" s="234"/>
      <c r="AP326" s="234"/>
      <c r="AQ326" s="234"/>
      <c r="AR326" s="234"/>
      <c r="AS326" s="234"/>
      <c r="AT326" s="234"/>
      <c r="AU326" s="234"/>
      <c r="AV326" s="234"/>
      <c r="AW326" s="234"/>
      <c r="AX326" s="234"/>
      <c r="AY326" s="234"/>
    </row>
    <row r="327" spans="1:51" ht="24" customHeight="1" x14ac:dyDescent="0.25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  <c r="AB327" s="234"/>
      <c r="AC327" s="234"/>
      <c r="AD327" s="234"/>
      <c r="AE327" s="234"/>
      <c r="AF327" s="234"/>
      <c r="AG327" s="234"/>
      <c r="AH327" s="234"/>
      <c r="AI327" s="234"/>
      <c r="AJ327" s="234"/>
      <c r="AK327" s="234"/>
      <c r="AL327" s="234"/>
      <c r="AM327" s="234"/>
      <c r="AN327" s="234"/>
      <c r="AO327" s="234"/>
      <c r="AP327" s="234"/>
      <c r="AQ327" s="234"/>
      <c r="AR327" s="234"/>
      <c r="AS327" s="234"/>
      <c r="AT327" s="234"/>
      <c r="AU327" s="234"/>
      <c r="AV327" s="234"/>
      <c r="AW327" s="234"/>
      <c r="AX327" s="234"/>
      <c r="AY327" s="234"/>
    </row>
    <row r="328" spans="1:51" ht="24" customHeight="1" x14ac:dyDescent="0.25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  <c r="AB328" s="234"/>
      <c r="AC328" s="234"/>
      <c r="AD328" s="234"/>
      <c r="AE328" s="234"/>
      <c r="AF328" s="234"/>
      <c r="AG328" s="234"/>
      <c r="AH328" s="234"/>
      <c r="AI328" s="234"/>
      <c r="AJ328" s="234"/>
      <c r="AK328" s="234"/>
      <c r="AL328" s="234"/>
      <c r="AM328" s="234"/>
      <c r="AN328" s="234"/>
      <c r="AO328" s="234"/>
      <c r="AP328" s="234"/>
      <c r="AQ328" s="234"/>
      <c r="AR328" s="234"/>
      <c r="AS328" s="234"/>
      <c r="AT328" s="234"/>
      <c r="AU328" s="234"/>
      <c r="AV328" s="234"/>
      <c r="AW328" s="234"/>
      <c r="AX328" s="234"/>
      <c r="AY328" s="234"/>
    </row>
    <row r="329" spans="1:51" ht="24" customHeight="1" x14ac:dyDescent="0.25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  <c r="AB329" s="234"/>
      <c r="AC329" s="234"/>
      <c r="AD329" s="234"/>
      <c r="AE329" s="234"/>
      <c r="AF329" s="234"/>
      <c r="AG329" s="234"/>
      <c r="AH329" s="234"/>
      <c r="AI329" s="234"/>
      <c r="AJ329" s="234"/>
      <c r="AK329" s="234"/>
      <c r="AL329" s="234"/>
      <c r="AM329" s="234"/>
      <c r="AN329" s="234"/>
      <c r="AO329" s="234"/>
      <c r="AP329" s="234"/>
      <c r="AQ329" s="234"/>
      <c r="AR329" s="234"/>
      <c r="AS329" s="234"/>
      <c r="AT329" s="234"/>
      <c r="AU329" s="234"/>
      <c r="AV329" s="234"/>
      <c r="AW329" s="234"/>
      <c r="AX329" s="234"/>
      <c r="AY329" s="234"/>
    </row>
    <row r="330" spans="1:51" ht="24" customHeight="1" x14ac:dyDescent="0.25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  <c r="AB330" s="234"/>
      <c r="AC330" s="234"/>
      <c r="AD330" s="234"/>
      <c r="AE330" s="234"/>
      <c r="AF330" s="234"/>
      <c r="AG330" s="234"/>
      <c r="AH330" s="234"/>
      <c r="AI330" s="234"/>
      <c r="AJ330" s="234"/>
      <c r="AK330" s="234"/>
      <c r="AL330" s="234"/>
      <c r="AM330" s="234"/>
      <c r="AN330" s="234"/>
      <c r="AO330" s="234"/>
      <c r="AP330" s="234"/>
      <c r="AQ330" s="234"/>
      <c r="AR330" s="234"/>
      <c r="AS330" s="234"/>
      <c r="AT330" s="234"/>
      <c r="AU330" s="234"/>
      <c r="AV330" s="234"/>
      <c r="AW330" s="234"/>
      <c r="AX330" s="234"/>
      <c r="AY330" s="234"/>
    </row>
    <row r="331" spans="1:51" ht="24" customHeight="1" x14ac:dyDescent="0.25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  <c r="AB331" s="234"/>
      <c r="AC331" s="234"/>
      <c r="AD331" s="234"/>
      <c r="AE331" s="234"/>
      <c r="AF331" s="234"/>
      <c r="AG331" s="234"/>
      <c r="AH331" s="234"/>
      <c r="AI331" s="234"/>
      <c r="AJ331" s="234"/>
      <c r="AK331" s="234"/>
      <c r="AL331" s="234"/>
      <c r="AM331" s="234"/>
      <c r="AN331" s="234"/>
      <c r="AO331" s="234"/>
      <c r="AP331" s="234"/>
      <c r="AQ331" s="234"/>
      <c r="AR331" s="234"/>
      <c r="AS331" s="234"/>
      <c r="AT331" s="234"/>
      <c r="AU331" s="234"/>
      <c r="AV331" s="234"/>
      <c r="AW331" s="234"/>
      <c r="AX331" s="234"/>
      <c r="AY331" s="234"/>
    </row>
    <row r="332" spans="1:51" ht="24" customHeight="1" x14ac:dyDescent="0.25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  <c r="AB332" s="234"/>
      <c r="AC332" s="234"/>
      <c r="AD332" s="234"/>
      <c r="AE332" s="234"/>
      <c r="AF332" s="234"/>
      <c r="AG332" s="234"/>
      <c r="AH332" s="234"/>
      <c r="AI332" s="234"/>
      <c r="AJ332" s="234"/>
      <c r="AK332" s="234"/>
      <c r="AL332" s="234"/>
      <c r="AM332" s="234"/>
      <c r="AN332" s="234"/>
      <c r="AO332" s="234"/>
      <c r="AP332" s="234"/>
      <c r="AQ332" s="234"/>
      <c r="AR332" s="234"/>
      <c r="AS332" s="234"/>
      <c r="AT332" s="234"/>
      <c r="AU332" s="234"/>
      <c r="AV332" s="234"/>
      <c r="AW332" s="234"/>
      <c r="AX332" s="234"/>
      <c r="AY332" s="234"/>
    </row>
    <row r="333" spans="1:51" ht="24" customHeight="1" x14ac:dyDescent="0.25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  <c r="AB333" s="234"/>
      <c r="AC333" s="234"/>
      <c r="AD333" s="234"/>
      <c r="AE333" s="234"/>
      <c r="AF333" s="234"/>
      <c r="AG333" s="234"/>
      <c r="AH333" s="234"/>
      <c r="AI333" s="234"/>
      <c r="AJ333" s="234"/>
      <c r="AK333" s="234"/>
      <c r="AL333" s="234"/>
      <c r="AM333" s="234"/>
      <c r="AN333" s="234"/>
      <c r="AO333" s="234"/>
      <c r="AP333" s="234"/>
      <c r="AQ333" s="234"/>
      <c r="AR333" s="234"/>
      <c r="AS333" s="234"/>
      <c r="AT333" s="234"/>
      <c r="AU333" s="234"/>
      <c r="AV333" s="234"/>
      <c r="AW333" s="234"/>
      <c r="AX333" s="234"/>
      <c r="AY333" s="234"/>
    </row>
    <row r="334" spans="1:51" ht="24" customHeight="1" x14ac:dyDescent="0.25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  <c r="AB334" s="234"/>
      <c r="AC334" s="234"/>
      <c r="AD334" s="234"/>
      <c r="AE334" s="234"/>
      <c r="AF334" s="234"/>
      <c r="AG334" s="234"/>
      <c r="AH334" s="234"/>
      <c r="AI334" s="234"/>
      <c r="AJ334" s="234"/>
      <c r="AK334" s="234"/>
      <c r="AL334" s="234"/>
      <c r="AM334" s="234"/>
      <c r="AN334" s="234"/>
      <c r="AO334" s="234"/>
      <c r="AP334" s="234"/>
      <c r="AQ334" s="234"/>
      <c r="AR334" s="234"/>
      <c r="AS334" s="234"/>
      <c r="AT334" s="234"/>
      <c r="AU334" s="234"/>
      <c r="AV334" s="234"/>
      <c r="AW334" s="234"/>
      <c r="AX334" s="234"/>
      <c r="AY334" s="234"/>
    </row>
    <row r="335" spans="1:51" ht="24" customHeight="1" x14ac:dyDescent="0.2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  <c r="AB335" s="234"/>
      <c r="AC335" s="234"/>
      <c r="AD335" s="234"/>
      <c r="AE335" s="234"/>
      <c r="AF335" s="234"/>
      <c r="AG335" s="234"/>
      <c r="AH335" s="234"/>
      <c r="AI335" s="234"/>
      <c r="AJ335" s="234"/>
      <c r="AK335" s="234"/>
      <c r="AL335" s="234"/>
      <c r="AM335" s="234"/>
      <c r="AN335" s="234"/>
      <c r="AO335" s="234"/>
      <c r="AP335" s="234"/>
      <c r="AQ335" s="234"/>
      <c r="AR335" s="234"/>
      <c r="AS335" s="234"/>
      <c r="AT335" s="234"/>
      <c r="AU335" s="234"/>
      <c r="AV335" s="234"/>
      <c r="AW335" s="234"/>
      <c r="AX335" s="234"/>
      <c r="AY335" s="234"/>
    </row>
    <row r="336" spans="1:51" ht="24" customHeight="1" x14ac:dyDescent="0.25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  <c r="AB336" s="234"/>
      <c r="AC336" s="234"/>
      <c r="AD336" s="234"/>
      <c r="AE336" s="234"/>
      <c r="AF336" s="234"/>
      <c r="AG336" s="234"/>
      <c r="AH336" s="234"/>
      <c r="AI336" s="234"/>
      <c r="AJ336" s="234"/>
      <c r="AK336" s="234"/>
      <c r="AL336" s="234"/>
      <c r="AM336" s="234"/>
      <c r="AN336" s="234"/>
      <c r="AO336" s="234"/>
      <c r="AP336" s="234"/>
      <c r="AQ336" s="234"/>
      <c r="AR336" s="234"/>
      <c r="AS336" s="234"/>
      <c r="AT336" s="234"/>
      <c r="AU336" s="234"/>
      <c r="AV336" s="234"/>
      <c r="AW336" s="234"/>
      <c r="AX336" s="234"/>
      <c r="AY336" s="234"/>
    </row>
    <row r="337" spans="1:51" ht="24" customHeight="1" x14ac:dyDescent="0.25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  <c r="AB337" s="234"/>
      <c r="AC337" s="234"/>
      <c r="AD337" s="234"/>
      <c r="AE337" s="234"/>
      <c r="AF337" s="234"/>
      <c r="AG337" s="234"/>
      <c r="AH337" s="234"/>
      <c r="AI337" s="234"/>
      <c r="AJ337" s="234"/>
      <c r="AK337" s="234"/>
      <c r="AL337" s="234"/>
      <c r="AM337" s="234"/>
      <c r="AN337" s="234"/>
      <c r="AO337" s="234"/>
      <c r="AP337" s="234"/>
      <c r="AQ337" s="234"/>
      <c r="AR337" s="234"/>
      <c r="AS337" s="234"/>
      <c r="AT337" s="234"/>
      <c r="AU337" s="234"/>
      <c r="AV337" s="234"/>
      <c r="AW337" s="234"/>
      <c r="AX337" s="234"/>
      <c r="AY337" s="234"/>
    </row>
    <row r="338" spans="1:51" ht="24" customHeight="1" x14ac:dyDescent="0.25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  <c r="AB338" s="234"/>
      <c r="AC338" s="234"/>
      <c r="AD338" s="234"/>
      <c r="AE338" s="234"/>
      <c r="AF338" s="234"/>
      <c r="AG338" s="234"/>
      <c r="AH338" s="234"/>
      <c r="AI338" s="234"/>
      <c r="AJ338" s="234"/>
      <c r="AK338" s="234"/>
      <c r="AL338" s="234"/>
      <c r="AM338" s="234"/>
      <c r="AN338" s="234"/>
      <c r="AO338" s="234"/>
      <c r="AP338" s="234"/>
      <c r="AQ338" s="234"/>
      <c r="AR338" s="234"/>
      <c r="AS338" s="234"/>
      <c r="AT338" s="234"/>
      <c r="AU338" s="234"/>
      <c r="AV338" s="234"/>
      <c r="AW338" s="234"/>
      <c r="AX338" s="234"/>
      <c r="AY338" s="234"/>
    </row>
    <row r="339" spans="1:51" ht="24" customHeight="1" x14ac:dyDescent="0.25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  <c r="AB339" s="234"/>
      <c r="AC339" s="234"/>
      <c r="AD339" s="234"/>
      <c r="AE339" s="234"/>
      <c r="AF339" s="234"/>
      <c r="AG339" s="234"/>
      <c r="AH339" s="234"/>
      <c r="AI339" s="234"/>
      <c r="AJ339" s="234"/>
      <c r="AK339" s="234"/>
      <c r="AL339" s="234"/>
      <c r="AM339" s="234"/>
      <c r="AN339" s="234"/>
      <c r="AO339" s="234"/>
      <c r="AP339" s="234"/>
      <c r="AQ339" s="234"/>
      <c r="AR339" s="234"/>
      <c r="AS339" s="234"/>
      <c r="AT339" s="234"/>
      <c r="AU339" s="234"/>
      <c r="AV339" s="234"/>
      <c r="AW339" s="234"/>
      <c r="AX339" s="234"/>
      <c r="AY339" s="234"/>
    </row>
    <row r="340" spans="1:51" ht="24" customHeight="1" x14ac:dyDescent="0.25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  <c r="AB340" s="234"/>
      <c r="AC340" s="234"/>
      <c r="AD340" s="234"/>
      <c r="AE340" s="234"/>
      <c r="AF340" s="234"/>
      <c r="AG340" s="234"/>
      <c r="AH340" s="234"/>
      <c r="AI340" s="234"/>
      <c r="AJ340" s="234"/>
      <c r="AK340" s="234"/>
      <c r="AL340" s="234"/>
      <c r="AM340" s="234"/>
      <c r="AN340" s="234"/>
      <c r="AO340" s="234"/>
      <c r="AP340" s="234"/>
      <c r="AQ340" s="234"/>
      <c r="AR340" s="234"/>
      <c r="AS340" s="234"/>
      <c r="AT340" s="234"/>
      <c r="AU340" s="234"/>
      <c r="AV340" s="234"/>
      <c r="AW340" s="234"/>
      <c r="AX340" s="234"/>
      <c r="AY340" s="234"/>
    </row>
    <row r="341" spans="1:51" ht="24" customHeight="1" x14ac:dyDescent="0.25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  <c r="AB341" s="234"/>
      <c r="AC341" s="234"/>
      <c r="AD341" s="234"/>
      <c r="AE341" s="234"/>
      <c r="AF341" s="234"/>
      <c r="AG341" s="234"/>
      <c r="AH341" s="234"/>
      <c r="AI341" s="234"/>
      <c r="AJ341" s="234"/>
      <c r="AK341" s="234"/>
      <c r="AL341" s="234"/>
      <c r="AM341" s="234"/>
      <c r="AN341" s="234"/>
      <c r="AO341" s="234"/>
      <c r="AP341" s="234"/>
      <c r="AQ341" s="234"/>
      <c r="AR341" s="234"/>
      <c r="AS341" s="234"/>
      <c r="AT341" s="234"/>
      <c r="AU341" s="234"/>
      <c r="AV341" s="234"/>
      <c r="AW341" s="234"/>
      <c r="AX341" s="234"/>
      <c r="AY341" s="234"/>
    </row>
    <row r="342" spans="1:51" ht="24" customHeight="1" x14ac:dyDescent="0.25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  <c r="AB342" s="234"/>
      <c r="AC342" s="234"/>
      <c r="AD342" s="234"/>
      <c r="AE342" s="234"/>
      <c r="AF342" s="234"/>
      <c r="AG342" s="234"/>
      <c r="AH342" s="234"/>
      <c r="AI342" s="234"/>
      <c r="AJ342" s="234"/>
      <c r="AK342" s="234"/>
      <c r="AL342" s="234"/>
      <c r="AM342" s="234"/>
      <c r="AN342" s="234"/>
      <c r="AO342" s="234"/>
      <c r="AP342" s="234"/>
      <c r="AQ342" s="234"/>
      <c r="AR342" s="234"/>
      <c r="AS342" s="234"/>
      <c r="AT342" s="234"/>
      <c r="AU342" s="234"/>
      <c r="AV342" s="234"/>
      <c r="AW342" s="234"/>
      <c r="AX342" s="234"/>
      <c r="AY342" s="234"/>
    </row>
    <row r="343" spans="1:51" ht="24" customHeight="1" x14ac:dyDescent="0.25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  <c r="AB343" s="234"/>
      <c r="AC343" s="234"/>
      <c r="AD343" s="234"/>
      <c r="AE343" s="234"/>
      <c r="AF343" s="234"/>
      <c r="AG343" s="234"/>
      <c r="AH343" s="234"/>
      <c r="AI343" s="234"/>
      <c r="AJ343" s="234"/>
      <c r="AK343" s="234"/>
      <c r="AL343" s="234"/>
      <c r="AM343" s="234"/>
      <c r="AN343" s="234"/>
      <c r="AO343" s="234"/>
      <c r="AP343" s="234"/>
      <c r="AQ343" s="234"/>
      <c r="AR343" s="234"/>
      <c r="AS343" s="234"/>
      <c r="AT343" s="234"/>
      <c r="AU343" s="234"/>
      <c r="AV343" s="234"/>
      <c r="AW343" s="234"/>
      <c r="AX343" s="234"/>
      <c r="AY343" s="234"/>
    </row>
    <row r="344" spans="1:51" ht="24" customHeight="1" x14ac:dyDescent="0.25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  <c r="AB344" s="234"/>
      <c r="AC344" s="234"/>
      <c r="AD344" s="234"/>
      <c r="AE344" s="234"/>
      <c r="AF344" s="234"/>
      <c r="AG344" s="234"/>
      <c r="AH344" s="234"/>
      <c r="AI344" s="234"/>
      <c r="AJ344" s="234"/>
      <c r="AK344" s="234"/>
      <c r="AL344" s="234"/>
      <c r="AM344" s="234"/>
      <c r="AN344" s="234"/>
      <c r="AO344" s="234"/>
      <c r="AP344" s="234"/>
      <c r="AQ344" s="234"/>
      <c r="AR344" s="234"/>
      <c r="AS344" s="234"/>
      <c r="AT344" s="234"/>
      <c r="AU344" s="234"/>
      <c r="AV344" s="234"/>
      <c r="AW344" s="234"/>
      <c r="AX344" s="234"/>
      <c r="AY344" s="234"/>
    </row>
    <row r="345" spans="1:51" ht="24" customHeight="1" x14ac:dyDescent="0.2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  <c r="AB345" s="234"/>
      <c r="AC345" s="234"/>
      <c r="AD345" s="234"/>
      <c r="AE345" s="234"/>
      <c r="AF345" s="234"/>
      <c r="AG345" s="234"/>
      <c r="AH345" s="234"/>
      <c r="AI345" s="234"/>
      <c r="AJ345" s="234"/>
      <c r="AK345" s="234"/>
      <c r="AL345" s="234"/>
      <c r="AM345" s="234"/>
      <c r="AN345" s="234"/>
      <c r="AO345" s="234"/>
      <c r="AP345" s="234"/>
      <c r="AQ345" s="234"/>
      <c r="AR345" s="234"/>
      <c r="AS345" s="234"/>
      <c r="AT345" s="234"/>
      <c r="AU345" s="234"/>
      <c r="AV345" s="234"/>
      <c r="AW345" s="234"/>
      <c r="AX345" s="234"/>
      <c r="AY345" s="234"/>
    </row>
    <row r="346" spans="1:51" ht="24" customHeight="1" x14ac:dyDescent="0.25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  <c r="AB346" s="234"/>
      <c r="AC346" s="234"/>
      <c r="AD346" s="234"/>
      <c r="AE346" s="234"/>
      <c r="AF346" s="234"/>
      <c r="AG346" s="234"/>
      <c r="AH346" s="234"/>
      <c r="AI346" s="234"/>
      <c r="AJ346" s="234"/>
      <c r="AK346" s="234"/>
      <c r="AL346" s="234"/>
      <c r="AM346" s="234"/>
      <c r="AN346" s="234"/>
      <c r="AO346" s="234"/>
      <c r="AP346" s="234"/>
      <c r="AQ346" s="234"/>
      <c r="AR346" s="234"/>
      <c r="AS346" s="234"/>
      <c r="AT346" s="234"/>
      <c r="AU346" s="234"/>
      <c r="AV346" s="234"/>
      <c r="AW346" s="234"/>
      <c r="AX346" s="234"/>
      <c r="AY346" s="234"/>
    </row>
    <row r="347" spans="1:51" ht="24" customHeight="1" x14ac:dyDescent="0.25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234"/>
      <c r="AC347" s="234"/>
      <c r="AD347" s="234"/>
      <c r="AE347" s="234"/>
      <c r="AF347" s="234"/>
      <c r="AG347" s="234"/>
      <c r="AH347" s="234"/>
      <c r="AI347" s="234"/>
      <c r="AJ347" s="234"/>
      <c r="AK347" s="234"/>
      <c r="AL347" s="234"/>
      <c r="AM347" s="234"/>
      <c r="AN347" s="234"/>
      <c r="AO347" s="234"/>
      <c r="AP347" s="234"/>
      <c r="AQ347" s="234"/>
      <c r="AR347" s="234"/>
      <c r="AS347" s="234"/>
      <c r="AT347" s="234"/>
      <c r="AU347" s="234"/>
      <c r="AV347" s="234"/>
      <c r="AW347" s="234"/>
      <c r="AX347" s="234"/>
      <c r="AY347" s="234"/>
    </row>
    <row r="348" spans="1:51" ht="24" customHeight="1" x14ac:dyDescent="0.25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  <c r="AB348" s="234"/>
      <c r="AC348" s="234"/>
      <c r="AD348" s="234"/>
      <c r="AE348" s="234"/>
      <c r="AF348" s="234"/>
      <c r="AG348" s="234"/>
      <c r="AH348" s="234"/>
      <c r="AI348" s="234"/>
      <c r="AJ348" s="234"/>
      <c r="AK348" s="234"/>
      <c r="AL348" s="234"/>
      <c r="AM348" s="234"/>
      <c r="AN348" s="234"/>
      <c r="AO348" s="234"/>
      <c r="AP348" s="234"/>
      <c r="AQ348" s="234"/>
      <c r="AR348" s="234"/>
      <c r="AS348" s="234"/>
      <c r="AT348" s="234"/>
      <c r="AU348" s="234"/>
      <c r="AV348" s="234"/>
      <c r="AW348" s="234"/>
      <c r="AX348" s="234"/>
      <c r="AY348" s="234"/>
    </row>
    <row r="349" spans="1:51" ht="24" customHeight="1" x14ac:dyDescent="0.25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  <c r="AB349" s="234"/>
      <c r="AC349" s="234"/>
      <c r="AD349" s="234"/>
      <c r="AE349" s="234"/>
      <c r="AF349" s="234"/>
      <c r="AG349" s="234"/>
      <c r="AH349" s="234"/>
      <c r="AI349" s="234"/>
      <c r="AJ349" s="234"/>
      <c r="AK349" s="234"/>
      <c r="AL349" s="234"/>
      <c r="AM349" s="234"/>
      <c r="AN349" s="234"/>
      <c r="AO349" s="234"/>
      <c r="AP349" s="234"/>
      <c r="AQ349" s="234"/>
      <c r="AR349" s="234"/>
      <c r="AS349" s="234"/>
      <c r="AT349" s="234"/>
      <c r="AU349" s="234"/>
      <c r="AV349" s="234"/>
      <c r="AW349" s="234"/>
      <c r="AX349" s="234"/>
      <c r="AY349" s="234"/>
    </row>
    <row r="350" spans="1:51" ht="24" customHeight="1" x14ac:dyDescent="0.25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  <c r="AB350" s="234"/>
      <c r="AC350" s="234"/>
      <c r="AD350" s="234"/>
      <c r="AE350" s="234"/>
      <c r="AF350" s="234"/>
      <c r="AG350" s="234"/>
      <c r="AH350" s="234"/>
      <c r="AI350" s="234"/>
      <c r="AJ350" s="234"/>
      <c r="AK350" s="234"/>
      <c r="AL350" s="234"/>
      <c r="AM350" s="234"/>
      <c r="AN350" s="234"/>
      <c r="AO350" s="234"/>
      <c r="AP350" s="234"/>
      <c r="AQ350" s="234"/>
      <c r="AR350" s="234"/>
      <c r="AS350" s="234"/>
      <c r="AT350" s="234"/>
      <c r="AU350" s="234"/>
      <c r="AV350" s="234"/>
      <c r="AW350" s="234"/>
      <c r="AX350" s="234"/>
      <c r="AY350" s="234"/>
    </row>
    <row r="351" spans="1:51" ht="24" customHeight="1" x14ac:dyDescent="0.25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  <c r="AB351" s="234"/>
      <c r="AC351" s="234"/>
      <c r="AD351" s="234"/>
      <c r="AE351" s="234"/>
      <c r="AF351" s="234"/>
      <c r="AG351" s="234"/>
      <c r="AH351" s="234"/>
      <c r="AI351" s="234"/>
      <c r="AJ351" s="234"/>
      <c r="AK351" s="234"/>
      <c r="AL351" s="234"/>
      <c r="AM351" s="234"/>
      <c r="AN351" s="234"/>
      <c r="AO351" s="234"/>
      <c r="AP351" s="234"/>
      <c r="AQ351" s="234"/>
      <c r="AR351" s="234"/>
      <c r="AS351" s="234"/>
      <c r="AT351" s="234"/>
      <c r="AU351" s="234"/>
      <c r="AV351" s="234"/>
      <c r="AW351" s="234"/>
      <c r="AX351" s="234"/>
      <c r="AY351" s="234"/>
    </row>
    <row r="352" spans="1:51" ht="24" customHeight="1" x14ac:dyDescent="0.25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  <c r="AB352" s="234"/>
      <c r="AC352" s="234"/>
      <c r="AD352" s="234"/>
      <c r="AE352" s="234"/>
      <c r="AF352" s="234"/>
      <c r="AG352" s="234"/>
      <c r="AH352" s="234"/>
      <c r="AI352" s="234"/>
      <c r="AJ352" s="234"/>
      <c r="AK352" s="234"/>
      <c r="AL352" s="234"/>
      <c r="AM352" s="234"/>
      <c r="AN352" s="234"/>
      <c r="AO352" s="234"/>
      <c r="AP352" s="234"/>
      <c r="AQ352" s="234"/>
      <c r="AR352" s="234"/>
      <c r="AS352" s="234"/>
      <c r="AT352" s="234"/>
      <c r="AU352" s="234"/>
      <c r="AV352" s="234"/>
      <c r="AW352" s="234"/>
      <c r="AX352" s="234"/>
      <c r="AY352" s="234"/>
    </row>
    <row r="353" spans="1:51" ht="24" customHeight="1" x14ac:dyDescent="0.25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  <c r="AB353" s="234"/>
      <c r="AC353" s="234"/>
      <c r="AD353" s="234"/>
      <c r="AE353" s="234"/>
      <c r="AF353" s="234"/>
      <c r="AG353" s="234"/>
      <c r="AH353" s="234"/>
      <c r="AI353" s="234"/>
      <c r="AJ353" s="234"/>
      <c r="AK353" s="234"/>
      <c r="AL353" s="234"/>
      <c r="AM353" s="234"/>
      <c r="AN353" s="234"/>
      <c r="AO353" s="234"/>
      <c r="AP353" s="234"/>
      <c r="AQ353" s="234"/>
      <c r="AR353" s="234"/>
      <c r="AS353" s="234"/>
      <c r="AT353" s="234"/>
      <c r="AU353" s="234"/>
      <c r="AV353" s="234"/>
      <c r="AW353" s="234"/>
      <c r="AX353" s="234"/>
      <c r="AY353" s="234"/>
    </row>
    <row r="354" spans="1:51" ht="24" customHeight="1" x14ac:dyDescent="0.25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  <c r="AB354" s="234"/>
      <c r="AC354" s="234"/>
      <c r="AD354" s="234"/>
      <c r="AE354" s="234"/>
      <c r="AF354" s="234"/>
      <c r="AG354" s="234"/>
      <c r="AH354" s="234"/>
      <c r="AI354" s="234"/>
      <c r="AJ354" s="234"/>
      <c r="AK354" s="234"/>
      <c r="AL354" s="234"/>
      <c r="AM354" s="234"/>
      <c r="AN354" s="234"/>
      <c r="AO354" s="234"/>
      <c r="AP354" s="234"/>
      <c r="AQ354" s="234"/>
      <c r="AR354" s="234"/>
      <c r="AS354" s="234"/>
      <c r="AT354" s="234"/>
      <c r="AU354" s="234"/>
      <c r="AV354" s="234"/>
      <c r="AW354" s="234"/>
      <c r="AX354" s="234"/>
      <c r="AY354" s="234"/>
    </row>
    <row r="355" spans="1:51" ht="24" customHeight="1" x14ac:dyDescent="0.2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  <c r="AB355" s="234"/>
      <c r="AC355" s="234"/>
      <c r="AD355" s="234"/>
      <c r="AE355" s="234"/>
      <c r="AF355" s="234"/>
      <c r="AG355" s="234"/>
      <c r="AH355" s="234"/>
      <c r="AI355" s="234"/>
      <c r="AJ355" s="234"/>
      <c r="AK355" s="234"/>
      <c r="AL355" s="234"/>
      <c r="AM355" s="234"/>
      <c r="AN355" s="234"/>
      <c r="AO355" s="234"/>
      <c r="AP355" s="234"/>
      <c r="AQ355" s="234"/>
      <c r="AR355" s="234"/>
      <c r="AS355" s="234"/>
      <c r="AT355" s="234"/>
      <c r="AU355" s="234"/>
      <c r="AV355" s="234"/>
      <c r="AW355" s="234"/>
      <c r="AX355" s="234"/>
      <c r="AY355" s="234"/>
    </row>
    <row r="356" spans="1:51" ht="24" customHeight="1" x14ac:dyDescent="0.25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  <c r="AB356" s="234"/>
      <c r="AC356" s="234"/>
      <c r="AD356" s="234"/>
      <c r="AE356" s="234"/>
      <c r="AF356" s="234"/>
      <c r="AG356" s="234"/>
      <c r="AH356" s="234"/>
      <c r="AI356" s="234"/>
      <c r="AJ356" s="234"/>
      <c r="AK356" s="234"/>
      <c r="AL356" s="234"/>
      <c r="AM356" s="234"/>
      <c r="AN356" s="234"/>
      <c r="AO356" s="234"/>
      <c r="AP356" s="234"/>
      <c r="AQ356" s="234"/>
      <c r="AR356" s="234"/>
      <c r="AS356" s="234"/>
      <c r="AT356" s="234"/>
      <c r="AU356" s="234"/>
      <c r="AV356" s="234"/>
      <c r="AW356" s="234"/>
      <c r="AX356" s="234"/>
      <c r="AY356" s="234"/>
    </row>
    <row r="357" spans="1:51" ht="24" customHeight="1" x14ac:dyDescent="0.25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  <c r="AB357" s="234"/>
      <c r="AC357" s="234"/>
      <c r="AD357" s="234"/>
      <c r="AE357" s="234"/>
      <c r="AF357" s="234"/>
      <c r="AG357" s="234"/>
      <c r="AH357" s="234"/>
      <c r="AI357" s="234"/>
      <c r="AJ357" s="234"/>
      <c r="AK357" s="234"/>
      <c r="AL357" s="234"/>
      <c r="AM357" s="234"/>
      <c r="AN357" s="234"/>
      <c r="AO357" s="234"/>
      <c r="AP357" s="234"/>
      <c r="AQ357" s="234"/>
      <c r="AR357" s="234"/>
      <c r="AS357" s="234"/>
      <c r="AT357" s="234"/>
      <c r="AU357" s="234"/>
      <c r="AV357" s="234"/>
      <c r="AW357" s="234"/>
      <c r="AX357" s="234"/>
      <c r="AY357" s="234"/>
    </row>
    <row r="358" spans="1:51" ht="24" customHeight="1" x14ac:dyDescent="0.25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  <c r="AB358" s="234"/>
      <c r="AC358" s="234"/>
      <c r="AD358" s="234"/>
      <c r="AE358" s="234"/>
      <c r="AF358" s="234"/>
      <c r="AG358" s="234"/>
      <c r="AH358" s="234"/>
      <c r="AI358" s="234"/>
      <c r="AJ358" s="234"/>
      <c r="AK358" s="234"/>
      <c r="AL358" s="234"/>
      <c r="AM358" s="234"/>
      <c r="AN358" s="234"/>
      <c r="AO358" s="234"/>
      <c r="AP358" s="234"/>
      <c r="AQ358" s="234"/>
      <c r="AR358" s="234"/>
      <c r="AS358" s="234"/>
      <c r="AT358" s="234"/>
      <c r="AU358" s="234"/>
      <c r="AV358" s="234"/>
      <c r="AW358" s="234"/>
      <c r="AX358" s="234"/>
      <c r="AY358" s="234"/>
    </row>
    <row r="359" spans="1:51" ht="24" customHeight="1" x14ac:dyDescent="0.25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  <c r="AB359" s="234"/>
      <c r="AC359" s="234"/>
      <c r="AD359" s="234"/>
      <c r="AE359" s="234"/>
      <c r="AF359" s="234"/>
      <c r="AG359" s="234"/>
      <c r="AH359" s="234"/>
      <c r="AI359" s="234"/>
      <c r="AJ359" s="234"/>
      <c r="AK359" s="234"/>
      <c r="AL359" s="234"/>
      <c r="AM359" s="234"/>
      <c r="AN359" s="234"/>
      <c r="AO359" s="234"/>
      <c r="AP359" s="234"/>
      <c r="AQ359" s="234"/>
      <c r="AR359" s="234"/>
      <c r="AS359" s="234"/>
      <c r="AT359" s="234"/>
      <c r="AU359" s="234"/>
      <c r="AV359" s="234"/>
      <c r="AW359" s="234"/>
      <c r="AX359" s="234"/>
      <c r="AY359" s="234"/>
    </row>
    <row r="360" spans="1:51" ht="24" customHeight="1" x14ac:dyDescent="0.25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  <c r="AB360" s="234"/>
      <c r="AC360" s="234"/>
      <c r="AD360" s="234"/>
      <c r="AE360" s="234"/>
      <c r="AF360" s="234"/>
      <c r="AG360" s="234"/>
      <c r="AH360" s="234"/>
      <c r="AI360" s="234"/>
      <c r="AJ360" s="234"/>
      <c r="AK360" s="234"/>
      <c r="AL360" s="234"/>
      <c r="AM360" s="234"/>
      <c r="AN360" s="234"/>
      <c r="AO360" s="234"/>
      <c r="AP360" s="234"/>
      <c r="AQ360" s="234"/>
      <c r="AR360" s="234"/>
      <c r="AS360" s="234"/>
      <c r="AT360" s="234"/>
      <c r="AU360" s="234"/>
      <c r="AV360" s="234"/>
      <c r="AW360" s="234"/>
      <c r="AX360" s="234"/>
      <c r="AY360" s="234"/>
    </row>
    <row r="361" spans="1:51" ht="24" customHeight="1" x14ac:dyDescent="0.25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  <c r="AB361" s="234"/>
      <c r="AC361" s="234"/>
      <c r="AD361" s="234"/>
      <c r="AE361" s="234"/>
      <c r="AF361" s="234"/>
      <c r="AG361" s="234"/>
      <c r="AH361" s="234"/>
      <c r="AI361" s="234"/>
      <c r="AJ361" s="234"/>
      <c r="AK361" s="234"/>
      <c r="AL361" s="234"/>
      <c r="AM361" s="234"/>
      <c r="AN361" s="234"/>
      <c r="AO361" s="234"/>
      <c r="AP361" s="234"/>
      <c r="AQ361" s="234"/>
      <c r="AR361" s="234"/>
      <c r="AS361" s="234"/>
      <c r="AT361" s="234"/>
      <c r="AU361" s="234"/>
      <c r="AV361" s="234"/>
      <c r="AW361" s="234"/>
      <c r="AX361" s="234"/>
      <c r="AY361" s="234"/>
    </row>
    <row r="362" spans="1:51" ht="24" customHeight="1" x14ac:dyDescent="0.25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  <c r="AB362" s="234"/>
      <c r="AC362" s="234"/>
      <c r="AD362" s="234"/>
      <c r="AE362" s="234"/>
      <c r="AF362" s="234"/>
      <c r="AG362" s="234"/>
      <c r="AH362" s="234"/>
      <c r="AI362" s="234"/>
      <c r="AJ362" s="234"/>
      <c r="AK362" s="234"/>
      <c r="AL362" s="234"/>
      <c r="AM362" s="234"/>
      <c r="AN362" s="234"/>
      <c r="AO362" s="234"/>
      <c r="AP362" s="234"/>
      <c r="AQ362" s="234"/>
      <c r="AR362" s="234"/>
      <c r="AS362" s="234"/>
      <c r="AT362" s="234"/>
      <c r="AU362" s="234"/>
      <c r="AV362" s="234"/>
      <c r="AW362" s="234"/>
      <c r="AX362" s="234"/>
      <c r="AY362" s="234"/>
    </row>
    <row r="363" spans="1:51" ht="24" customHeight="1" x14ac:dyDescent="0.25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  <c r="AB363" s="234"/>
      <c r="AC363" s="234"/>
      <c r="AD363" s="234"/>
      <c r="AE363" s="234"/>
      <c r="AF363" s="234"/>
      <c r="AG363" s="234"/>
      <c r="AH363" s="234"/>
      <c r="AI363" s="234"/>
      <c r="AJ363" s="234"/>
      <c r="AK363" s="234"/>
      <c r="AL363" s="234"/>
      <c r="AM363" s="234"/>
      <c r="AN363" s="234"/>
      <c r="AO363" s="234"/>
      <c r="AP363" s="234"/>
      <c r="AQ363" s="234"/>
      <c r="AR363" s="234"/>
      <c r="AS363" s="234"/>
      <c r="AT363" s="234"/>
      <c r="AU363" s="234"/>
      <c r="AV363" s="234"/>
      <c r="AW363" s="234"/>
      <c r="AX363" s="234"/>
      <c r="AY363" s="234"/>
    </row>
    <row r="364" spans="1:51" ht="24" customHeight="1" x14ac:dyDescent="0.25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  <c r="AB364" s="234"/>
      <c r="AC364" s="234"/>
      <c r="AD364" s="234"/>
      <c r="AE364" s="234"/>
      <c r="AF364" s="234"/>
      <c r="AG364" s="234"/>
      <c r="AH364" s="234"/>
      <c r="AI364" s="234"/>
      <c r="AJ364" s="234"/>
      <c r="AK364" s="234"/>
      <c r="AL364" s="234"/>
      <c r="AM364" s="234"/>
      <c r="AN364" s="234"/>
      <c r="AO364" s="234"/>
      <c r="AP364" s="234"/>
      <c r="AQ364" s="234"/>
      <c r="AR364" s="234"/>
      <c r="AS364" s="234"/>
      <c r="AT364" s="234"/>
      <c r="AU364" s="234"/>
      <c r="AV364" s="234"/>
      <c r="AW364" s="234"/>
      <c r="AX364" s="234"/>
      <c r="AY364" s="234"/>
    </row>
    <row r="365" spans="1:51" ht="24" customHeight="1" x14ac:dyDescent="0.2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  <c r="AB365" s="234"/>
      <c r="AC365" s="234"/>
      <c r="AD365" s="234"/>
      <c r="AE365" s="234"/>
      <c r="AF365" s="234"/>
      <c r="AG365" s="234"/>
      <c r="AH365" s="234"/>
      <c r="AI365" s="234"/>
      <c r="AJ365" s="234"/>
      <c r="AK365" s="234"/>
      <c r="AL365" s="234"/>
      <c r="AM365" s="234"/>
      <c r="AN365" s="234"/>
      <c r="AO365" s="234"/>
      <c r="AP365" s="234"/>
      <c r="AQ365" s="234"/>
      <c r="AR365" s="234"/>
      <c r="AS365" s="234"/>
      <c r="AT365" s="234"/>
      <c r="AU365" s="234"/>
      <c r="AV365" s="234"/>
      <c r="AW365" s="234"/>
      <c r="AX365" s="234"/>
      <c r="AY365" s="234"/>
    </row>
    <row r="366" spans="1:51" ht="24" customHeight="1" x14ac:dyDescent="0.25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  <c r="AB366" s="234"/>
      <c r="AC366" s="234"/>
      <c r="AD366" s="234"/>
      <c r="AE366" s="234"/>
      <c r="AF366" s="234"/>
      <c r="AG366" s="234"/>
      <c r="AH366" s="234"/>
      <c r="AI366" s="234"/>
      <c r="AJ366" s="234"/>
      <c r="AK366" s="234"/>
      <c r="AL366" s="234"/>
      <c r="AM366" s="234"/>
      <c r="AN366" s="234"/>
      <c r="AO366" s="234"/>
      <c r="AP366" s="234"/>
      <c r="AQ366" s="234"/>
      <c r="AR366" s="234"/>
      <c r="AS366" s="234"/>
      <c r="AT366" s="234"/>
      <c r="AU366" s="234"/>
      <c r="AV366" s="234"/>
      <c r="AW366" s="234"/>
      <c r="AX366" s="234"/>
      <c r="AY366" s="234"/>
    </row>
    <row r="367" spans="1:51" ht="24" customHeight="1" x14ac:dyDescent="0.25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  <c r="AB367" s="234"/>
      <c r="AC367" s="234"/>
      <c r="AD367" s="234"/>
      <c r="AE367" s="234"/>
      <c r="AF367" s="234"/>
      <c r="AG367" s="234"/>
      <c r="AH367" s="234"/>
      <c r="AI367" s="234"/>
      <c r="AJ367" s="234"/>
      <c r="AK367" s="234"/>
      <c r="AL367" s="234"/>
      <c r="AM367" s="234"/>
      <c r="AN367" s="234"/>
      <c r="AO367" s="234"/>
      <c r="AP367" s="234"/>
      <c r="AQ367" s="234"/>
      <c r="AR367" s="234"/>
      <c r="AS367" s="234"/>
      <c r="AT367" s="234"/>
      <c r="AU367" s="234"/>
      <c r="AV367" s="234"/>
      <c r="AW367" s="234"/>
      <c r="AX367" s="234"/>
      <c r="AY367" s="234"/>
    </row>
    <row r="368" spans="1:51" ht="24" customHeight="1" x14ac:dyDescent="0.25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  <c r="AB368" s="234"/>
      <c r="AC368" s="234"/>
      <c r="AD368" s="234"/>
      <c r="AE368" s="234"/>
      <c r="AF368" s="234"/>
      <c r="AG368" s="234"/>
      <c r="AH368" s="234"/>
      <c r="AI368" s="234"/>
      <c r="AJ368" s="234"/>
      <c r="AK368" s="234"/>
      <c r="AL368" s="234"/>
      <c r="AM368" s="234"/>
      <c r="AN368" s="234"/>
      <c r="AO368" s="234"/>
      <c r="AP368" s="234"/>
      <c r="AQ368" s="234"/>
      <c r="AR368" s="234"/>
      <c r="AS368" s="234"/>
      <c r="AT368" s="234"/>
      <c r="AU368" s="234"/>
      <c r="AV368" s="234"/>
      <c r="AW368" s="234"/>
      <c r="AX368" s="234"/>
      <c r="AY368" s="234"/>
    </row>
    <row r="369" spans="1:51" ht="24" customHeight="1" x14ac:dyDescent="0.25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  <c r="AB369" s="234"/>
      <c r="AC369" s="234"/>
      <c r="AD369" s="234"/>
      <c r="AE369" s="234"/>
      <c r="AF369" s="234"/>
      <c r="AG369" s="234"/>
      <c r="AH369" s="234"/>
      <c r="AI369" s="234"/>
      <c r="AJ369" s="234"/>
      <c r="AK369" s="234"/>
      <c r="AL369" s="234"/>
      <c r="AM369" s="234"/>
      <c r="AN369" s="234"/>
      <c r="AO369" s="234"/>
      <c r="AP369" s="234"/>
      <c r="AQ369" s="234"/>
      <c r="AR369" s="234"/>
      <c r="AS369" s="234"/>
      <c r="AT369" s="234"/>
      <c r="AU369" s="234"/>
      <c r="AV369" s="234"/>
      <c r="AW369" s="234"/>
      <c r="AX369" s="234"/>
      <c r="AY369" s="234"/>
    </row>
    <row r="370" spans="1:51" ht="24" customHeight="1" x14ac:dyDescent="0.25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  <c r="AB370" s="234"/>
      <c r="AC370" s="234"/>
      <c r="AD370" s="234"/>
      <c r="AE370" s="234"/>
      <c r="AF370" s="234"/>
      <c r="AG370" s="234"/>
      <c r="AH370" s="234"/>
      <c r="AI370" s="234"/>
      <c r="AJ370" s="234"/>
      <c r="AK370" s="234"/>
      <c r="AL370" s="234"/>
      <c r="AM370" s="234"/>
      <c r="AN370" s="234"/>
      <c r="AO370" s="234"/>
      <c r="AP370" s="234"/>
      <c r="AQ370" s="234"/>
      <c r="AR370" s="234"/>
      <c r="AS370" s="234"/>
      <c r="AT370" s="234"/>
      <c r="AU370" s="234"/>
      <c r="AV370" s="234"/>
      <c r="AW370" s="234"/>
      <c r="AX370" s="234"/>
      <c r="AY370" s="234"/>
    </row>
    <row r="371" spans="1:51" ht="24" customHeight="1" x14ac:dyDescent="0.25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  <c r="AB371" s="234"/>
      <c r="AC371" s="234"/>
      <c r="AD371" s="234"/>
      <c r="AE371" s="234"/>
      <c r="AF371" s="234"/>
      <c r="AG371" s="234"/>
      <c r="AH371" s="234"/>
      <c r="AI371" s="234"/>
      <c r="AJ371" s="234"/>
      <c r="AK371" s="234"/>
      <c r="AL371" s="234"/>
      <c r="AM371" s="234"/>
      <c r="AN371" s="234"/>
      <c r="AO371" s="234"/>
      <c r="AP371" s="234"/>
      <c r="AQ371" s="234"/>
      <c r="AR371" s="234"/>
      <c r="AS371" s="234"/>
      <c r="AT371" s="234"/>
      <c r="AU371" s="234"/>
      <c r="AV371" s="234"/>
      <c r="AW371" s="234"/>
      <c r="AX371" s="234"/>
      <c r="AY371" s="234"/>
    </row>
    <row r="372" spans="1:51" ht="24" customHeight="1" x14ac:dyDescent="0.25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  <c r="AB372" s="234"/>
      <c r="AC372" s="234"/>
      <c r="AD372" s="234"/>
      <c r="AE372" s="234"/>
      <c r="AF372" s="234"/>
      <c r="AG372" s="234"/>
      <c r="AH372" s="234"/>
      <c r="AI372" s="234"/>
      <c r="AJ372" s="234"/>
      <c r="AK372" s="234"/>
      <c r="AL372" s="234"/>
      <c r="AM372" s="234"/>
      <c r="AN372" s="234"/>
      <c r="AO372" s="234"/>
      <c r="AP372" s="234"/>
      <c r="AQ372" s="234"/>
      <c r="AR372" s="234"/>
      <c r="AS372" s="234"/>
      <c r="AT372" s="234"/>
      <c r="AU372" s="234"/>
      <c r="AV372" s="234"/>
      <c r="AW372" s="234"/>
      <c r="AX372" s="234"/>
      <c r="AY372" s="234"/>
    </row>
    <row r="373" spans="1:51" ht="24" customHeight="1" x14ac:dyDescent="0.25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  <c r="AB373" s="234"/>
      <c r="AC373" s="234"/>
      <c r="AD373" s="234"/>
      <c r="AE373" s="234"/>
      <c r="AF373" s="234"/>
      <c r="AG373" s="234"/>
      <c r="AH373" s="234"/>
      <c r="AI373" s="234"/>
      <c r="AJ373" s="234"/>
      <c r="AK373" s="234"/>
      <c r="AL373" s="234"/>
      <c r="AM373" s="234"/>
      <c r="AN373" s="234"/>
      <c r="AO373" s="234"/>
      <c r="AP373" s="234"/>
      <c r="AQ373" s="234"/>
      <c r="AR373" s="234"/>
      <c r="AS373" s="234"/>
      <c r="AT373" s="234"/>
      <c r="AU373" s="234"/>
      <c r="AV373" s="234"/>
      <c r="AW373" s="234"/>
      <c r="AX373" s="234"/>
      <c r="AY373" s="234"/>
    </row>
    <row r="374" spans="1:51" ht="24" customHeight="1" x14ac:dyDescent="0.25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  <c r="AB374" s="234"/>
      <c r="AC374" s="234"/>
      <c r="AD374" s="234"/>
      <c r="AE374" s="234"/>
      <c r="AF374" s="234"/>
      <c r="AG374" s="234"/>
      <c r="AH374" s="234"/>
      <c r="AI374" s="234"/>
      <c r="AJ374" s="234"/>
      <c r="AK374" s="234"/>
      <c r="AL374" s="234"/>
      <c r="AM374" s="234"/>
      <c r="AN374" s="234"/>
      <c r="AO374" s="234"/>
      <c r="AP374" s="234"/>
      <c r="AQ374" s="234"/>
      <c r="AR374" s="234"/>
      <c r="AS374" s="234"/>
      <c r="AT374" s="234"/>
      <c r="AU374" s="234"/>
      <c r="AV374" s="234"/>
      <c r="AW374" s="234"/>
      <c r="AX374" s="234"/>
      <c r="AY374" s="234"/>
    </row>
    <row r="375" spans="1:51" ht="24" customHeight="1" x14ac:dyDescent="0.2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  <c r="AB375" s="234"/>
      <c r="AC375" s="234"/>
      <c r="AD375" s="234"/>
      <c r="AE375" s="234"/>
      <c r="AF375" s="234"/>
      <c r="AG375" s="234"/>
      <c r="AH375" s="234"/>
      <c r="AI375" s="234"/>
      <c r="AJ375" s="234"/>
      <c r="AK375" s="234"/>
      <c r="AL375" s="234"/>
      <c r="AM375" s="234"/>
      <c r="AN375" s="234"/>
      <c r="AO375" s="234"/>
      <c r="AP375" s="234"/>
      <c r="AQ375" s="234"/>
      <c r="AR375" s="234"/>
      <c r="AS375" s="234"/>
      <c r="AT375" s="234"/>
      <c r="AU375" s="234"/>
      <c r="AV375" s="234"/>
      <c r="AW375" s="234"/>
      <c r="AX375" s="234"/>
      <c r="AY375" s="234"/>
    </row>
    <row r="376" spans="1:51" ht="24" customHeight="1" x14ac:dyDescent="0.25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  <c r="AB376" s="234"/>
      <c r="AC376" s="234"/>
      <c r="AD376" s="234"/>
      <c r="AE376" s="234"/>
      <c r="AF376" s="234"/>
      <c r="AG376" s="234"/>
      <c r="AH376" s="234"/>
      <c r="AI376" s="234"/>
      <c r="AJ376" s="234"/>
      <c r="AK376" s="234"/>
      <c r="AL376" s="234"/>
      <c r="AM376" s="234"/>
      <c r="AN376" s="234"/>
      <c r="AO376" s="234"/>
      <c r="AP376" s="234"/>
      <c r="AQ376" s="234"/>
      <c r="AR376" s="234"/>
      <c r="AS376" s="234"/>
      <c r="AT376" s="234"/>
      <c r="AU376" s="234"/>
      <c r="AV376" s="234"/>
      <c r="AW376" s="234"/>
      <c r="AX376" s="234"/>
      <c r="AY376" s="234"/>
    </row>
    <row r="377" spans="1:51" ht="24" customHeight="1" x14ac:dyDescent="0.25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  <c r="AB377" s="234"/>
      <c r="AC377" s="234"/>
      <c r="AD377" s="234"/>
      <c r="AE377" s="234"/>
      <c r="AF377" s="234"/>
      <c r="AG377" s="234"/>
      <c r="AH377" s="234"/>
      <c r="AI377" s="234"/>
      <c r="AJ377" s="234"/>
      <c r="AK377" s="234"/>
      <c r="AL377" s="234"/>
      <c r="AM377" s="234"/>
      <c r="AN377" s="234"/>
      <c r="AO377" s="234"/>
      <c r="AP377" s="234"/>
      <c r="AQ377" s="234"/>
      <c r="AR377" s="234"/>
      <c r="AS377" s="234"/>
      <c r="AT377" s="234"/>
      <c r="AU377" s="234"/>
      <c r="AV377" s="234"/>
      <c r="AW377" s="234"/>
      <c r="AX377" s="234"/>
      <c r="AY377" s="234"/>
    </row>
    <row r="378" spans="1:51" ht="24" customHeight="1" x14ac:dyDescent="0.25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  <c r="AB378" s="234"/>
      <c r="AC378" s="234"/>
      <c r="AD378" s="234"/>
      <c r="AE378" s="234"/>
      <c r="AF378" s="234"/>
      <c r="AG378" s="234"/>
      <c r="AH378" s="234"/>
      <c r="AI378" s="234"/>
      <c r="AJ378" s="234"/>
      <c r="AK378" s="234"/>
      <c r="AL378" s="234"/>
      <c r="AM378" s="234"/>
      <c r="AN378" s="234"/>
      <c r="AO378" s="234"/>
      <c r="AP378" s="234"/>
      <c r="AQ378" s="234"/>
      <c r="AR378" s="234"/>
      <c r="AS378" s="234"/>
      <c r="AT378" s="234"/>
      <c r="AU378" s="234"/>
      <c r="AV378" s="234"/>
      <c r="AW378" s="234"/>
      <c r="AX378" s="234"/>
      <c r="AY378" s="234"/>
    </row>
    <row r="379" spans="1:51" ht="24" customHeight="1" x14ac:dyDescent="0.25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  <c r="AB379" s="234"/>
      <c r="AC379" s="234"/>
      <c r="AD379" s="234"/>
      <c r="AE379" s="234"/>
      <c r="AF379" s="234"/>
      <c r="AG379" s="234"/>
      <c r="AH379" s="234"/>
      <c r="AI379" s="234"/>
      <c r="AJ379" s="234"/>
      <c r="AK379" s="234"/>
      <c r="AL379" s="234"/>
      <c r="AM379" s="234"/>
      <c r="AN379" s="234"/>
      <c r="AO379" s="234"/>
      <c r="AP379" s="234"/>
      <c r="AQ379" s="234"/>
      <c r="AR379" s="234"/>
      <c r="AS379" s="234"/>
      <c r="AT379" s="234"/>
      <c r="AU379" s="234"/>
      <c r="AV379" s="234"/>
      <c r="AW379" s="234"/>
      <c r="AX379" s="234"/>
      <c r="AY379" s="234"/>
    </row>
    <row r="380" spans="1:51" ht="24" customHeight="1" x14ac:dyDescent="0.25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  <c r="AB380" s="234"/>
      <c r="AC380" s="234"/>
      <c r="AD380" s="234"/>
      <c r="AE380" s="234"/>
      <c r="AF380" s="234"/>
      <c r="AG380" s="234"/>
      <c r="AH380" s="234"/>
      <c r="AI380" s="234"/>
      <c r="AJ380" s="234"/>
      <c r="AK380" s="234"/>
      <c r="AL380" s="234"/>
      <c r="AM380" s="234"/>
      <c r="AN380" s="234"/>
      <c r="AO380" s="234"/>
      <c r="AP380" s="234"/>
      <c r="AQ380" s="234"/>
      <c r="AR380" s="234"/>
      <c r="AS380" s="234"/>
      <c r="AT380" s="234"/>
      <c r="AU380" s="234"/>
      <c r="AV380" s="234"/>
      <c r="AW380" s="234"/>
      <c r="AX380" s="234"/>
      <c r="AY380" s="234"/>
    </row>
    <row r="381" spans="1:51" ht="24" customHeight="1" x14ac:dyDescent="0.25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  <c r="AB381" s="234"/>
      <c r="AC381" s="234"/>
      <c r="AD381" s="234"/>
      <c r="AE381" s="234"/>
      <c r="AF381" s="234"/>
      <c r="AG381" s="234"/>
      <c r="AH381" s="234"/>
      <c r="AI381" s="234"/>
      <c r="AJ381" s="234"/>
      <c r="AK381" s="234"/>
      <c r="AL381" s="234"/>
      <c r="AM381" s="234"/>
      <c r="AN381" s="234"/>
      <c r="AO381" s="234"/>
      <c r="AP381" s="234"/>
      <c r="AQ381" s="234"/>
      <c r="AR381" s="234"/>
      <c r="AS381" s="234"/>
      <c r="AT381" s="234"/>
      <c r="AU381" s="234"/>
      <c r="AV381" s="234"/>
      <c r="AW381" s="234"/>
      <c r="AX381" s="234"/>
      <c r="AY381" s="234"/>
    </row>
    <row r="382" spans="1:51" ht="24" customHeight="1" x14ac:dyDescent="0.25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  <c r="AB382" s="234"/>
      <c r="AC382" s="234"/>
      <c r="AD382" s="234"/>
      <c r="AE382" s="234"/>
      <c r="AF382" s="234"/>
      <c r="AG382" s="234"/>
      <c r="AH382" s="234"/>
      <c r="AI382" s="234"/>
      <c r="AJ382" s="234"/>
      <c r="AK382" s="234"/>
      <c r="AL382" s="234"/>
      <c r="AM382" s="234"/>
      <c r="AN382" s="234"/>
      <c r="AO382" s="234"/>
      <c r="AP382" s="234"/>
      <c r="AQ382" s="234"/>
      <c r="AR382" s="234"/>
      <c r="AS382" s="234"/>
      <c r="AT382" s="234"/>
      <c r="AU382" s="234"/>
      <c r="AV382" s="234"/>
      <c r="AW382" s="234"/>
      <c r="AX382" s="234"/>
      <c r="AY382" s="234"/>
    </row>
    <row r="383" spans="1:51" ht="24" customHeight="1" x14ac:dyDescent="0.25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  <c r="AB383" s="234"/>
      <c r="AC383" s="234"/>
      <c r="AD383" s="234"/>
      <c r="AE383" s="234"/>
      <c r="AF383" s="234"/>
      <c r="AG383" s="234"/>
      <c r="AH383" s="234"/>
      <c r="AI383" s="234"/>
      <c r="AJ383" s="234"/>
      <c r="AK383" s="234"/>
      <c r="AL383" s="234"/>
      <c r="AM383" s="234"/>
      <c r="AN383" s="234"/>
      <c r="AO383" s="234"/>
      <c r="AP383" s="234"/>
      <c r="AQ383" s="234"/>
      <c r="AR383" s="234"/>
      <c r="AS383" s="234"/>
      <c r="AT383" s="234"/>
      <c r="AU383" s="234"/>
      <c r="AV383" s="234"/>
      <c r="AW383" s="234"/>
      <c r="AX383" s="234"/>
      <c r="AY383" s="234"/>
    </row>
    <row r="384" spans="1:51" ht="24" customHeight="1" x14ac:dyDescent="0.25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  <c r="AB384" s="234"/>
      <c r="AC384" s="234"/>
      <c r="AD384" s="234"/>
      <c r="AE384" s="234"/>
      <c r="AF384" s="234"/>
      <c r="AG384" s="234"/>
      <c r="AH384" s="234"/>
      <c r="AI384" s="234"/>
      <c r="AJ384" s="234"/>
      <c r="AK384" s="234"/>
      <c r="AL384" s="234"/>
      <c r="AM384" s="234"/>
      <c r="AN384" s="234"/>
      <c r="AO384" s="234"/>
      <c r="AP384" s="234"/>
      <c r="AQ384" s="234"/>
      <c r="AR384" s="234"/>
      <c r="AS384" s="234"/>
      <c r="AT384" s="234"/>
      <c r="AU384" s="234"/>
      <c r="AV384" s="234"/>
      <c r="AW384" s="234"/>
      <c r="AX384" s="234"/>
      <c r="AY384" s="234"/>
    </row>
    <row r="385" spans="1:51" ht="24" customHeight="1" x14ac:dyDescent="0.2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  <c r="AB385" s="234"/>
      <c r="AC385" s="234"/>
      <c r="AD385" s="234"/>
      <c r="AE385" s="234"/>
      <c r="AF385" s="234"/>
      <c r="AG385" s="234"/>
      <c r="AH385" s="234"/>
      <c r="AI385" s="234"/>
      <c r="AJ385" s="234"/>
      <c r="AK385" s="234"/>
      <c r="AL385" s="234"/>
      <c r="AM385" s="234"/>
      <c r="AN385" s="234"/>
      <c r="AO385" s="234"/>
      <c r="AP385" s="234"/>
      <c r="AQ385" s="234"/>
      <c r="AR385" s="234"/>
      <c r="AS385" s="234"/>
      <c r="AT385" s="234"/>
      <c r="AU385" s="234"/>
      <c r="AV385" s="234"/>
      <c r="AW385" s="234"/>
      <c r="AX385" s="234"/>
      <c r="AY385" s="234"/>
    </row>
    <row r="386" spans="1:51" ht="24" customHeight="1" x14ac:dyDescent="0.25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  <c r="AB386" s="234"/>
      <c r="AC386" s="234"/>
      <c r="AD386" s="234"/>
      <c r="AE386" s="234"/>
      <c r="AF386" s="234"/>
      <c r="AG386" s="234"/>
      <c r="AH386" s="234"/>
      <c r="AI386" s="234"/>
      <c r="AJ386" s="234"/>
      <c r="AK386" s="234"/>
      <c r="AL386" s="234"/>
      <c r="AM386" s="234"/>
      <c r="AN386" s="234"/>
      <c r="AO386" s="234"/>
      <c r="AP386" s="234"/>
      <c r="AQ386" s="234"/>
      <c r="AR386" s="234"/>
      <c r="AS386" s="234"/>
      <c r="AT386" s="234"/>
      <c r="AU386" s="234"/>
      <c r="AV386" s="234"/>
      <c r="AW386" s="234"/>
      <c r="AX386" s="234"/>
      <c r="AY386" s="234"/>
    </row>
    <row r="387" spans="1:51" ht="24" customHeight="1" x14ac:dyDescent="0.25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  <c r="AB387" s="234"/>
      <c r="AC387" s="234"/>
      <c r="AD387" s="234"/>
      <c r="AE387" s="234"/>
      <c r="AF387" s="234"/>
      <c r="AG387" s="234"/>
      <c r="AH387" s="234"/>
      <c r="AI387" s="234"/>
      <c r="AJ387" s="234"/>
      <c r="AK387" s="234"/>
      <c r="AL387" s="234"/>
      <c r="AM387" s="234"/>
      <c r="AN387" s="234"/>
      <c r="AO387" s="234"/>
      <c r="AP387" s="234"/>
      <c r="AQ387" s="234"/>
      <c r="AR387" s="234"/>
      <c r="AS387" s="234"/>
      <c r="AT387" s="234"/>
      <c r="AU387" s="234"/>
      <c r="AV387" s="234"/>
      <c r="AW387" s="234"/>
      <c r="AX387" s="234"/>
      <c r="AY387" s="234"/>
    </row>
    <row r="388" spans="1:51" ht="24" customHeight="1" x14ac:dyDescent="0.25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34"/>
      <c r="AJ388" s="234"/>
      <c r="AK388" s="234"/>
      <c r="AL388" s="234"/>
      <c r="AM388" s="234"/>
      <c r="AN388" s="234"/>
      <c r="AO388" s="234"/>
      <c r="AP388" s="234"/>
      <c r="AQ388" s="234"/>
      <c r="AR388" s="234"/>
      <c r="AS388" s="234"/>
      <c r="AT388" s="234"/>
      <c r="AU388" s="234"/>
      <c r="AV388" s="234"/>
      <c r="AW388" s="234"/>
      <c r="AX388" s="234"/>
      <c r="AY388" s="234"/>
    </row>
    <row r="389" spans="1:51" ht="24" customHeight="1" x14ac:dyDescent="0.25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  <c r="AB389" s="234"/>
      <c r="AC389" s="234"/>
      <c r="AD389" s="234"/>
      <c r="AE389" s="234"/>
      <c r="AF389" s="234"/>
      <c r="AG389" s="234"/>
      <c r="AH389" s="234"/>
      <c r="AI389" s="234"/>
      <c r="AJ389" s="234"/>
      <c r="AK389" s="234"/>
      <c r="AL389" s="234"/>
      <c r="AM389" s="234"/>
      <c r="AN389" s="234"/>
      <c r="AO389" s="234"/>
      <c r="AP389" s="234"/>
      <c r="AQ389" s="234"/>
      <c r="AR389" s="234"/>
      <c r="AS389" s="234"/>
      <c r="AT389" s="234"/>
      <c r="AU389" s="234"/>
      <c r="AV389" s="234"/>
      <c r="AW389" s="234"/>
      <c r="AX389" s="234"/>
      <c r="AY389" s="234"/>
    </row>
    <row r="390" spans="1:51" ht="24" customHeight="1" x14ac:dyDescent="0.25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  <c r="AB390" s="234"/>
      <c r="AC390" s="234"/>
      <c r="AD390" s="234"/>
      <c r="AE390" s="234"/>
      <c r="AF390" s="234"/>
      <c r="AG390" s="234"/>
      <c r="AH390" s="234"/>
      <c r="AI390" s="234"/>
      <c r="AJ390" s="234"/>
      <c r="AK390" s="234"/>
      <c r="AL390" s="234"/>
      <c r="AM390" s="234"/>
      <c r="AN390" s="234"/>
      <c r="AO390" s="234"/>
      <c r="AP390" s="234"/>
      <c r="AQ390" s="234"/>
      <c r="AR390" s="234"/>
      <c r="AS390" s="234"/>
      <c r="AT390" s="234"/>
      <c r="AU390" s="234"/>
      <c r="AV390" s="234"/>
      <c r="AW390" s="234"/>
      <c r="AX390" s="234"/>
      <c r="AY390" s="234"/>
    </row>
    <row r="391" spans="1:51" ht="24" customHeight="1" x14ac:dyDescent="0.25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  <c r="AB391" s="234"/>
      <c r="AC391" s="234"/>
      <c r="AD391" s="234"/>
      <c r="AE391" s="234"/>
      <c r="AF391" s="234"/>
      <c r="AG391" s="234"/>
      <c r="AH391" s="234"/>
      <c r="AI391" s="234"/>
      <c r="AJ391" s="234"/>
      <c r="AK391" s="234"/>
      <c r="AL391" s="234"/>
      <c r="AM391" s="234"/>
      <c r="AN391" s="234"/>
      <c r="AO391" s="234"/>
      <c r="AP391" s="234"/>
      <c r="AQ391" s="234"/>
      <c r="AR391" s="234"/>
      <c r="AS391" s="234"/>
      <c r="AT391" s="234"/>
      <c r="AU391" s="234"/>
      <c r="AV391" s="234"/>
      <c r="AW391" s="234"/>
      <c r="AX391" s="234"/>
      <c r="AY391" s="234"/>
    </row>
    <row r="392" spans="1:51" ht="24" customHeight="1" x14ac:dyDescent="0.25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  <c r="AB392" s="234"/>
      <c r="AC392" s="234"/>
      <c r="AD392" s="234"/>
      <c r="AE392" s="234"/>
      <c r="AF392" s="234"/>
      <c r="AG392" s="234"/>
      <c r="AH392" s="234"/>
      <c r="AI392" s="234"/>
      <c r="AJ392" s="234"/>
      <c r="AK392" s="234"/>
      <c r="AL392" s="234"/>
      <c r="AM392" s="234"/>
      <c r="AN392" s="234"/>
      <c r="AO392" s="234"/>
      <c r="AP392" s="234"/>
      <c r="AQ392" s="234"/>
      <c r="AR392" s="234"/>
      <c r="AS392" s="234"/>
      <c r="AT392" s="234"/>
      <c r="AU392" s="234"/>
      <c r="AV392" s="234"/>
      <c r="AW392" s="234"/>
      <c r="AX392" s="234"/>
      <c r="AY392" s="234"/>
    </row>
    <row r="393" spans="1:51" ht="24" customHeight="1" x14ac:dyDescent="0.25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  <c r="AB393" s="234"/>
      <c r="AC393" s="234"/>
      <c r="AD393" s="234"/>
      <c r="AE393" s="234"/>
      <c r="AF393" s="234"/>
      <c r="AG393" s="234"/>
      <c r="AH393" s="234"/>
      <c r="AI393" s="234"/>
      <c r="AJ393" s="234"/>
      <c r="AK393" s="234"/>
      <c r="AL393" s="234"/>
      <c r="AM393" s="234"/>
      <c r="AN393" s="234"/>
      <c r="AO393" s="234"/>
      <c r="AP393" s="234"/>
      <c r="AQ393" s="234"/>
      <c r="AR393" s="234"/>
      <c r="AS393" s="234"/>
      <c r="AT393" s="234"/>
      <c r="AU393" s="234"/>
      <c r="AV393" s="234"/>
      <c r="AW393" s="234"/>
      <c r="AX393" s="234"/>
      <c r="AY393" s="234"/>
    </row>
    <row r="394" spans="1:51" ht="24" customHeight="1" x14ac:dyDescent="0.25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  <c r="AB394" s="234"/>
      <c r="AC394" s="234"/>
      <c r="AD394" s="234"/>
      <c r="AE394" s="234"/>
      <c r="AF394" s="234"/>
      <c r="AG394" s="234"/>
      <c r="AH394" s="234"/>
      <c r="AI394" s="234"/>
      <c r="AJ394" s="234"/>
      <c r="AK394" s="234"/>
      <c r="AL394" s="234"/>
      <c r="AM394" s="234"/>
      <c r="AN394" s="234"/>
      <c r="AO394" s="234"/>
      <c r="AP394" s="234"/>
      <c r="AQ394" s="234"/>
      <c r="AR394" s="234"/>
      <c r="AS394" s="234"/>
      <c r="AT394" s="234"/>
      <c r="AU394" s="234"/>
      <c r="AV394" s="234"/>
      <c r="AW394" s="234"/>
      <c r="AX394" s="234"/>
      <c r="AY394" s="234"/>
    </row>
    <row r="395" spans="1:51" ht="24" customHeight="1" x14ac:dyDescent="0.2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  <c r="AB395" s="234"/>
      <c r="AC395" s="234"/>
      <c r="AD395" s="234"/>
      <c r="AE395" s="234"/>
      <c r="AF395" s="234"/>
      <c r="AG395" s="234"/>
      <c r="AH395" s="234"/>
      <c r="AI395" s="234"/>
      <c r="AJ395" s="234"/>
      <c r="AK395" s="234"/>
      <c r="AL395" s="234"/>
      <c r="AM395" s="234"/>
      <c r="AN395" s="234"/>
      <c r="AO395" s="234"/>
      <c r="AP395" s="234"/>
      <c r="AQ395" s="234"/>
      <c r="AR395" s="234"/>
      <c r="AS395" s="234"/>
      <c r="AT395" s="234"/>
      <c r="AU395" s="234"/>
      <c r="AV395" s="234"/>
      <c r="AW395" s="234"/>
      <c r="AX395" s="234"/>
      <c r="AY395" s="234"/>
    </row>
    <row r="396" spans="1:51" ht="24" customHeight="1" x14ac:dyDescent="0.25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  <c r="AB396" s="234"/>
      <c r="AC396" s="234"/>
      <c r="AD396" s="234"/>
      <c r="AE396" s="234"/>
      <c r="AF396" s="234"/>
      <c r="AG396" s="234"/>
      <c r="AH396" s="234"/>
      <c r="AI396" s="234"/>
      <c r="AJ396" s="234"/>
      <c r="AK396" s="234"/>
      <c r="AL396" s="234"/>
      <c r="AM396" s="234"/>
      <c r="AN396" s="234"/>
      <c r="AO396" s="234"/>
      <c r="AP396" s="234"/>
      <c r="AQ396" s="234"/>
      <c r="AR396" s="234"/>
      <c r="AS396" s="234"/>
      <c r="AT396" s="234"/>
      <c r="AU396" s="234"/>
      <c r="AV396" s="234"/>
      <c r="AW396" s="234"/>
      <c r="AX396" s="234"/>
      <c r="AY396" s="234"/>
    </row>
    <row r="397" spans="1:51" ht="24" customHeight="1" x14ac:dyDescent="0.25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  <c r="AB397" s="234"/>
      <c r="AC397" s="234"/>
      <c r="AD397" s="234"/>
      <c r="AE397" s="234"/>
      <c r="AF397" s="234"/>
      <c r="AG397" s="234"/>
      <c r="AH397" s="234"/>
      <c r="AI397" s="234"/>
      <c r="AJ397" s="234"/>
      <c r="AK397" s="234"/>
      <c r="AL397" s="234"/>
      <c r="AM397" s="234"/>
      <c r="AN397" s="234"/>
      <c r="AO397" s="234"/>
      <c r="AP397" s="234"/>
      <c r="AQ397" s="234"/>
      <c r="AR397" s="234"/>
      <c r="AS397" s="234"/>
      <c r="AT397" s="234"/>
      <c r="AU397" s="234"/>
      <c r="AV397" s="234"/>
      <c r="AW397" s="234"/>
      <c r="AX397" s="234"/>
      <c r="AY397" s="234"/>
    </row>
    <row r="398" spans="1:51" ht="24" customHeight="1" x14ac:dyDescent="0.25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  <c r="AB398" s="234"/>
      <c r="AC398" s="234"/>
      <c r="AD398" s="234"/>
      <c r="AE398" s="234"/>
      <c r="AF398" s="234"/>
      <c r="AG398" s="234"/>
      <c r="AH398" s="234"/>
      <c r="AI398" s="234"/>
      <c r="AJ398" s="234"/>
      <c r="AK398" s="234"/>
      <c r="AL398" s="234"/>
      <c r="AM398" s="234"/>
      <c r="AN398" s="234"/>
      <c r="AO398" s="234"/>
      <c r="AP398" s="234"/>
      <c r="AQ398" s="234"/>
      <c r="AR398" s="234"/>
      <c r="AS398" s="234"/>
      <c r="AT398" s="234"/>
      <c r="AU398" s="234"/>
      <c r="AV398" s="234"/>
      <c r="AW398" s="234"/>
      <c r="AX398" s="234"/>
      <c r="AY398" s="234"/>
    </row>
    <row r="399" spans="1:51" ht="24" customHeight="1" x14ac:dyDescent="0.25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  <c r="AB399" s="234"/>
      <c r="AC399" s="234"/>
      <c r="AD399" s="234"/>
      <c r="AE399" s="234"/>
      <c r="AF399" s="234"/>
      <c r="AG399" s="234"/>
      <c r="AH399" s="234"/>
      <c r="AI399" s="234"/>
      <c r="AJ399" s="234"/>
      <c r="AK399" s="234"/>
      <c r="AL399" s="234"/>
      <c r="AM399" s="234"/>
      <c r="AN399" s="234"/>
      <c r="AO399" s="234"/>
      <c r="AP399" s="234"/>
      <c r="AQ399" s="234"/>
      <c r="AR399" s="234"/>
      <c r="AS399" s="234"/>
      <c r="AT399" s="234"/>
      <c r="AU399" s="234"/>
      <c r="AV399" s="234"/>
      <c r="AW399" s="234"/>
      <c r="AX399" s="234"/>
      <c r="AY399" s="234"/>
    </row>
    <row r="400" spans="1:51" ht="24" customHeight="1" x14ac:dyDescent="0.25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  <c r="AB400" s="234"/>
      <c r="AC400" s="234"/>
      <c r="AD400" s="234"/>
      <c r="AE400" s="234"/>
      <c r="AF400" s="234"/>
      <c r="AG400" s="234"/>
      <c r="AH400" s="234"/>
      <c r="AI400" s="234"/>
      <c r="AJ400" s="234"/>
      <c r="AK400" s="234"/>
      <c r="AL400" s="234"/>
      <c r="AM400" s="234"/>
      <c r="AN400" s="234"/>
      <c r="AO400" s="234"/>
      <c r="AP400" s="234"/>
      <c r="AQ400" s="234"/>
      <c r="AR400" s="234"/>
      <c r="AS400" s="234"/>
      <c r="AT400" s="234"/>
      <c r="AU400" s="234"/>
      <c r="AV400" s="234"/>
      <c r="AW400" s="234"/>
      <c r="AX400" s="234"/>
      <c r="AY400" s="234"/>
    </row>
    <row r="401" spans="1:51" ht="24" customHeight="1" x14ac:dyDescent="0.25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  <c r="AB401" s="234"/>
      <c r="AC401" s="234"/>
      <c r="AD401" s="234"/>
      <c r="AE401" s="234"/>
      <c r="AF401" s="234"/>
      <c r="AG401" s="234"/>
      <c r="AH401" s="234"/>
      <c r="AI401" s="234"/>
      <c r="AJ401" s="234"/>
      <c r="AK401" s="234"/>
      <c r="AL401" s="234"/>
      <c r="AM401" s="234"/>
      <c r="AN401" s="234"/>
      <c r="AO401" s="234"/>
      <c r="AP401" s="234"/>
      <c r="AQ401" s="234"/>
      <c r="AR401" s="234"/>
      <c r="AS401" s="234"/>
      <c r="AT401" s="234"/>
      <c r="AU401" s="234"/>
      <c r="AV401" s="234"/>
      <c r="AW401" s="234"/>
      <c r="AX401" s="234"/>
      <c r="AY401" s="234"/>
    </row>
    <row r="402" spans="1:51" ht="24" customHeight="1" x14ac:dyDescent="0.25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  <c r="AB402" s="234"/>
      <c r="AC402" s="234"/>
      <c r="AD402" s="234"/>
      <c r="AE402" s="234"/>
      <c r="AF402" s="234"/>
      <c r="AG402" s="234"/>
      <c r="AH402" s="234"/>
      <c r="AI402" s="234"/>
      <c r="AJ402" s="234"/>
      <c r="AK402" s="234"/>
      <c r="AL402" s="234"/>
      <c r="AM402" s="234"/>
      <c r="AN402" s="234"/>
      <c r="AO402" s="234"/>
      <c r="AP402" s="234"/>
      <c r="AQ402" s="234"/>
      <c r="AR402" s="234"/>
      <c r="AS402" s="234"/>
      <c r="AT402" s="234"/>
      <c r="AU402" s="234"/>
      <c r="AV402" s="234"/>
      <c r="AW402" s="234"/>
      <c r="AX402" s="234"/>
      <c r="AY402" s="234"/>
    </row>
    <row r="403" spans="1:51" ht="24" customHeight="1" x14ac:dyDescent="0.25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  <c r="AB403" s="234"/>
      <c r="AC403" s="234"/>
      <c r="AD403" s="234"/>
      <c r="AE403" s="234"/>
      <c r="AF403" s="234"/>
      <c r="AG403" s="234"/>
      <c r="AH403" s="234"/>
      <c r="AI403" s="234"/>
      <c r="AJ403" s="234"/>
      <c r="AK403" s="234"/>
      <c r="AL403" s="234"/>
      <c r="AM403" s="234"/>
      <c r="AN403" s="234"/>
      <c r="AO403" s="234"/>
      <c r="AP403" s="234"/>
      <c r="AQ403" s="234"/>
      <c r="AR403" s="234"/>
      <c r="AS403" s="234"/>
      <c r="AT403" s="234"/>
      <c r="AU403" s="234"/>
      <c r="AV403" s="234"/>
      <c r="AW403" s="234"/>
      <c r="AX403" s="234"/>
      <c r="AY403" s="234"/>
    </row>
    <row r="404" spans="1:51" ht="24" customHeight="1" x14ac:dyDescent="0.25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  <c r="AB404" s="234"/>
      <c r="AC404" s="234"/>
      <c r="AD404" s="234"/>
      <c r="AE404" s="234"/>
      <c r="AF404" s="234"/>
      <c r="AG404" s="234"/>
      <c r="AH404" s="234"/>
      <c r="AI404" s="234"/>
      <c r="AJ404" s="234"/>
      <c r="AK404" s="234"/>
      <c r="AL404" s="234"/>
      <c r="AM404" s="234"/>
      <c r="AN404" s="234"/>
      <c r="AO404" s="234"/>
      <c r="AP404" s="234"/>
      <c r="AQ404" s="234"/>
      <c r="AR404" s="234"/>
      <c r="AS404" s="234"/>
      <c r="AT404" s="234"/>
      <c r="AU404" s="234"/>
      <c r="AV404" s="234"/>
      <c r="AW404" s="234"/>
      <c r="AX404" s="234"/>
      <c r="AY404" s="234"/>
    </row>
    <row r="405" spans="1:51" ht="24" customHeight="1" x14ac:dyDescent="0.2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  <c r="AB405" s="234"/>
      <c r="AC405" s="234"/>
      <c r="AD405" s="234"/>
      <c r="AE405" s="234"/>
      <c r="AF405" s="234"/>
      <c r="AG405" s="234"/>
      <c r="AH405" s="234"/>
      <c r="AI405" s="234"/>
      <c r="AJ405" s="234"/>
      <c r="AK405" s="234"/>
      <c r="AL405" s="234"/>
      <c r="AM405" s="234"/>
      <c r="AN405" s="234"/>
      <c r="AO405" s="234"/>
      <c r="AP405" s="234"/>
      <c r="AQ405" s="234"/>
      <c r="AR405" s="234"/>
      <c r="AS405" s="234"/>
      <c r="AT405" s="234"/>
      <c r="AU405" s="234"/>
      <c r="AV405" s="234"/>
      <c r="AW405" s="234"/>
      <c r="AX405" s="234"/>
      <c r="AY405" s="234"/>
    </row>
    <row r="406" spans="1:51" ht="24" customHeight="1" x14ac:dyDescent="0.25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  <c r="AB406" s="234"/>
      <c r="AC406" s="234"/>
      <c r="AD406" s="234"/>
      <c r="AE406" s="234"/>
      <c r="AF406" s="234"/>
      <c r="AG406" s="234"/>
      <c r="AH406" s="234"/>
      <c r="AI406" s="234"/>
      <c r="AJ406" s="234"/>
      <c r="AK406" s="234"/>
      <c r="AL406" s="234"/>
      <c r="AM406" s="234"/>
      <c r="AN406" s="234"/>
      <c r="AO406" s="234"/>
      <c r="AP406" s="234"/>
      <c r="AQ406" s="234"/>
      <c r="AR406" s="234"/>
      <c r="AS406" s="234"/>
      <c r="AT406" s="234"/>
      <c r="AU406" s="234"/>
      <c r="AV406" s="234"/>
      <c r="AW406" s="234"/>
      <c r="AX406" s="234"/>
      <c r="AY406" s="234"/>
    </row>
    <row r="407" spans="1:51" ht="24" customHeight="1" x14ac:dyDescent="0.25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  <c r="AB407" s="234"/>
      <c r="AC407" s="234"/>
      <c r="AD407" s="234"/>
      <c r="AE407" s="234"/>
      <c r="AF407" s="234"/>
      <c r="AG407" s="234"/>
      <c r="AH407" s="234"/>
      <c r="AI407" s="234"/>
      <c r="AJ407" s="234"/>
      <c r="AK407" s="234"/>
      <c r="AL407" s="234"/>
      <c r="AM407" s="234"/>
      <c r="AN407" s="234"/>
      <c r="AO407" s="234"/>
      <c r="AP407" s="234"/>
      <c r="AQ407" s="234"/>
      <c r="AR407" s="234"/>
      <c r="AS407" s="234"/>
      <c r="AT407" s="234"/>
      <c r="AU407" s="234"/>
      <c r="AV407" s="234"/>
      <c r="AW407" s="234"/>
      <c r="AX407" s="234"/>
      <c r="AY407" s="234"/>
    </row>
    <row r="408" spans="1:51" ht="24" customHeight="1" x14ac:dyDescent="0.25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  <c r="AB408" s="234"/>
      <c r="AC408" s="234"/>
      <c r="AD408" s="234"/>
      <c r="AE408" s="234"/>
      <c r="AF408" s="234"/>
      <c r="AG408" s="234"/>
      <c r="AH408" s="234"/>
      <c r="AI408" s="234"/>
      <c r="AJ408" s="234"/>
      <c r="AK408" s="234"/>
      <c r="AL408" s="234"/>
      <c r="AM408" s="234"/>
      <c r="AN408" s="234"/>
      <c r="AO408" s="234"/>
      <c r="AP408" s="234"/>
      <c r="AQ408" s="234"/>
      <c r="AR408" s="234"/>
      <c r="AS408" s="234"/>
      <c r="AT408" s="234"/>
      <c r="AU408" s="234"/>
      <c r="AV408" s="234"/>
      <c r="AW408" s="234"/>
      <c r="AX408" s="234"/>
      <c r="AY408" s="234"/>
    </row>
    <row r="409" spans="1:51" ht="24" customHeight="1" x14ac:dyDescent="0.25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  <c r="AB409" s="234"/>
      <c r="AC409" s="234"/>
      <c r="AD409" s="234"/>
      <c r="AE409" s="234"/>
      <c r="AF409" s="234"/>
      <c r="AG409" s="234"/>
      <c r="AH409" s="234"/>
      <c r="AI409" s="234"/>
      <c r="AJ409" s="234"/>
      <c r="AK409" s="234"/>
      <c r="AL409" s="234"/>
      <c r="AM409" s="234"/>
      <c r="AN409" s="234"/>
      <c r="AO409" s="234"/>
      <c r="AP409" s="234"/>
      <c r="AQ409" s="234"/>
      <c r="AR409" s="234"/>
      <c r="AS409" s="234"/>
      <c r="AT409" s="234"/>
      <c r="AU409" s="234"/>
      <c r="AV409" s="234"/>
      <c r="AW409" s="234"/>
      <c r="AX409" s="234"/>
      <c r="AY409" s="234"/>
    </row>
    <row r="410" spans="1:51" ht="24" customHeight="1" x14ac:dyDescent="0.25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  <c r="AB410" s="234"/>
      <c r="AC410" s="234"/>
      <c r="AD410" s="234"/>
      <c r="AE410" s="234"/>
      <c r="AF410" s="234"/>
      <c r="AG410" s="234"/>
      <c r="AH410" s="234"/>
      <c r="AI410" s="234"/>
      <c r="AJ410" s="234"/>
      <c r="AK410" s="234"/>
      <c r="AL410" s="234"/>
      <c r="AM410" s="234"/>
      <c r="AN410" s="234"/>
      <c r="AO410" s="234"/>
      <c r="AP410" s="234"/>
      <c r="AQ410" s="234"/>
      <c r="AR410" s="234"/>
      <c r="AS410" s="234"/>
      <c r="AT410" s="234"/>
      <c r="AU410" s="234"/>
      <c r="AV410" s="234"/>
      <c r="AW410" s="234"/>
      <c r="AX410" s="234"/>
      <c r="AY410" s="234"/>
    </row>
    <row r="411" spans="1:51" ht="24" customHeight="1" x14ac:dyDescent="0.25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  <c r="AB411" s="234"/>
      <c r="AC411" s="234"/>
      <c r="AD411" s="234"/>
      <c r="AE411" s="234"/>
      <c r="AF411" s="234"/>
      <c r="AG411" s="234"/>
      <c r="AH411" s="234"/>
      <c r="AI411" s="234"/>
      <c r="AJ411" s="234"/>
      <c r="AK411" s="234"/>
      <c r="AL411" s="234"/>
      <c r="AM411" s="234"/>
      <c r="AN411" s="234"/>
      <c r="AO411" s="234"/>
      <c r="AP411" s="234"/>
      <c r="AQ411" s="234"/>
      <c r="AR411" s="234"/>
      <c r="AS411" s="234"/>
      <c r="AT411" s="234"/>
      <c r="AU411" s="234"/>
      <c r="AV411" s="234"/>
      <c r="AW411" s="234"/>
      <c r="AX411" s="234"/>
      <c r="AY411" s="234"/>
    </row>
    <row r="412" spans="1:51" ht="24" customHeight="1" x14ac:dyDescent="0.25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  <c r="AB412" s="234"/>
      <c r="AC412" s="234"/>
      <c r="AD412" s="234"/>
      <c r="AE412" s="234"/>
      <c r="AF412" s="234"/>
      <c r="AG412" s="234"/>
      <c r="AH412" s="234"/>
      <c r="AI412" s="234"/>
      <c r="AJ412" s="234"/>
      <c r="AK412" s="234"/>
      <c r="AL412" s="234"/>
      <c r="AM412" s="234"/>
      <c r="AN412" s="234"/>
      <c r="AO412" s="234"/>
      <c r="AP412" s="234"/>
      <c r="AQ412" s="234"/>
      <c r="AR412" s="234"/>
      <c r="AS412" s="234"/>
      <c r="AT412" s="234"/>
      <c r="AU412" s="234"/>
      <c r="AV412" s="234"/>
      <c r="AW412" s="234"/>
      <c r="AX412" s="234"/>
      <c r="AY412" s="234"/>
    </row>
    <row r="413" spans="1:51" ht="24" customHeight="1" x14ac:dyDescent="0.25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  <c r="AB413" s="234"/>
      <c r="AC413" s="234"/>
      <c r="AD413" s="234"/>
      <c r="AE413" s="234"/>
      <c r="AF413" s="234"/>
      <c r="AG413" s="234"/>
      <c r="AH413" s="234"/>
      <c r="AI413" s="234"/>
      <c r="AJ413" s="234"/>
      <c r="AK413" s="234"/>
      <c r="AL413" s="234"/>
      <c r="AM413" s="234"/>
      <c r="AN413" s="234"/>
      <c r="AO413" s="234"/>
      <c r="AP413" s="234"/>
      <c r="AQ413" s="234"/>
      <c r="AR413" s="234"/>
      <c r="AS413" s="234"/>
      <c r="AT413" s="234"/>
      <c r="AU413" s="234"/>
      <c r="AV413" s="234"/>
      <c r="AW413" s="234"/>
      <c r="AX413" s="234"/>
      <c r="AY413" s="234"/>
    </row>
    <row r="414" spans="1:51" ht="24" customHeight="1" x14ac:dyDescent="0.25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  <c r="AB414" s="234"/>
      <c r="AC414" s="234"/>
      <c r="AD414" s="234"/>
      <c r="AE414" s="234"/>
      <c r="AF414" s="234"/>
      <c r="AG414" s="234"/>
      <c r="AH414" s="234"/>
      <c r="AI414" s="234"/>
      <c r="AJ414" s="234"/>
      <c r="AK414" s="234"/>
      <c r="AL414" s="234"/>
      <c r="AM414" s="234"/>
      <c r="AN414" s="234"/>
      <c r="AO414" s="234"/>
      <c r="AP414" s="234"/>
      <c r="AQ414" s="234"/>
      <c r="AR414" s="234"/>
      <c r="AS414" s="234"/>
      <c r="AT414" s="234"/>
      <c r="AU414" s="234"/>
      <c r="AV414" s="234"/>
      <c r="AW414" s="234"/>
      <c r="AX414" s="234"/>
      <c r="AY414" s="234"/>
    </row>
    <row r="415" spans="1:51" ht="24" customHeight="1" x14ac:dyDescent="0.2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  <c r="AB415" s="234"/>
      <c r="AC415" s="234"/>
      <c r="AD415" s="234"/>
      <c r="AE415" s="234"/>
      <c r="AF415" s="234"/>
      <c r="AG415" s="234"/>
      <c r="AH415" s="234"/>
      <c r="AI415" s="234"/>
      <c r="AJ415" s="234"/>
      <c r="AK415" s="234"/>
      <c r="AL415" s="234"/>
      <c r="AM415" s="234"/>
      <c r="AN415" s="234"/>
      <c r="AO415" s="234"/>
      <c r="AP415" s="234"/>
      <c r="AQ415" s="234"/>
      <c r="AR415" s="234"/>
      <c r="AS415" s="234"/>
      <c r="AT415" s="234"/>
      <c r="AU415" s="234"/>
      <c r="AV415" s="234"/>
      <c r="AW415" s="234"/>
      <c r="AX415" s="234"/>
      <c r="AY415" s="234"/>
    </row>
    <row r="416" spans="1:51" ht="24" customHeight="1" x14ac:dyDescent="0.25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  <c r="AB416" s="234"/>
      <c r="AC416" s="234"/>
      <c r="AD416" s="234"/>
      <c r="AE416" s="234"/>
      <c r="AF416" s="234"/>
      <c r="AG416" s="234"/>
      <c r="AH416" s="234"/>
      <c r="AI416" s="234"/>
      <c r="AJ416" s="234"/>
      <c r="AK416" s="234"/>
      <c r="AL416" s="234"/>
      <c r="AM416" s="234"/>
      <c r="AN416" s="234"/>
      <c r="AO416" s="234"/>
      <c r="AP416" s="234"/>
      <c r="AQ416" s="234"/>
      <c r="AR416" s="234"/>
      <c r="AS416" s="234"/>
      <c r="AT416" s="234"/>
      <c r="AU416" s="234"/>
      <c r="AV416" s="234"/>
      <c r="AW416" s="234"/>
      <c r="AX416" s="234"/>
      <c r="AY416" s="234"/>
    </row>
    <row r="417" spans="1:51" ht="24" customHeight="1" x14ac:dyDescent="0.25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  <c r="AB417" s="234"/>
      <c r="AC417" s="234"/>
      <c r="AD417" s="234"/>
      <c r="AE417" s="234"/>
      <c r="AF417" s="234"/>
      <c r="AG417" s="234"/>
      <c r="AH417" s="234"/>
      <c r="AI417" s="234"/>
      <c r="AJ417" s="234"/>
      <c r="AK417" s="234"/>
      <c r="AL417" s="234"/>
      <c r="AM417" s="234"/>
      <c r="AN417" s="234"/>
      <c r="AO417" s="234"/>
      <c r="AP417" s="234"/>
      <c r="AQ417" s="234"/>
      <c r="AR417" s="234"/>
      <c r="AS417" s="234"/>
      <c r="AT417" s="234"/>
      <c r="AU417" s="234"/>
      <c r="AV417" s="234"/>
      <c r="AW417" s="234"/>
      <c r="AX417" s="234"/>
      <c r="AY417" s="234"/>
    </row>
    <row r="418" spans="1:51" ht="24" customHeight="1" x14ac:dyDescent="0.25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  <c r="AB418" s="234"/>
      <c r="AC418" s="234"/>
      <c r="AD418" s="234"/>
      <c r="AE418" s="234"/>
      <c r="AF418" s="234"/>
      <c r="AG418" s="234"/>
      <c r="AH418" s="234"/>
      <c r="AI418" s="234"/>
      <c r="AJ418" s="234"/>
      <c r="AK418" s="234"/>
      <c r="AL418" s="234"/>
      <c r="AM418" s="234"/>
      <c r="AN418" s="234"/>
      <c r="AO418" s="234"/>
      <c r="AP418" s="234"/>
      <c r="AQ418" s="234"/>
      <c r="AR418" s="234"/>
      <c r="AS418" s="234"/>
      <c r="AT418" s="234"/>
      <c r="AU418" s="234"/>
      <c r="AV418" s="234"/>
      <c r="AW418" s="234"/>
      <c r="AX418" s="234"/>
      <c r="AY418" s="234"/>
    </row>
    <row r="419" spans="1:51" ht="24" customHeight="1" x14ac:dyDescent="0.25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  <c r="AB419" s="234"/>
      <c r="AC419" s="234"/>
      <c r="AD419" s="234"/>
      <c r="AE419" s="234"/>
      <c r="AF419" s="234"/>
      <c r="AG419" s="234"/>
      <c r="AH419" s="234"/>
      <c r="AI419" s="234"/>
      <c r="AJ419" s="234"/>
      <c r="AK419" s="234"/>
      <c r="AL419" s="234"/>
      <c r="AM419" s="234"/>
      <c r="AN419" s="234"/>
      <c r="AO419" s="234"/>
      <c r="AP419" s="234"/>
      <c r="AQ419" s="234"/>
      <c r="AR419" s="234"/>
      <c r="AS419" s="234"/>
      <c r="AT419" s="234"/>
      <c r="AU419" s="234"/>
      <c r="AV419" s="234"/>
      <c r="AW419" s="234"/>
      <c r="AX419" s="234"/>
      <c r="AY419" s="234"/>
    </row>
    <row r="420" spans="1:51" ht="24" customHeight="1" x14ac:dyDescent="0.25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  <c r="AB420" s="234"/>
      <c r="AC420" s="234"/>
      <c r="AD420" s="234"/>
      <c r="AE420" s="234"/>
      <c r="AF420" s="234"/>
      <c r="AG420" s="234"/>
      <c r="AH420" s="234"/>
      <c r="AI420" s="234"/>
      <c r="AJ420" s="234"/>
      <c r="AK420" s="234"/>
      <c r="AL420" s="234"/>
      <c r="AM420" s="234"/>
      <c r="AN420" s="234"/>
      <c r="AO420" s="234"/>
      <c r="AP420" s="234"/>
      <c r="AQ420" s="234"/>
      <c r="AR420" s="234"/>
      <c r="AS420" s="234"/>
      <c r="AT420" s="234"/>
      <c r="AU420" s="234"/>
      <c r="AV420" s="234"/>
      <c r="AW420" s="234"/>
      <c r="AX420" s="234"/>
      <c r="AY420" s="234"/>
    </row>
    <row r="421" spans="1:51" ht="24" customHeight="1" x14ac:dyDescent="0.25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  <c r="AB421" s="234"/>
      <c r="AC421" s="234"/>
      <c r="AD421" s="234"/>
      <c r="AE421" s="234"/>
      <c r="AF421" s="234"/>
      <c r="AG421" s="234"/>
      <c r="AH421" s="234"/>
      <c r="AI421" s="234"/>
      <c r="AJ421" s="234"/>
      <c r="AK421" s="234"/>
      <c r="AL421" s="234"/>
      <c r="AM421" s="234"/>
      <c r="AN421" s="234"/>
      <c r="AO421" s="234"/>
      <c r="AP421" s="234"/>
      <c r="AQ421" s="234"/>
      <c r="AR421" s="234"/>
      <c r="AS421" s="234"/>
      <c r="AT421" s="234"/>
      <c r="AU421" s="234"/>
      <c r="AV421" s="234"/>
      <c r="AW421" s="234"/>
      <c r="AX421" s="234"/>
      <c r="AY421" s="234"/>
    </row>
    <row r="422" spans="1:51" ht="24" customHeight="1" x14ac:dyDescent="0.25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  <c r="AB422" s="234"/>
      <c r="AC422" s="234"/>
      <c r="AD422" s="234"/>
      <c r="AE422" s="234"/>
      <c r="AF422" s="234"/>
      <c r="AG422" s="234"/>
      <c r="AH422" s="234"/>
      <c r="AI422" s="234"/>
      <c r="AJ422" s="234"/>
      <c r="AK422" s="234"/>
      <c r="AL422" s="234"/>
      <c r="AM422" s="234"/>
      <c r="AN422" s="234"/>
      <c r="AO422" s="234"/>
      <c r="AP422" s="234"/>
      <c r="AQ422" s="234"/>
      <c r="AR422" s="234"/>
      <c r="AS422" s="234"/>
      <c r="AT422" s="234"/>
      <c r="AU422" s="234"/>
      <c r="AV422" s="234"/>
      <c r="AW422" s="234"/>
      <c r="AX422" s="234"/>
      <c r="AY422" s="234"/>
    </row>
    <row r="423" spans="1:51" ht="24" customHeight="1" x14ac:dyDescent="0.25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  <c r="AB423" s="234"/>
      <c r="AC423" s="234"/>
      <c r="AD423" s="234"/>
      <c r="AE423" s="234"/>
      <c r="AF423" s="234"/>
      <c r="AG423" s="234"/>
      <c r="AH423" s="234"/>
      <c r="AI423" s="234"/>
      <c r="AJ423" s="234"/>
      <c r="AK423" s="234"/>
      <c r="AL423" s="234"/>
      <c r="AM423" s="234"/>
      <c r="AN423" s="234"/>
      <c r="AO423" s="234"/>
      <c r="AP423" s="234"/>
      <c r="AQ423" s="234"/>
      <c r="AR423" s="234"/>
      <c r="AS423" s="234"/>
      <c r="AT423" s="234"/>
      <c r="AU423" s="234"/>
      <c r="AV423" s="234"/>
      <c r="AW423" s="234"/>
      <c r="AX423" s="234"/>
      <c r="AY423" s="234"/>
    </row>
    <row r="424" spans="1:51" ht="24" customHeight="1" x14ac:dyDescent="0.25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  <c r="AB424" s="234"/>
      <c r="AC424" s="234"/>
      <c r="AD424" s="234"/>
      <c r="AE424" s="234"/>
      <c r="AF424" s="234"/>
      <c r="AG424" s="234"/>
      <c r="AH424" s="234"/>
      <c r="AI424" s="234"/>
      <c r="AJ424" s="234"/>
      <c r="AK424" s="234"/>
      <c r="AL424" s="234"/>
      <c r="AM424" s="234"/>
      <c r="AN424" s="234"/>
      <c r="AO424" s="234"/>
      <c r="AP424" s="234"/>
      <c r="AQ424" s="234"/>
      <c r="AR424" s="234"/>
      <c r="AS424" s="234"/>
      <c r="AT424" s="234"/>
      <c r="AU424" s="234"/>
      <c r="AV424" s="234"/>
      <c r="AW424" s="234"/>
      <c r="AX424" s="234"/>
      <c r="AY424" s="234"/>
    </row>
    <row r="425" spans="1:51" ht="24" customHeight="1" x14ac:dyDescent="0.2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  <c r="AB425" s="234"/>
      <c r="AC425" s="234"/>
      <c r="AD425" s="234"/>
      <c r="AE425" s="234"/>
      <c r="AF425" s="234"/>
      <c r="AG425" s="234"/>
      <c r="AH425" s="234"/>
      <c r="AI425" s="234"/>
      <c r="AJ425" s="234"/>
      <c r="AK425" s="234"/>
      <c r="AL425" s="234"/>
      <c r="AM425" s="234"/>
      <c r="AN425" s="234"/>
      <c r="AO425" s="234"/>
      <c r="AP425" s="234"/>
      <c r="AQ425" s="234"/>
      <c r="AR425" s="234"/>
      <c r="AS425" s="234"/>
      <c r="AT425" s="234"/>
      <c r="AU425" s="234"/>
      <c r="AV425" s="234"/>
      <c r="AW425" s="234"/>
      <c r="AX425" s="234"/>
      <c r="AY425" s="234"/>
    </row>
    <row r="426" spans="1:51" ht="24" customHeight="1" x14ac:dyDescent="0.25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  <c r="AB426" s="234"/>
      <c r="AC426" s="234"/>
      <c r="AD426" s="234"/>
      <c r="AE426" s="234"/>
      <c r="AF426" s="234"/>
      <c r="AG426" s="234"/>
      <c r="AH426" s="234"/>
      <c r="AI426" s="234"/>
      <c r="AJ426" s="234"/>
      <c r="AK426" s="234"/>
      <c r="AL426" s="234"/>
      <c r="AM426" s="234"/>
      <c r="AN426" s="234"/>
      <c r="AO426" s="234"/>
      <c r="AP426" s="234"/>
      <c r="AQ426" s="234"/>
      <c r="AR426" s="234"/>
      <c r="AS426" s="234"/>
      <c r="AT426" s="234"/>
      <c r="AU426" s="234"/>
      <c r="AV426" s="234"/>
      <c r="AW426" s="234"/>
      <c r="AX426" s="234"/>
      <c r="AY426" s="234"/>
    </row>
    <row r="427" spans="1:51" ht="24" customHeight="1" x14ac:dyDescent="0.25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  <c r="AB427" s="234"/>
      <c r="AC427" s="234"/>
      <c r="AD427" s="234"/>
      <c r="AE427" s="234"/>
      <c r="AF427" s="234"/>
      <c r="AG427" s="234"/>
      <c r="AH427" s="234"/>
      <c r="AI427" s="234"/>
      <c r="AJ427" s="234"/>
      <c r="AK427" s="234"/>
      <c r="AL427" s="234"/>
      <c r="AM427" s="234"/>
      <c r="AN427" s="234"/>
      <c r="AO427" s="234"/>
      <c r="AP427" s="234"/>
      <c r="AQ427" s="234"/>
      <c r="AR427" s="234"/>
      <c r="AS427" s="234"/>
      <c r="AT427" s="234"/>
      <c r="AU427" s="234"/>
      <c r="AV427" s="234"/>
      <c r="AW427" s="234"/>
      <c r="AX427" s="234"/>
      <c r="AY427" s="234"/>
    </row>
    <row r="428" spans="1:51" ht="24" customHeight="1" x14ac:dyDescent="0.25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  <c r="AB428" s="234"/>
      <c r="AC428" s="234"/>
      <c r="AD428" s="234"/>
      <c r="AE428" s="234"/>
      <c r="AF428" s="234"/>
      <c r="AG428" s="234"/>
      <c r="AH428" s="234"/>
      <c r="AI428" s="234"/>
      <c r="AJ428" s="234"/>
      <c r="AK428" s="234"/>
      <c r="AL428" s="234"/>
      <c r="AM428" s="234"/>
      <c r="AN428" s="234"/>
      <c r="AO428" s="234"/>
      <c r="AP428" s="234"/>
      <c r="AQ428" s="234"/>
      <c r="AR428" s="234"/>
      <c r="AS428" s="234"/>
      <c r="AT428" s="234"/>
      <c r="AU428" s="234"/>
      <c r="AV428" s="234"/>
      <c r="AW428" s="234"/>
      <c r="AX428" s="234"/>
      <c r="AY428" s="234"/>
    </row>
    <row r="429" spans="1:51" ht="24" customHeight="1" x14ac:dyDescent="0.25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  <c r="AB429" s="234"/>
      <c r="AC429" s="234"/>
      <c r="AD429" s="234"/>
      <c r="AE429" s="234"/>
      <c r="AF429" s="234"/>
      <c r="AG429" s="234"/>
      <c r="AH429" s="234"/>
      <c r="AI429" s="234"/>
      <c r="AJ429" s="234"/>
      <c r="AK429" s="234"/>
      <c r="AL429" s="234"/>
      <c r="AM429" s="234"/>
      <c r="AN429" s="234"/>
      <c r="AO429" s="234"/>
      <c r="AP429" s="234"/>
      <c r="AQ429" s="234"/>
      <c r="AR429" s="234"/>
      <c r="AS429" s="234"/>
      <c r="AT429" s="234"/>
      <c r="AU429" s="234"/>
      <c r="AV429" s="234"/>
      <c r="AW429" s="234"/>
      <c r="AX429" s="234"/>
      <c r="AY429" s="234"/>
    </row>
    <row r="430" spans="1:51" ht="24" customHeight="1" x14ac:dyDescent="0.25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  <c r="AB430" s="234"/>
      <c r="AC430" s="234"/>
      <c r="AD430" s="234"/>
      <c r="AE430" s="234"/>
      <c r="AF430" s="234"/>
      <c r="AG430" s="234"/>
      <c r="AH430" s="234"/>
      <c r="AI430" s="234"/>
      <c r="AJ430" s="234"/>
      <c r="AK430" s="234"/>
      <c r="AL430" s="234"/>
      <c r="AM430" s="234"/>
      <c r="AN430" s="234"/>
      <c r="AO430" s="234"/>
      <c r="AP430" s="234"/>
      <c r="AQ430" s="234"/>
      <c r="AR430" s="234"/>
      <c r="AS430" s="234"/>
      <c r="AT430" s="234"/>
      <c r="AU430" s="234"/>
      <c r="AV430" s="234"/>
      <c r="AW430" s="234"/>
      <c r="AX430" s="234"/>
      <c r="AY430" s="234"/>
    </row>
    <row r="431" spans="1:51" ht="24" customHeight="1" x14ac:dyDescent="0.25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  <c r="AB431" s="234"/>
      <c r="AC431" s="234"/>
      <c r="AD431" s="234"/>
      <c r="AE431" s="234"/>
      <c r="AF431" s="234"/>
      <c r="AG431" s="234"/>
      <c r="AH431" s="234"/>
      <c r="AI431" s="234"/>
      <c r="AJ431" s="234"/>
      <c r="AK431" s="234"/>
      <c r="AL431" s="234"/>
      <c r="AM431" s="234"/>
      <c r="AN431" s="234"/>
      <c r="AO431" s="234"/>
      <c r="AP431" s="234"/>
      <c r="AQ431" s="234"/>
      <c r="AR431" s="234"/>
      <c r="AS431" s="234"/>
      <c r="AT431" s="234"/>
      <c r="AU431" s="234"/>
      <c r="AV431" s="234"/>
      <c r="AW431" s="234"/>
      <c r="AX431" s="234"/>
      <c r="AY431" s="234"/>
    </row>
    <row r="432" spans="1:51" ht="24" customHeight="1" x14ac:dyDescent="0.25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  <c r="AB432" s="234"/>
      <c r="AC432" s="234"/>
      <c r="AD432" s="234"/>
      <c r="AE432" s="234"/>
      <c r="AF432" s="234"/>
      <c r="AG432" s="234"/>
      <c r="AH432" s="234"/>
      <c r="AI432" s="234"/>
      <c r="AJ432" s="234"/>
      <c r="AK432" s="234"/>
      <c r="AL432" s="234"/>
      <c r="AM432" s="234"/>
      <c r="AN432" s="234"/>
      <c r="AO432" s="234"/>
      <c r="AP432" s="234"/>
      <c r="AQ432" s="234"/>
      <c r="AR432" s="234"/>
      <c r="AS432" s="234"/>
      <c r="AT432" s="234"/>
      <c r="AU432" s="234"/>
      <c r="AV432" s="234"/>
      <c r="AW432" s="234"/>
      <c r="AX432" s="234"/>
      <c r="AY432" s="234"/>
    </row>
    <row r="433" spans="1:51" ht="24" customHeight="1" x14ac:dyDescent="0.25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  <c r="AB433" s="234"/>
      <c r="AC433" s="234"/>
      <c r="AD433" s="234"/>
      <c r="AE433" s="234"/>
      <c r="AF433" s="234"/>
      <c r="AG433" s="234"/>
      <c r="AH433" s="234"/>
      <c r="AI433" s="234"/>
      <c r="AJ433" s="234"/>
      <c r="AK433" s="234"/>
      <c r="AL433" s="234"/>
      <c r="AM433" s="234"/>
      <c r="AN433" s="234"/>
      <c r="AO433" s="234"/>
      <c r="AP433" s="234"/>
      <c r="AQ433" s="234"/>
      <c r="AR433" s="234"/>
      <c r="AS433" s="234"/>
      <c r="AT433" s="234"/>
      <c r="AU433" s="234"/>
      <c r="AV433" s="234"/>
      <c r="AW433" s="234"/>
      <c r="AX433" s="234"/>
      <c r="AY433" s="234"/>
    </row>
    <row r="434" spans="1:51" ht="24" customHeight="1" x14ac:dyDescent="0.25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  <c r="AB434" s="234"/>
      <c r="AC434" s="234"/>
      <c r="AD434" s="234"/>
      <c r="AE434" s="234"/>
      <c r="AF434" s="234"/>
      <c r="AG434" s="234"/>
      <c r="AH434" s="234"/>
      <c r="AI434" s="234"/>
      <c r="AJ434" s="234"/>
      <c r="AK434" s="234"/>
      <c r="AL434" s="234"/>
      <c r="AM434" s="234"/>
      <c r="AN434" s="234"/>
      <c r="AO434" s="234"/>
      <c r="AP434" s="234"/>
      <c r="AQ434" s="234"/>
      <c r="AR434" s="234"/>
      <c r="AS434" s="234"/>
      <c r="AT434" s="234"/>
      <c r="AU434" s="234"/>
      <c r="AV434" s="234"/>
      <c r="AW434" s="234"/>
      <c r="AX434" s="234"/>
      <c r="AY434" s="234"/>
    </row>
    <row r="435" spans="1:51" ht="24" customHeight="1" x14ac:dyDescent="0.2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  <c r="AB435" s="234"/>
      <c r="AC435" s="234"/>
      <c r="AD435" s="234"/>
      <c r="AE435" s="234"/>
      <c r="AF435" s="234"/>
      <c r="AG435" s="234"/>
      <c r="AH435" s="234"/>
      <c r="AI435" s="234"/>
      <c r="AJ435" s="234"/>
      <c r="AK435" s="234"/>
      <c r="AL435" s="234"/>
      <c r="AM435" s="234"/>
      <c r="AN435" s="234"/>
      <c r="AO435" s="234"/>
      <c r="AP435" s="234"/>
      <c r="AQ435" s="234"/>
      <c r="AR435" s="234"/>
      <c r="AS435" s="234"/>
      <c r="AT435" s="234"/>
      <c r="AU435" s="234"/>
      <c r="AV435" s="234"/>
      <c r="AW435" s="234"/>
      <c r="AX435" s="234"/>
      <c r="AY435" s="234"/>
    </row>
    <row r="436" spans="1:51" ht="24" customHeight="1" x14ac:dyDescent="0.25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  <c r="AB436" s="234"/>
      <c r="AC436" s="234"/>
      <c r="AD436" s="234"/>
      <c r="AE436" s="234"/>
      <c r="AF436" s="234"/>
      <c r="AG436" s="234"/>
      <c r="AH436" s="234"/>
      <c r="AI436" s="234"/>
      <c r="AJ436" s="234"/>
      <c r="AK436" s="234"/>
      <c r="AL436" s="234"/>
      <c r="AM436" s="234"/>
      <c r="AN436" s="234"/>
      <c r="AO436" s="234"/>
      <c r="AP436" s="234"/>
      <c r="AQ436" s="234"/>
      <c r="AR436" s="234"/>
      <c r="AS436" s="234"/>
      <c r="AT436" s="234"/>
      <c r="AU436" s="234"/>
      <c r="AV436" s="234"/>
      <c r="AW436" s="234"/>
      <c r="AX436" s="234"/>
      <c r="AY436" s="234"/>
    </row>
    <row r="437" spans="1:51" ht="24" customHeight="1" x14ac:dyDescent="0.25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  <c r="AB437" s="234"/>
      <c r="AC437" s="234"/>
      <c r="AD437" s="234"/>
      <c r="AE437" s="234"/>
      <c r="AF437" s="234"/>
      <c r="AG437" s="234"/>
      <c r="AH437" s="234"/>
      <c r="AI437" s="234"/>
      <c r="AJ437" s="234"/>
      <c r="AK437" s="234"/>
      <c r="AL437" s="234"/>
      <c r="AM437" s="234"/>
      <c r="AN437" s="234"/>
      <c r="AO437" s="234"/>
      <c r="AP437" s="234"/>
      <c r="AQ437" s="234"/>
      <c r="AR437" s="234"/>
      <c r="AS437" s="234"/>
      <c r="AT437" s="234"/>
      <c r="AU437" s="234"/>
      <c r="AV437" s="234"/>
      <c r="AW437" s="234"/>
      <c r="AX437" s="234"/>
      <c r="AY437" s="234"/>
    </row>
    <row r="438" spans="1:51" ht="24" customHeight="1" x14ac:dyDescent="0.25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  <c r="AB438" s="234"/>
      <c r="AC438" s="234"/>
      <c r="AD438" s="234"/>
      <c r="AE438" s="234"/>
      <c r="AF438" s="234"/>
      <c r="AG438" s="234"/>
      <c r="AH438" s="234"/>
      <c r="AI438" s="234"/>
      <c r="AJ438" s="234"/>
      <c r="AK438" s="234"/>
      <c r="AL438" s="234"/>
      <c r="AM438" s="234"/>
      <c r="AN438" s="234"/>
      <c r="AO438" s="234"/>
      <c r="AP438" s="234"/>
      <c r="AQ438" s="234"/>
      <c r="AR438" s="234"/>
      <c r="AS438" s="234"/>
      <c r="AT438" s="234"/>
      <c r="AU438" s="234"/>
      <c r="AV438" s="234"/>
      <c r="AW438" s="234"/>
      <c r="AX438" s="234"/>
      <c r="AY438" s="234"/>
    </row>
    <row r="439" spans="1:51" ht="24" customHeight="1" x14ac:dyDescent="0.25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  <c r="AB439" s="234"/>
      <c r="AC439" s="234"/>
      <c r="AD439" s="234"/>
      <c r="AE439" s="234"/>
      <c r="AF439" s="234"/>
      <c r="AG439" s="234"/>
      <c r="AH439" s="234"/>
      <c r="AI439" s="234"/>
      <c r="AJ439" s="234"/>
      <c r="AK439" s="234"/>
      <c r="AL439" s="234"/>
      <c r="AM439" s="234"/>
      <c r="AN439" s="234"/>
      <c r="AO439" s="234"/>
      <c r="AP439" s="234"/>
      <c r="AQ439" s="234"/>
      <c r="AR439" s="234"/>
      <c r="AS439" s="234"/>
      <c r="AT439" s="234"/>
      <c r="AU439" s="234"/>
      <c r="AV439" s="234"/>
      <c r="AW439" s="234"/>
      <c r="AX439" s="234"/>
      <c r="AY439" s="234"/>
    </row>
    <row r="440" spans="1:51" ht="24" customHeight="1" x14ac:dyDescent="0.25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  <c r="AB440" s="234"/>
      <c r="AC440" s="234"/>
      <c r="AD440" s="234"/>
      <c r="AE440" s="234"/>
      <c r="AF440" s="234"/>
      <c r="AG440" s="234"/>
      <c r="AH440" s="234"/>
      <c r="AI440" s="234"/>
      <c r="AJ440" s="234"/>
      <c r="AK440" s="234"/>
      <c r="AL440" s="234"/>
      <c r="AM440" s="234"/>
      <c r="AN440" s="234"/>
      <c r="AO440" s="234"/>
      <c r="AP440" s="234"/>
      <c r="AQ440" s="234"/>
      <c r="AR440" s="234"/>
      <c r="AS440" s="234"/>
      <c r="AT440" s="234"/>
      <c r="AU440" s="234"/>
      <c r="AV440" s="234"/>
      <c r="AW440" s="234"/>
      <c r="AX440" s="234"/>
      <c r="AY440" s="234"/>
    </row>
    <row r="441" spans="1:51" ht="24" customHeight="1" x14ac:dyDescent="0.25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  <c r="AB441" s="234"/>
      <c r="AC441" s="234"/>
      <c r="AD441" s="234"/>
      <c r="AE441" s="234"/>
      <c r="AF441" s="234"/>
      <c r="AG441" s="234"/>
      <c r="AH441" s="234"/>
      <c r="AI441" s="234"/>
      <c r="AJ441" s="234"/>
      <c r="AK441" s="234"/>
      <c r="AL441" s="234"/>
      <c r="AM441" s="234"/>
      <c r="AN441" s="234"/>
      <c r="AO441" s="234"/>
      <c r="AP441" s="234"/>
      <c r="AQ441" s="234"/>
      <c r="AR441" s="234"/>
      <c r="AS441" s="234"/>
      <c r="AT441" s="234"/>
      <c r="AU441" s="234"/>
      <c r="AV441" s="234"/>
      <c r="AW441" s="234"/>
      <c r="AX441" s="234"/>
      <c r="AY441" s="234"/>
    </row>
    <row r="442" spans="1:51" ht="24" customHeight="1" x14ac:dyDescent="0.25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  <c r="AB442" s="234"/>
      <c r="AC442" s="234"/>
      <c r="AD442" s="234"/>
      <c r="AE442" s="234"/>
      <c r="AF442" s="234"/>
      <c r="AG442" s="234"/>
      <c r="AH442" s="234"/>
      <c r="AI442" s="234"/>
      <c r="AJ442" s="234"/>
      <c r="AK442" s="234"/>
      <c r="AL442" s="234"/>
      <c r="AM442" s="234"/>
      <c r="AN442" s="234"/>
      <c r="AO442" s="234"/>
      <c r="AP442" s="234"/>
      <c r="AQ442" s="234"/>
      <c r="AR442" s="234"/>
      <c r="AS442" s="234"/>
      <c r="AT442" s="234"/>
      <c r="AU442" s="234"/>
      <c r="AV442" s="234"/>
      <c r="AW442" s="234"/>
      <c r="AX442" s="234"/>
      <c r="AY442" s="234"/>
    </row>
    <row r="443" spans="1:51" ht="24" customHeight="1" x14ac:dyDescent="0.25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  <c r="AB443" s="234"/>
      <c r="AC443" s="234"/>
      <c r="AD443" s="234"/>
      <c r="AE443" s="234"/>
      <c r="AF443" s="234"/>
      <c r="AG443" s="234"/>
      <c r="AH443" s="234"/>
      <c r="AI443" s="234"/>
      <c r="AJ443" s="234"/>
      <c r="AK443" s="234"/>
      <c r="AL443" s="234"/>
      <c r="AM443" s="234"/>
      <c r="AN443" s="234"/>
      <c r="AO443" s="234"/>
      <c r="AP443" s="234"/>
      <c r="AQ443" s="234"/>
      <c r="AR443" s="234"/>
      <c r="AS443" s="234"/>
      <c r="AT443" s="234"/>
      <c r="AU443" s="234"/>
      <c r="AV443" s="234"/>
      <c r="AW443" s="234"/>
      <c r="AX443" s="234"/>
      <c r="AY443" s="234"/>
    </row>
    <row r="444" spans="1:51" ht="24" customHeight="1" x14ac:dyDescent="0.25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  <c r="AC444" s="234"/>
      <c r="AD444" s="234"/>
      <c r="AE444" s="234"/>
      <c r="AF444" s="234"/>
      <c r="AG444" s="234"/>
      <c r="AH444" s="234"/>
      <c r="AI444" s="234"/>
      <c r="AJ444" s="234"/>
      <c r="AK444" s="234"/>
      <c r="AL444" s="234"/>
      <c r="AM444" s="234"/>
      <c r="AN444" s="234"/>
      <c r="AO444" s="234"/>
      <c r="AP444" s="234"/>
      <c r="AQ444" s="234"/>
      <c r="AR444" s="234"/>
      <c r="AS444" s="234"/>
      <c r="AT444" s="234"/>
      <c r="AU444" s="234"/>
      <c r="AV444" s="234"/>
      <c r="AW444" s="234"/>
      <c r="AX444" s="234"/>
      <c r="AY444" s="234"/>
    </row>
    <row r="445" spans="1:51" ht="24" customHeight="1" x14ac:dyDescent="0.2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  <c r="AB445" s="234"/>
      <c r="AC445" s="234"/>
      <c r="AD445" s="234"/>
      <c r="AE445" s="234"/>
      <c r="AF445" s="234"/>
      <c r="AG445" s="234"/>
      <c r="AH445" s="234"/>
      <c r="AI445" s="234"/>
      <c r="AJ445" s="234"/>
      <c r="AK445" s="234"/>
      <c r="AL445" s="234"/>
      <c r="AM445" s="234"/>
      <c r="AN445" s="234"/>
      <c r="AO445" s="234"/>
      <c r="AP445" s="234"/>
      <c r="AQ445" s="234"/>
      <c r="AR445" s="234"/>
      <c r="AS445" s="234"/>
      <c r="AT445" s="234"/>
      <c r="AU445" s="234"/>
      <c r="AV445" s="234"/>
      <c r="AW445" s="234"/>
      <c r="AX445" s="234"/>
      <c r="AY445" s="234"/>
    </row>
    <row r="446" spans="1:51" ht="24" customHeight="1" x14ac:dyDescent="0.25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  <c r="AB446" s="234"/>
      <c r="AC446" s="234"/>
      <c r="AD446" s="234"/>
      <c r="AE446" s="234"/>
      <c r="AF446" s="234"/>
      <c r="AG446" s="234"/>
      <c r="AH446" s="234"/>
      <c r="AI446" s="234"/>
      <c r="AJ446" s="234"/>
      <c r="AK446" s="234"/>
      <c r="AL446" s="234"/>
      <c r="AM446" s="234"/>
      <c r="AN446" s="234"/>
      <c r="AO446" s="234"/>
      <c r="AP446" s="234"/>
      <c r="AQ446" s="234"/>
      <c r="AR446" s="234"/>
      <c r="AS446" s="234"/>
      <c r="AT446" s="234"/>
      <c r="AU446" s="234"/>
      <c r="AV446" s="234"/>
      <c r="AW446" s="234"/>
      <c r="AX446" s="234"/>
      <c r="AY446" s="234"/>
    </row>
    <row r="447" spans="1:51" ht="24" customHeight="1" x14ac:dyDescent="0.25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  <c r="AB447" s="234"/>
      <c r="AC447" s="234"/>
      <c r="AD447" s="234"/>
      <c r="AE447" s="234"/>
      <c r="AF447" s="234"/>
      <c r="AG447" s="234"/>
      <c r="AH447" s="234"/>
      <c r="AI447" s="234"/>
      <c r="AJ447" s="234"/>
      <c r="AK447" s="234"/>
      <c r="AL447" s="234"/>
      <c r="AM447" s="234"/>
      <c r="AN447" s="234"/>
      <c r="AO447" s="234"/>
      <c r="AP447" s="234"/>
      <c r="AQ447" s="234"/>
      <c r="AR447" s="234"/>
      <c r="AS447" s="234"/>
      <c r="AT447" s="234"/>
      <c r="AU447" s="234"/>
      <c r="AV447" s="234"/>
      <c r="AW447" s="234"/>
      <c r="AX447" s="234"/>
      <c r="AY447" s="234"/>
    </row>
    <row r="448" spans="1:51" ht="24" customHeight="1" x14ac:dyDescent="0.25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  <c r="AB448" s="234"/>
      <c r="AC448" s="234"/>
      <c r="AD448" s="234"/>
      <c r="AE448" s="234"/>
      <c r="AF448" s="234"/>
      <c r="AG448" s="234"/>
      <c r="AH448" s="234"/>
      <c r="AI448" s="234"/>
      <c r="AJ448" s="234"/>
      <c r="AK448" s="234"/>
      <c r="AL448" s="234"/>
      <c r="AM448" s="234"/>
      <c r="AN448" s="234"/>
      <c r="AO448" s="234"/>
      <c r="AP448" s="234"/>
      <c r="AQ448" s="234"/>
      <c r="AR448" s="234"/>
      <c r="AS448" s="234"/>
      <c r="AT448" s="234"/>
      <c r="AU448" s="234"/>
      <c r="AV448" s="234"/>
      <c r="AW448" s="234"/>
      <c r="AX448" s="234"/>
      <c r="AY448" s="234"/>
    </row>
    <row r="449" spans="1:51" ht="24" customHeight="1" x14ac:dyDescent="0.25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  <c r="AB449" s="234"/>
      <c r="AC449" s="234"/>
      <c r="AD449" s="234"/>
      <c r="AE449" s="234"/>
      <c r="AF449" s="234"/>
      <c r="AG449" s="234"/>
      <c r="AH449" s="234"/>
      <c r="AI449" s="234"/>
      <c r="AJ449" s="234"/>
      <c r="AK449" s="234"/>
      <c r="AL449" s="234"/>
      <c r="AM449" s="234"/>
      <c r="AN449" s="234"/>
      <c r="AO449" s="234"/>
      <c r="AP449" s="234"/>
      <c r="AQ449" s="234"/>
      <c r="AR449" s="234"/>
      <c r="AS449" s="234"/>
      <c r="AT449" s="234"/>
      <c r="AU449" s="234"/>
      <c r="AV449" s="234"/>
      <c r="AW449" s="234"/>
      <c r="AX449" s="234"/>
      <c r="AY449" s="234"/>
    </row>
    <row r="450" spans="1:51" ht="24" customHeight="1" x14ac:dyDescent="0.25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  <c r="AB450" s="234"/>
      <c r="AC450" s="234"/>
      <c r="AD450" s="234"/>
      <c r="AE450" s="234"/>
      <c r="AF450" s="234"/>
      <c r="AG450" s="234"/>
      <c r="AH450" s="234"/>
      <c r="AI450" s="234"/>
      <c r="AJ450" s="234"/>
      <c r="AK450" s="234"/>
      <c r="AL450" s="234"/>
      <c r="AM450" s="234"/>
      <c r="AN450" s="234"/>
      <c r="AO450" s="234"/>
      <c r="AP450" s="234"/>
      <c r="AQ450" s="234"/>
      <c r="AR450" s="234"/>
      <c r="AS450" s="234"/>
      <c r="AT450" s="234"/>
      <c r="AU450" s="234"/>
      <c r="AV450" s="234"/>
      <c r="AW450" s="234"/>
      <c r="AX450" s="234"/>
      <c r="AY450" s="234"/>
    </row>
    <row r="451" spans="1:51" ht="24" customHeight="1" x14ac:dyDescent="0.25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  <c r="AB451" s="234"/>
      <c r="AC451" s="234"/>
      <c r="AD451" s="234"/>
      <c r="AE451" s="234"/>
      <c r="AF451" s="234"/>
      <c r="AG451" s="234"/>
      <c r="AH451" s="234"/>
      <c r="AI451" s="234"/>
      <c r="AJ451" s="234"/>
      <c r="AK451" s="234"/>
      <c r="AL451" s="234"/>
      <c r="AM451" s="234"/>
      <c r="AN451" s="234"/>
      <c r="AO451" s="234"/>
      <c r="AP451" s="234"/>
      <c r="AQ451" s="234"/>
      <c r="AR451" s="234"/>
      <c r="AS451" s="234"/>
      <c r="AT451" s="234"/>
      <c r="AU451" s="234"/>
      <c r="AV451" s="234"/>
      <c r="AW451" s="234"/>
      <c r="AX451" s="234"/>
      <c r="AY451" s="234"/>
    </row>
    <row r="452" spans="1:51" ht="24" customHeight="1" x14ac:dyDescent="0.25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  <c r="AB452" s="234"/>
      <c r="AC452" s="234"/>
      <c r="AD452" s="234"/>
      <c r="AE452" s="234"/>
      <c r="AF452" s="234"/>
      <c r="AG452" s="234"/>
      <c r="AH452" s="234"/>
      <c r="AI452" s="234"/>
      <c r="AJ452" s="234"/>
      <c r="AK452" s="234"/>
      <c r="AL452" s="234"/>
      <c r="AM452" s="234"/>
      <c r="AN452" s="234"/>
      <c r="AO452" s="234"/>
      <c r="AP452" s="234"/>
      <c r="AQ452" s="234"/>
      <c r="AR452" s="234"/>
      <c r="AS452" s="234"/>
      <c r="AT452" s="234"/>
      <c r="AU452" s="234"/>
      <c r="AV452" s="234"/>
      <c r="AW452" s="234"/>
      <c r="AX452" s="234"/>
      <c r="AY452" s="234"/>
    </row>
    <row r="453" spans="1:51" ht="24" customHeight="1" x14ac:dyDescent="0.25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  <c r="AB453" s="234"/>
      <c r="AC453" s="234"/>
      <c r="AD453" s="234"/>
      <c r="AE453" s="234"/>
      <c r="AF453" s="234"/>
      <c r="AG453" s="234"/>
      <c r="AH453" s="234"/>
      <c r="AI453" s="234"/>
      <c r="AJ453" s="234"/>
      <c r="AK453" s="234"/>
      <c r="AL453" s="234"/>
      <c r="AM453" s="234"/>
      <c r="AN453" s="234"/>
      <c r="AO453" s="234"/>
      <c r="AP453" s="234"/>
      <c r="AQ453" s="234"/>
      <c r="AR453" s="234"/>
      <c r="AS453" s="234"/>
      <c r="AT453" s="234"/>
      <c r="AU453" s="234"/>
      <c r="AV453" s="234"/>
      <c r="AW453" s="234"/>
      <c r="AX453" s="234"/>
      <c r="AY453" s="234"/>
    </row>
    <row r="454" spans="1:51" ht="24" customHeight="1" x14ac:dyDescent="0.25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  <c r="AB454" s="234"/>
      <c r="AC454" s="234"/>
      <c r="AD454" s="234"/>
      <c r="AE454" s="234"/>
      <c r="AF454" s="234"/>
      <c r="AG454" s="234"/>
      <c r="AH454" s="234"/>
      <c r="AI454" s="234"/>
      <c r="AJ454" s="234"/>
      <c r="AK454" s="234"/>
      <c r="AL454" s="234"/>
      <c r="AM454" s="234"/>
      <c r="AN454" s="234"/>
      <c r="AO454" s="234"/>
      <c r="AP454" s="234"/>
      <c r="AQ454" s="234"/>
      <c r="AR454" s="234"/>
      <c r="AS454" s="234"/>
      <c r="AT454" s="234"/>
      <c r="AU454" s="234"/>
      <c r="AV454" s="234"/>
      <c r="AW454" s="234"/>
      <c r="AX454" s="234"/>
      <c r="AY454" s="234"/>
    </row>
    <row r="455" spans="1:51" ht="24" customHeight="1" x14ac:dyDescent="0.2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  <c r="AB455" s="234"/>
      <c r="AC455" s="234"/>
      <c r="AD455" s="234"/>
      <c r="AE455" s="234"/>
      <c r="AF455" s="234"/>
      <c r="AG455" s="234"/>
      <c r="AH455" s="234"/>
      <c r="AI455" s="234"/>
      <c r="AJ455" s="234"/>
      <c r="AK455" s="234"/>
      <c r="AL455" s="234"/>
      <c r="AM455" s="234"/>
      <c r="AN455" s="234"/>
      <c r="AO455" s="234"/>
      <c r="AP455" s="234"/>
      <c r="AQ455" s="234"/>
      <c r="AR455" s="234"/>
      <c r="AS455" s="234"/>
      <c r="AT455" s="234"/>
      <c r="AU455" s="234"/>
      <c r="AV455" s="234"/>
      <c r="AW455" s="234"/>
      <c r="AX455" s="234"/>
      <c r="AY455" s="234"/>
    </row>
    <row r="456" spans="1:51" ht="24" customHeight="1" x14ac:dyDescent="0.25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  <c r="AB456" s="234"/>
      <c r="AC456" s="234"/>
      <c r="AD456" s="234"/>
      <c r="AE456" s="234"/>
      <c r="AF456" s="234"/>
      <c r="AG456" s="234"/>
      <c r="AH456" s="234"/>
      <c r="AI456" s="234"/>
      <c r="AJ456" s="234"/>
      <c r="AK456" s="234"/>
      <c r="AL456" s="234"/>
      <c r="AM456" s="234"/>
      <c r="AN456" s="234"/>
      <c r="AO456" s="234"/>
      <c r="AP456" s="234"/>
      <c r="AQ456" s="234"/>
      <c r="AR456" s="234"/>
      <c r="AS456" s="234"/>
      <c r="AT456" s="234"/>
      <c r="AU456" s="234"/>
      <c r="AV456" s="234"/>
      <c r="AW456" s="234"/>
      <c r="AX456" s="234"/>
      <c r="AY456" s="234"/>
    </row>
    <row r="457" spans="1:51" ht="24" customHeight="1" x14ac:dyDescent="0.25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  <c r="AB457" s="234"/>
      <c r="AC457" s="234"/>
      <c r="AD457" s="234"/>
      <c r="AE457" s="234"/>
      <c r="AF457" s="234"/>
      <c r="AG457" s="234"/>
      <c r="AH457" s="234"/>
      <c r="AI457" s="234"/>
      <c r="AJ457" s="234"/>
      <c r="AK457" s="234"/>
      <c r="AL457" s="234"/>
      <c r="AM457" s="234"/>
      <c r="AN457" s="234"/>
      <c r="AO457" s="234"/>
      <c r="AP457" s="234"/>
      <c r="AQ457" s="234"/>
      <c r="AR457" s="234"/>
      <c r="AS457" s="234"/>
      <c r="AT457" s="234"/>
      <c r="AU457" s="234"/>
      <c r="AV457" s="234"/>
      <c r="AW457" s="234"/>
      <c r="AX457" s="234"/>
      <c r="AY457" s="234"/>
    </row>
    <row r="458" spans="1:51" ht="24" customHeight="1" x14ac:dyDescent="0.25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  <c r="AB458" s="234"/>
      <c r="AC458" s="234"/>
      <c r="AD458" s="234"/>
      <c r="AE458" s="234"/>
      <c r="AF458" s="234"/>
      <c r="AG458" s="234"/>
      <c r="AH458" s="234"/>
      <c r="AI458" s="234"/>
      <c r="AJ458" s="234"/>
      <c r="AK458" s="234"/>
      <c r="AL458" s="234"/>
      <c r="AM458" s="234"/>
      <c r="AN458" s="234"/>
      <c r="AO458" s="234"/>
      <c r="AP458" s="234"/>
      <c r="AQ458" s="234"/>
      <c r="AR458" s="234"/>
      <c r="AS458" s="234"/>
      <c r="AT458" s="234"/>
      <c r="AU458" s="234"/>
      <c r="AV458" s="234"/>
      <c r="AW458" s="234"/>
      <c r="AX458" s="234"/>
      <c r="AY458" s="234"/>
    </row>
    <row r="459" spans="1:51" ht="24" customHeight="1" x14ac:dyDescent="0.25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  <c r="AB459" s="234"/>
      <c r="AC459" s="234"/>
      <c r="AD459" s="234"/>
      <c r="AE459" s="234"/>
      <c r="AF459" s="234"/>
      <c r="AG459" s="234"/>
      <c r="AH459" s="234"/>
      <c r="AI459" s="234"/>
      <c r="AJ459" s="234"/>
      <c r="AK459" s="234"/>
      <c r="AL459" s="234"/>
      <c r="AM459" s="234"/>
      <c r="AN459" s="234"/>
      <c r="AO459" s="234"/>
      <c r="AP459" s="234"/>
      <c r="AQ459" s="234"/>
      <c r="AR459" s="234"/>
      <c r="AS459" s="234"/>
      <c r="AT459" s="234"/>
      <c r="AU459" s="234"/>
      <c r="AV459" s="234"/>
      <c r="AW459" s="234"/>
      <c r="AX459" s="234"/>
      <c r="AY459" s="234"/>
    </row>
    <row r="460" spans="1:51" ht="24" customHeight="1" x14ac:dyDescent="0.25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  <c r="AB460" s="234"/>
      <c r="AC460" s="234"/>
      <c r="AD460" s="234"/>
      <c r="AE460" s="234"/>
      <c r="AF460" s="234"/>
      <c r="AG460" s="234"/>
      <c r="AH460" s="234"/>
      <c r="AI460" s="234"/>
      <c r="AJ460" s="234"/>
      <c r="AK460" s="234"/>
      <c r="AL460" s="234"/>
      <c r="AM460" s="234"/>
      <c r="AN460" s="234"/>
      <c r="AO460" s="234"/>
      <c r="AP460" s="234"/>
      <c r="AQ460" s="234"/>
      <c r="AR460" s="234"/>
      <c r="AS460" s="234"/>
      <c r="AT460" s="234"/>
      <c r="AU460" s="234"/>
      <c r="AV460" s="234"/>
      <c r="AW460" s="234"/>
      <c r="AX460" s="234"/>
      <c r="AY460" s="234"/>
    </row>
    <row r="461" spans="1:51" ht="24" customHeight="1" x14ac:dyDescent="0.25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  <c r="AB461" s="234"/>
      <c r="AC461" s="234"/>
      <c r="AD461" s="234"/>
      <c r="AE461" s="234"/>
      <c r="AF461" s="234"/>
      <c r="AG461" s="234"/>
      <c r="AH461" s="234"/>
      <c r="AI461" s="234"/>
      <c r="AJ461" s="234"/>
      <c r="AK461" s="234"/>
      <c r="AL461" s="234"/>
      <c r="AM461" s="234"/>
      <c r="AN461" s="234"/>
      <c r="AO461" s="234"/>
      <c r="AP461" s="234"/>
      <c r="AQ461" s="234"/>
      <c r="AR461" s="234"/>
      <c r="AS461" s="234"/>
      <c r="AT461" s="234"/>
      <c r="AU461" s="234"/>
      <c r="AV461" s="234"/>
      <c r="AW461" s="234"/>
      <c r="AX461" s="234"/>
      <c r="AY461" s="234"/>
    </row>
    <row r="462" spans="1:51" ht="24" customHeight="1" x14ac:dyDescent="0.25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  <c r="AB462" s="234"/>
      <c r="AC462" s="234"/>
      <c r="AD462" s="234"/>
      <c r="AE462" s="234"/>
      <c r="AF462" s="234"/>
      <c r="AG462" s="234"/>
      <c r="AH462" s="234"/>
      <c r="AI462" s="234"/>
      <c r="AJ462" s="234"/>
      <c r="AK462" s="234"/>
      <c r="AL462" s="234"/>
      <c r="AM462" s="234"/>
      <c r="AN462" s="234"/>
      <c r="AO462" s="234"/>
      <c r="AP462" s="234"/>
      <c r="AQ462" s="234"/>
      <c r="AR462" s="234"/>
      <c r="AS462" s="234"/>
      <c r="AT462" s="234"/>
      <c r="AU462" s="234"/>
      <c r="AV462" s="234"/>
      <c r="AW462" s="234"/>
      <c r="AX462" s="234"/>
      <c r="AY462" s="234"/>
    </row>
    <row r="463" spans="1:51" ht="24" customHeight="1" x14ac:dyDescent="0.25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  <c r="AB463" s="234"/>
      <c r="AC463" s="234"/>
      <c r="AD463" s="234"/>
      <c r="AE463" s="234"/>
      <c r="AF463" s="234"/>
      <c r="AG463" s="234"/>
      <c r="AH463" s="234"/>
      <c r="AI463" s="234"/>
      <c r="AJ463" s="234"/>
      <c r="AK463" s="234"/>
      <c r="AL463" s="234"/>
      <c r="AM463" s="234"/>
      <c r="AN463" s="234"/>
      <c r="AO463" s="234"/>
      <c r="AP463" s="234"/>
      <c r="AQ463" s="234"/>
      <c r="AR463" s="234"/>
      <c r="AS463" s="234"/>
      <c r="AT463" s="234"/>
      <c r="AU463" s="234"/>
      <c r="AV463" s="234"/>
      <c r="AW463" s="234"/>
      <c r="AX463" s="234"/>
      <c r="AY463" s="234"/>
    </row>
    <row r="464" spans="1:51" ht="24" customHeight="1" x14ac:dyDescent="0.25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  <c r="AC464" s="234"/>
      <c r="AD464" s="234"/>
      <c r="AE464" s="234"/>
      <c r="AF464" s="234"/>
      <c r="AG464" s="234"/>
      <c r="AH464" s="234"/>
      <c r="AI464" s="234"/>
      <c r="AJ464" s="234"/>
      <c r="AK464" s="234"/>
      <c r="AL464" s="234"/>
      <c r="AM464" s="234"/>
      <c r="AN464" s="234"/>
      <c r="AO464" s="234"/>
      <c r="AP464" s="234"/>
      <c r="AQ464" s="234"/>
      <c r="AR464" s="234"/>
      <c r="AS464" s="234"/>
      <c r="AT464" s="234"/>
      <c r="AU464" s="234"/>
      <c r="AV464" s="234"/>
      <c r="AW464" s="234"/>
      <c r="AX464" s="234"/>
      <c r="AY464" s="234"/>
    </row>
    <row r="465" spans="1:51" ht="24" customHeight="1" x14ac:dyDescent="0.2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  <c r="AB465" s="234"/>
      <c r="AC465" s="234"/>
      <c r="AD465" s="234"/>
      <c r="AE465" s="234"/>
      <c r="AF465" s="234"/>
      <c r="AG465" s="234"/>
      <c r="AH465" s="234"/>
      <c r="AI465" s="234"/>
      <c r="AJ465" s="234"/>
      <c r="AK465" s="234"/>
      <c r="AL465" s="234"/>
      <c r="AM465" s="234"/>
      <c r="AN465" s="234"/>
      <c r="AO465" s="234"/>
      <c r="AP465" s="234"/>
      <c r="AQ465" s="234"/>
      <c r="AR465" s="234"/>
      <c r="AS465" s="234"/>
      <c r="AT465" s="234"/>
      <c r="AU465" s="234"/>
      <c r="AV465" s="234"/>
      <c r="AW465" s="234"/>
      <c r="AX465" s="234"/>
      <c r="AY465" s="234"/>
    </row>
    <row r="466" spans="1:51" ht="24" customHeight="1" x14ac:dyDescent="0.25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  <c r="AB466" s="234"/>
      <c r="AC466" s="234"/>
      <c r="AD466" s="234"/>
      <c r="AE466" s="234"/>
      <c r="AF466" s="234"/>
      <c r="AG466" s="234"/>
      <c r="AH466" s="234"/>
      <c r="AI466" s="234"/>
      <c r="AJ466" s="234"/>
      <c r="AK466" s="234"/>
      <c r="AL466" s="234"/>
      <c r="AM466" s="234"/>
      <c r="AN466" s="234"/>
      <c r="AO466" s="234"/>
      <c r="AP466" s="234"/>
      <c r="AQ466" s="234"/>
      <c r="AR466" s="234"/>
      <c r="AS466" s="234"/>
      <c r="AT466" s="234"/>
      <c r="AU466" s="234"/>
      <c r="AV466" s="234"/>
      <c r="AW466" s="234"/>
      <c r="AX466" s="234"/>
      <c r="AY466" s="234"/>
    </row>
    <row r="467" spans="1:51" ht="24" customHeight="1" x14ac:dyDescent="0.25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  <c r="AB467" s="234"/>
      <c r="AC467" s="234"/>
      <c r="AD467" s="234"/>
      <c r="AE467" s="234"/>
      <c r="AF467" s="234"/>
      <c r="AG467" s="234"/>
      <c r="AH467" s="234"/>
      <c r="AI467" s="234"/>
      <c r="AJ467" s="234"/>
      <c r="AK467" s="234"/>
      <c r="AL467" s="234"/>
      <c r="AM467" s="234"/>
      <c r="AN467" s="234"/>
      <c r="AO467" s="234"/>
      <c r="AP467" s="234"/>
      <c r="AQ467" s="234"/>
      <c r="AR467" s="234"/>
      <c r="AS467" s="234"/>
      <c r="AT467" s="234"/>
      <c r="AU467" s="234"/>
      <c r="AV467" s="234"/>
      <c r="AW467" s="234"/>
      <c r="AX467" s="234"/>
      <c r="AY467" s="234"/>
    </row>
    <row r="468" spans="1:51" ht="24" customHeight="1" x14ac:dyDescent="0.25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  <c r="AB468" s="234"/>
      <c r="AC468" s="234"/>
      <c r="AD468" s="234"/>
      <c r="AE468" s="234"/>
      <c r="AF468" s="234"/>
      <c r="AG468" s="234"/>
      <c r="AH468" s="234"/>
      <c r="AI468" s="234"/>
      <c r="AJ468" s="234"/>
      <c r="AK468" s="234"/>
      <c r="AL468" s="234"/>
      <c r="AM468" s="234"/>
      <c r="AN468" s="234"/>
      <c r="AO468" s="234"/>
      <c r="AP468" s="234"/>
      <c r="AQ468" s="234"/>
      <c r="AR468" s="234"/>
      <c r="AS468" s="234"/>
      <c r="AT468" s="234"/>
      <c r="AU468" s="234"/>
      <c r="AV468" s="234"/>
      <c r="AW468" s="234"/>
      <c r="AX468" s="234"/>
      <c r="AY468" s="234"/>
    </row>
    <row r="469" spans="1:51" ht="24" customHeight="1" x14ac:dyDescent="0.25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  <c r="AB469" s="234"/>
      <c r="AC469" s="234"/>
      <c r="AD469" s="234"/>
      <c r="AE469" s="234"/>
      <c r="AF469" s="234"/>
      <c r="AG469" s="234"/>
      <c r="AH469" s="234"/>
      <c r="AI469" s="234"/>
      <c r="AJ469" s="234"/>
      <c r="AK469" s="234"/>
      <c r="AL469" s="234"/>
      <c r="AM469" s="234"/>
      <c r="AN469" s="234"/>
      <c r="AO469" s="234"/>
      <c r="AP469" s="234"/>
      <c r="AQ469" s="234"/>
      <c r="AR469" s="234"/>
      <c r="AS469" s="234"/>
      <c r="AT469" s="234"/>
      <c r="AU469" s="234"/>
      <c r="AV469" s="234"/>
      <c r="AW469" s="234"/>
      <c r="AX469" s="234"/>
      <c r="AY469" s="234"/>
    </row>
    <row r="470" spans="1:51" ht="24" customHeight="1" x14ac:dyDescent="0.25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  <c r="AB470" s="234"/>
      <c r="AC470" s="234"/>
      <c r="AD470" s="234"/>
      <c r="AE470" s="234"/>
      <c r="AF470" s="234"/>
      <c r="AG470" s="234"/>
      <c r="AH470" s="234"/>
      <c r="AI470" s="234"/>
      <c r="AJ470" s="234"/>
      <c r="AK470" s="234"/>
      <c r="AL470" s="234"/>
      <c r="AM470" s="234"/>
      <c r="AN470" s="234"/>
      <c r="AO470" s="234"/>
      <c r="AP470" s="234"/>
      <c r="AQ470" s="234"/>
      <c r="AR470" s="234"/>
      <c r="AS470" s="234"/>
      <c r="AT470" s="234"/>
      <c r="AU470" s="234"/>
      <c r="AV470" s="234"/>
      <c r="AW470" s="234"/>
      <c r="AX470" s="234"/>
      <c r="AY470" s="234"/>
    </row>
    <row r="471" spans="1:51" ht="24" customHeight="1" x14ac:dyDescent="0.25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  <c r="AB471" s="234"/>
      <c r="AC471" s="234"/>
      <c r="AD471" s="234"/>
      <c r="AE471" s="234"/>
      <c r="AF471" s="234"/>
      <c r="AG471" s="234"/>
      <c r="AH471" s="234"/>
      <c r="AI471" s="234"/>
      <c r="AJ471" s="234"/>
      <c r="AK471" s="234"/>
      <c r="AL471" s="234"/>
      <c r="AM471" s="234"/>
      <c r="AN471" s="234"/>
      <c r="AO471" s="234"/>
      <c r="AP471" s="234"/>
      <c r="AQ471" s="234"/>
      <c r="AR471" s="234"/>
      <c r="AS471" s="234"/>
      <c r="AT471" s="234"/>
      <c r="AU471" s="234"/>
      <c r="AV471" s="234"/>
      <c r="AW471" s="234"/>
      <c r="AX471" s="234"/>
      <c r="AY471" s="234"/>
    </row>
    <row r="472" spans="1:51" ht="24" customHeight="1" x14ac:dyDescent="0.25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  <c r="AB472" s="234"/>
      <c r="AC472" s="234"/>
      <c r="AD472" s="234"/>
      <c r="AE472" s="234"/>
      <c r="AF472" s="234"/>
      <c r="AG472" s="234"/>
      <c r="AH472" s="234"/>
      <c r="AI472" s="234"/>
      <c r="AJ472" s="234"/>
      <c r="AK472" s="234"/>
      <c r="AL472" s="234"/>
      <c r="AM472" s="234"/>
      <c r="AN472" s="234"/>
      <c r="AO472" s="234"/>
      <c r="AP472" s="234"/>
      <c r="AQ472" s="234"/>
      <c r="AR472" s="234"/>
      <c r="AS472" s="234"/>
      <c r="AT472" s="234"/>
      <c r="AU472" s="234"/>
      <c r="AV472" s="234"/>
      <c r="AW472" s="234"/>
      <c r="AX472" s="234"/>
      <c r="AY472" s="234"/>
    </row>
    <row r="473" spans="1:51" ht="24" customHeight="1" x14ac:dyDescent="0.25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  <c r="AB473" s="234"/>
      <c r="AC473" s="234"/>
      <c r="AD473" s="234"/>
      <c r="AE473" s="234"/>
      <c r="AF473" s="234"/>
      <c r="AG473" s="234"/>
      <c r="AH473" s="234"/>
      <c r="AI473" s="234"/>
      <c r="AJ473" s="234"/>
      <c r="AK473" s="234"/>
      <c r="AL473" s="234"/>
      <c r="AM473" s="234"/>
      <c r="AN473" s="234"/>
      <c r="AO473" s="234"/>
      <c r="AP473" s="234"/>
      <c r="AQ473" s="234"/>
      <c r="AR473" s="234"/>
      <c r="AS473" s="234"/>
      <c r="AT473" s="234"/>
      <c r="AU473" s="234"/>
      <c r="AV473" s="234"/>
      <c r="AW473" s="234"/>
      <c r="AX473" s="234"/>
      <c r="AY473" s="234"/>
    </row>
    <row r="474" spans="1:51" ht="24" customHeight="1" x14ac:dyDescent="0.25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  <c r="AB474" s="234"/>
      <c r="AC474" s="234"/>
      <c r="AD474" s="234"/>
      <c r="AE474" s="234"/>
      <c r="AF474" s="234"/>
      <c r="AG474" s="234"/>
      <c r="AH474" s="234"/>
      <c r="AI474" s="234"/>
      <c r="AJ474" s="234"/>
      <c r="AK474" s="234"/>
      <c r="AL474" s="234"/>
      <c r="AM474" s="234"/>
      <c r="AN474" s="234"/>
      <c r="AO474" s="234"/>
      <c r="AP474" s="234"/>
      <c r="AQ474" s="234"/>
      <c r="AR474" s="234"/>
      <c r="AS474" s="234"/>
      <c r="AT474" s="234"/>
      <c r="AU474" s="234"/>
      <c r="AV474" s="234"/>
      <c r="AW474" s="234"/>
      <c r="AX474" s="234"/>
      <c r="AY474" s="234"/>
    </row>
    <row r="475" spans="1:51" ht="24" customHeight="1" x14ac:dyDescent="0.2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  <c r="AB475" s="234"/>
      <c r="AC475" s="234"/>
      <c r="AD475" s="234"/>
      <c r="AE475" s="234"/>
      <c r="AF475" s="234"/>
      <c r="AG475" s="234"/>
      <c r="AH475" s="234"/>
      <c r="AI475" s="234"/>
      <c r="AJ475" s="234"/>
      <c r="AK475" s="234"/>
      <c r="AL475" s="234"/>
      <c r="AM475" s="234"/>
      <c r="AN475" s="234"/>
      <c r="AO475" s="234"/>
      <c r="AP475" s="234"/>
      <c r="AQ475" s="234"/>
      <c r="AR475" s="234"/>
      <c r="AS475" s="234"/>
      <c r="AT475" s="234"/>
      <c r="AU475" s="234"/>
      <c r="AV475" s="234"/>
      <c r="AW475" s="234"/>
      <c r="AX475" s="234"/>
      <c r="AY475" s="234"/>
    </row>
    <row r="476" spans="1:51" ht="24" customHeight="1" x14ac:dyDescent="0.25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  <c r="AB476" s="234"/>
      <c r="AC476" s="234"/>
      <c r="AD476" s="234"/>
      <c r="AE476" s="234"/>
      <c r="AF476" s="234"/>
      <c r="AG476" s="234"/>
      <c r="AH476" s="234"/>
      <c r="AI476" s="234"/>
      <c r="AJ476" s="234"/>
      <c r="AK476" s="234"/>
      <c r="AL476" s="234"/>
      <c r="AM476" s="234"/>
      <c r="AN476" s="234"/>
      <c r="AO476" s="234"/>
      <c r="AP476" s="234"/>
      <c r="AQ476" s="234"/>
      <c r="AR476" s="234"/>
      <c r="AS476" s="234"/>
      <c r="AT476" s="234"/>
      <c r="AU476" s="234"/>
      <c r="AV476" s="234"/>
      <c r="AW476" s="234"/>
      <c r="AX476" s="234"/>
      <c r="AY476" s="234"/>
    </row>
    <row r="477" spans="1:51" ht="24" customHeight="1" x14ac:dyDescent="0.25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  <c r="AB477" s="234"/>
      <c r="AC477" s="234"/>
      <c r="AD477" s="234"/>
      <c r="AE477" s="234"/>
      <c r="AF477" s="234"/>
      <c r="AG477" s="234"/>
      <c r="AH477" s="234"/>
      <c r="AI477" s="234"/>
      <c r="AJ477" s="234"/>
      <c r="AK477" s="234"/>
      <c r="AL477" s="234"/>
      <c r="AM477" s="234"/>
      <c r="AN477" s="234"/>
      <c r="AO477" s="234"/>
      <c r="AP477" s="234"/>
      <c r="AQ477" s="234"/>
      <c r="AR477" s="234"/>
      <c r="AS477" s="234"/>
      <c r="AT477" s="234"/>
      <c r="AU477" s="234"/>
      <c r="AV477" s="234"/>
      <c r="AW477" s="234"/>
      <c r="AX477" s="234"/>
      <c r="AY477" s="234"/>
    </row>
    <row r="478" spans="1:51" ht="24" customHeight="1" x14ac:dyDescent="0.25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  <c r="AB478" s="234"/>
      <c r="AC478" s="234"/>
      <c r="AD478" s="234"/>
      <c r="AE478" s="234"/>
      <c r="AF478" s="234"/>
      <c r="AG478" s="234"/>
      <c r="AH478" s="234"/>
      <c r="AI478" s="234"/>
      <c r="AJ478" s="234"/>
      <c r="AK478" s="234"/>
      <c r="AL478" s="234"/>
      <c r="AM478" s="234"/>
      <c r="AN478" s="234"/>
      <c r="AO478" s="234"/>
      <c r="AP478" s="234"/>
      <c r="AQ478" s="234"/>
      <c r="AR478" s="234"/>
      <c r="AS478" s="234"/>
      <c r="AT478" s="234"/>
      <c r="AU478" s="234"/>
      <c r="AV478" s="234"/>
      <c r="AW478" s="234"/>
      <c r="AX478" s="234"/>
      <c r="AY478" s="234"/>
    </row>
    <row r="479" spans="1:51" ht="24" customHeight="1" x14ac:dyDescent="0.25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  <c r="AB479" s="234"/>
      <c r="AC479" s="234"/>
      <c r="AD479" s="234"/>
      <c r="AE479" s="234"/>
      <c r="AF479" s="234"/>
      <c r="AG479" s="234"/>
      <c r="AH479" s="234"/>
      <c r="AI479" s="234"/>
      <c r="AJ479" s="234"/>
      <c r="AK479" s="234"/>
      <c r="AL479" s="234"/>
      <c r="AM479" s="234"/>
      <c r="AN479" s="234"/>
      <c r="AO479" s="234"/>
      <c r="AP479" s="234"/>
      <c r="AQ479" s="234"/>
      <c r="AR479" s="234"/>
      <c r="AS479" s="234"/>
      <c r="AT479" s="234"/>
      <c r="AU479" s="234"/>
      <c r="AV479" s="234"/>
      <c r="AW479" s="234"/>
      <c r="AX479" s="234"/>
      <c r="AY479" s="234"/>
    </row>
    <row r="480" spans="1:51" ht="24" customHeight="1" x14ac:dyDescent="0.25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  <c r="AB480" s="234"/>
      <c r="AC480" s="234"/>
      <c r="AD480" s="234"/>
      <c r="AE480" s="234"/>
      <c r="AF480" s="234"/>
      <c r="AG480" s="234"/>
      <c r="AH480" s="234"/>
      <c r="AI480" s="234"/>
      <c r="AJ480" s="234"/>
      <c r="AK480" s="234"/>
      <c r="AL480" s="234"/>
      <c r="AM480" s="234"/>
      <c r="AN480" s="234"/>
      <c r="AO480" s="234"/>
      <c r="AP480" s="234"/>
      <c r="AQ480" s="234"/>
      <c r="AR480" s="234"/>
      <c r="AS480" s="234"/>
      <c r="AT480" s="234"/>
      <c r="AU480" s="234"/>
      <c r="AV480" s="234"/>
      <c r="AW480" s="234"/>
      <c r="AX480" s="234"/>
      <c r="AY480" s="234"/>
    </row>
    <row r="481" spans="1:51" ht="24" customHeight="1" x14ac:dyDescent="0.25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  <c r="AB481" s="234"/>
      <c r="AC481" s="234"/>
      <c r="AD481" s="234"/>
      <c r="AE481" s="234"/>
      <c r="AF481" s="234"/>
      <c r="AG481" s="234"/>
      <c r="AH481" s="234"/>
      <c r="AI481" s="234"/>
      <c r="AJ481" s="234"/>
      <c r="AK481" s="234"/>
      <c r="AL481" s="234"/>
      <c r="AM481" s="234"/>
      <c r="AN481" s="234"/>
      <c r="AO481" s="234"/>
      <c r="AP481" s="234"/>
      <c r="AQ481" s="234"/>
      <c r="AR481" s="234"/>
      <c r="AS481" s="234"/>
      <c r="AT481" s="234"/>
      <c r="AU481" s="234"/>
      <c r="AV481" s="234"/>
      <c r="AW481" s="234"/>
      <c r="AX481" s="234"/>
      <c r="AY481" s="234"/>
    </row>
    <row r="482" spans="1:51" ht="24" customHeight="1" x14ac:dyDescent="0.25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  <c r="AB482" s="234"/>
      <c r="AC482" s="234"/>
      <c r="AD482" s="234"/>
      <c r="AE482" s="234"/>
      <c r="AF482" s="234"/>
      <c r="AG482" s="234"/>
      <c r="AH482" s="234"/>
      <c r="AI482" s="234"/>
      <c r="AJ482" s="234"/>
      <c r="AK482" s="234"/>
      <c r="AL482" s="234"/>
      <c r="AM482" s="234"/>
      <c r="AN482" s="234"/>
      <c r="AO482" s="234"/>
      <c r="AP482" s="234"/>
      <c r="AQ482" s="234"/>
      <c r="AR482" s="234"/>
      <c r="AS482" s="234"/>
      <c r="AT482" s="234"/>
      <c r="AU482" s="234"/>
      <c r="AV482" s="234"/>
      <c r="AW482" s="234"/>
      <c r="AX482" s="234"/>
      <c r="AY482" s="234"/>
    </row>
    <row r="483" spans="1:51" ht="24" customHeight="1" x14ac:dyDescent="0.25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  <c r="AB483" s="234"/>
      <c r="AC483" s="234"/>
      <c r="AD483" s="234"/>
      <c r="AE483" s="234"/>
      <c r="AF483" s="234"/>
      <c r="AG483" s="234"/>
      <c r="AH483" s="234"/>
      <c r="AI483" s="234"/>
      <c r="AJ483" s="234"/>
      <c r="AK483" s="234"/>
      <c r="AL483" s="234"/>
      <c r="AM483" s="234"/>
      <c r="AN483" s="234"/>
      <c r="AO483" s="234"/>
      <c r="AP483" s="234"/>
      <c r="AQ483" s="234"/>
      <c r="AR483" s="234"/>
      <c r="AS483" s="234"/>
      <c r="AT483" s="234"/>
      <c r="AU483" s="234"/>
      <c r="AV483" s="234"/>
      <c r="AW483" s="234"/>
      <c r="AX483" s="234"/>
      <c r="AY483" s="234"/>
    </row>
    <row r="484" spans="1:51" ht="24" customHeight="1" x14ac:dyDescent="0.25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  <c r="AB484" s="234"/>
      <c r="AC484" s="234"/>
      <c r="AD484" s="234"/>
      <c r="AE484" s="234"/>
      <c r="AF484" s="234"/>
      <c r="AG484" s="234"/>
      <c r="AH484" s="234"/>
      <c r="AI484" s="234"/>
      <c r="AJ484" s="234"/>
      <c r="AK484" s="234"/>
      <c r="AL484" s="234"/>
      <c r="AM484" s="234"/>
      <c r="AN484" s="234"/>
      <c r="AO484" s="234"/>
      <c r="AP484" s="234"/>
      <c r="AQ484" s="234"/>
      <c r="AR484" s="234"/>
      <c r="AS484" s="234"/>
      <c r="AT484" s="234"/>
      <c r="AU484" s="234"/>
      <c r="AV484" s="234"/>
      <c r="AW484" s="234"/>
      <c r="AX484" s="234"/>
      <c r="AY484" s="234"/>
    </row>
    <row r="485" spans="1:51" ht="24" customHeight="1" x14ac:dyDescent="0.2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  <c r="AB485" s="234"/>
      <c r="AC485" s="234"/>
      <c r="AD485" s="234"/>
      <c r="AE485" s="234"/>
      <c r="AF485" s="234"/>
      <c r="AG485" s="234"/>
      <c r="AH485" s="234"/>
      <c r="AI485" s="234"/>
      <c r="AJ485" s="234"/>
      <c r="AK485" s="234"/>
      <c r="AL485" s="234"/>
      <c r="AM485" s="234"/>
      <c r="AN485" s="234"/>
      <c r="AO485" s="234"/>
      <c r="AP485" s="234"/>
      <c r="AQ485" s="234"/>
      <c r="AR485" s="234"/>
      <c r="AS485" s="234"/>
      <c r="AT485" s="234"/>
      <c r="AU485" s="234"/>
      <c r="AV485" s="234"/>
      <c r="AW485" s="234"/>
      <c r="AX485" s="234"/>
      <c r="AY485" s="234"/>
    </row>
    <row r="486" spans="1:51" ht="24" customHeight="1" x14ac:dyDescent="0.25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  <c r="AB486" s="234"/>
      <c r="AC486" s="234"/>
      <c r="AD486" s="234"/>
      <c r="AE486" s="234"/>
      <c r="AF486" s="234"/>
      <c r="AG486" s="234"/>
      <c r="AH486" s="234"/>
      <c r="AI486" s="234"/>
      <c r="AJ486" s="234"/>
      <c r="AK486" s="234"/>
      <c r="AL486" s="234"/>
      <c r="AM486" s="234"/>
      <c r="AN486" s="234"/>
      <c r="AO486" s="234"/>
      <c r="AP486" s="234"/>
      <c r="AQ486" s="234"/>
      <c r="AR486" s="234"/>
      <c r="AS486" s="234"/>
      <c r="AT486" s="234"/>
      <c r="AU486" s="234"/>
      <c r="AV486" s="234"/>
      <c r="AW486" s="234"/>
      <c r="AX486" s="234"/>
      <c r="AY486" s="234"/>
    </row>
    <row r="487" spans="1:51" ht="24" customHeight="1" x14ac:dyDescent="0.25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  <c r="AB487" s="234"/>
      <c r="AC487" s="234"/>
      <c r="AD487" s="234"/>
      <c r="AE487" s="234"/>
      <c r="AF487" s="234"/>
      <c r="AG487" s="234"/>
      <c r="AH487" s="234"/>
      <c r="AI487" s="234"/>
      <c r="AJ487" s="234"/>
      <c r="AK487" s="234"/>
      <c r="AL487" s="234"/>
      <c r="AM487" s="234"/>
      <c r="AN487" s="234"/>
      <c r="AO487" s="234"/>
      <c r="AP487" s="234"/>
      <c r="AQ487" s="234"/>
      <c r="AR487" s="234"/>
      <c r="AS487" s="234"/>
      <c r="AT487" s="234"/>
      <c r="AU487" s="234"/>
      <c r="AV487" s="234"/>
      <c r="AW487" s="234"/>
      <c r="AX487" s="234"/>
      <c r="AY487" s="234"/>
    </row>
    <row r="488" spans="1:51" ht="24" customHeight="1" x14ac:dyDescent="0.25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  <c r="AB488" s="234"/>
      <c r="AC488" s="234"/>
      <c r="AD488" s="234"/>
      <c r="AE488" s="234"/>
      <c r="AF488" s="234"/>
      <c r="AG488" s="234"/>
      <c r="AH488" s="234"/>
      <c r="AI488" s="234"/>
      <c r="AJ488" s="234"/>
      <c r="AK488" s="234"/>
      <c r="AL488" s="234"/>
      <c r="AM488" s="234"/>
      <c r="AN488" s="234"/>
      <c r="AO488" s="234"/>
      <c r="AP488" s="234"/>
      <c r="AQ488" s="234"/>
      <c r="AR488" s="234"/>
      <c r="AS488" s="234"/>
      <c r="AT488" s="234"/>
      <c r="AU488" s="234"/>
      <c r="AV488" s="234"/>
      <c r="AW488" s="234"/>
      <c r="AX488" s="234"/>
      <c r="AY488" s="234"/>
    </row>
    <row r="489" spans="1:51" ht="24" customHeight="1" x14ac:dyDescent="0.25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  <c r="AB489" s="234"/>
      <c r="AC489" s="234"/>
      <c r="AD489" s="234"/>
      <c r="AE489" s="234"/>
      <c r="AF489" s="234"/>
      <c r="AG489" s="234"/>
      <c r="AH489" s="234"/>
      <c r="AI489" s="234"/>
      <c r="AJ489" s="234"/>
      <c r="AK489" s="234"/>
      <c r="AL489" s="234"/>
      <c r="AM489" s="234"/>
      <c r="AN489" s="234"/>
      <c r="AO489" s="234"/>
      <c r="AP489" s="234"/>
      <c r="AQ489" s="234"/>
      <c r="AR489" s="234"/>
      <c r="AS489" s="234"/>
      <c r="AT489" s="234"/>
      <c r="AU489" s="234"/>
      <c r="AV489" s="234"/>
      <c r="AW489" s="234"/>
      <c r="AX489" s="234"/>
      <c r="AY489" s="234"/>
    </row>
    <row r="490" spans="1:51" ht="24" customHeight="1" x14ac:dyDescent="0.25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  <c r="AB490" s="234"/>
      <c r="AC490" s="234"/>
      <c r="AD490" s="234"/>
      <c r="AE490" s="234"/>
      <c r="AF490" s="234"/>
      <c r="AG490" s="234"/>
      <c r="AH490" s="234"/>
      <c r="AI490" s="234"/>
      <c r="AJ490" s="234"/>
      <c r="AK490" s="234"/>
      <c r="AL490" s="234"/>
      <c r="AM490" s="234"/>
      <c r="AN490" s="234"/>
      <c r="AO490" s="234"/>
      <c r="AP490" s="234"/>
      <c r="AQ490" s="234"/>
      <c r="AR490" s="234"/>
      <c r="AS490" s="234"/>
      <c r="AT490" s="234"/>
      <c r="AU490" s="234"/>
      <c r="AV490" s="234"/>
      <c r="AW490" s="234"/>
      <c r="AX490" s="234"/>
      <c r="AY490" s="234"/>
    </row>
    <row r="491" spans="1:51" ht="24" customHeight="1" x14ac:dyDescent="0.25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  <c r="AB491" s="234"/>
      <c r="AC491" s="234"/>
      <c r="AD491" s="234"/>
      <c r="AE491" s="234"/>
      <c r="AF491" s="234"/>
      <c r="AG491" s="234"/>
      <c r="AH491" s="234"/>
      <c r="AI491" s="234"/>
      <c r="AJ491" s="234"/>
      <c r="AK491" s="234"/>
      <c r="AL491" s="234"/>
      <c r="AM491" s="234"/>
      <c r="AN491" s="234"/>
      <c r="AO491" s="234"/>
      <c r="AP491" s="234"/>
      <c r="AQ491" s="234"/>
      <c r="AR491" s="234"/>
      <c r="AS491" s="234"/>
      <c r="AT491" s="234"/>
      <c r="AU491" s="234"/>
      <c r="AV491" s="234"/>
      <c r="AW491" s="234"/>
      <c r="AX491" s="234"/>
      <c r="AY491" s="234"/>
    </row>
    <row r="492" spans="1:51" ht="24" customHeight="1" x14ac:dyDescent="0.25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  <c r="AB492" s="234"/>
      <c r="AC492" s="234"/>
      <c r="AD492" s="234"/>
      <c r="AE492" s="234"/>
      <c r="AF492" s="234"/>
      <c r="AG492" s="234"/>
      <c r="AH492" s="234"/>
      <c r="AI492" s="234"/>
      <c r="AJ492" s="234"/>
      <c r="AK492" s="234"/>
      <c r="AL492" s="234"/>
      <c r="AM492" s="234"/>
      <c r="AN492" s="234"/>
      <c r="AO492" s="234"/>
      <c r="AP492" s="234"/>
      <c r="AQ492" s="234"/>
      <c r="AR492" s="234"/>
      <c r="AS492" s="234"/>
      <c r="AT492" s="234"/>
      <c r="AU492" s="234"/>
      <c r="AV492" s="234"/>
      <c r="AW492" s="234"/>
      <c r="AX492" s="234"/>
      <c r="AY492" s="234"/>
    </row>
    <row r="493" spans="1:51" ht="24" customHeight="1" x14ac:dyDescent="0.25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  <c r="AB493" s="234"/>
      <c r="AC493" s="234"/>
      <c r="AD493" s="234"/>
      <c r="AE493" s="234"/>
      <c r="AF493" s="234"/>
      <c r="AG493" s="234"/>
      <c r="AH493" s="234"/>
      <c r="AI493" s="234"/>
      <c r="AJ493" s="234"/>
      <c r="AK493" s="234"/>
      <c r="AL493" s="234"/>
      <c r="AM493" s="234"/>
      <c r="AN493" s="234"/>
      <c r="AO493" s="234"/>
      <c r="AP493" s="234"/>
      <c r="AQ493" s="234"/>
      <c r="AR493" s="234"/>
      <c r="AS493" s="234"/>
      <c r="AT493" s="234"/>
      <c r="AU493" s="234"/>
      <c r="AV493" s="234"/>
      <c r="AW493" s="234"/>
      <c r="AX493" s="234"/>
      <c r="AY493" s="234"/>
    </row>
    <row r="494" spans="1:51" ht="24" customHeight="1" x14ac:dyDescent="0.25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  <c r="AB494" s="234"/>
      <c r="AC494" s="234"/>
      <c r="AD494" s="234"/>
      <c r="AE494" s="234"/>
      <c r="AF494" s="234"/>
      <c r="AG494" s="234"/>
      <c r="AH494" s="234"/>
      <c r="AI494" s="234"/>
      <c r="AJ494" s="234"/>
      <c r="AK494" s="234"/>
      <c r="AL494" s="234"/>
      <c r="AM494" s="234"/>
      <c r="AN494" s="234"/>
      <c r="AO494" s="234"/>
      <c r="AP494" s="234"/>
      <c r="AQ494" s="234"/>
      <c r="AR494" s="234"/>
      <c r="AS494" s="234"/>
      <c r="AT494" s="234"/>
      <c r="AU494" s="234"/>
      <c r="AV494" s="234"/>
      <c r="AW494" s="234"/>
      <c r="AX494" s="234"/>
      <c r="AY494" s="234"/>
    </row>
    <row r="495" spans="1:51" ht="24" customHeight="1" x14ac:dyDescent="0.2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  <c r="AB495" s="234"/>
      <c r="AC495" s="234"/>
      <c r="AD495" s="234"/>
      <c r="AE495" s="234"/>
      <c r="AF495" s="234"/>
      <c r="AG495" s="234"/>
      <c r="AH495" s="234"/>
      <c r="AI495" s="234"/>
      <c r="AJ495" s="234"/>
      <c r="AK495" s="234"/>
      <c r="AL495" s="234"/>
      <c r="AM495" s="234"/>
      <c r="AN495" s="234"/>
      <c r="AO495" s="234"/>
      <c r="AP495" s="234"/>
      <c r="AQ495" s="234"/>
      <c r="AR495" s="234"/>
      <c r="AS495" s="234"/>
      <c r="AT495" s="234"/>
      <c r="AU495" s="234"/>
      <c r="AV495" s="234"/>
      <c r="AW495" s="234"/>
      <c r="AX495" s="234"/>
      <c r="AY495" s="234"/>
    </row>
    <row r="496" spans="1:51" ht="24" customHeight="1" x14ac:dyDescent="0.25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  <c r="AB496" s="234"/>
      <c r="AC496" s="234"/>
      <c r="AD496" s="234"/>
      <c r="AE496" s="234"/>
      <c r="AF496" s="234"/>
      <c r="AG496" s="234"/>
      <c r="AH496" s="234"/>
      <c r="AI496" s="234"/>
      <c r="AJ496" s="234"/>
      <c r="AK496" s="234"/>
      <c r="AL496" s="234"/>
      <c r="AM496" s="234"/>
      <c r="AN496" s="234"/>
      <c r="AO496" s="234"/>
      <c r="AP496" s="234"/>
      <c r="AQ496" s="234"/>
      <c r="AR496" s="234"/>
      <c r="AS496" s="234"/>
      <c r="AT496" s="234"/>
      <c r="AU496" s="234"/>
      <c r="AV496" s="234"/>
      <c r="AW496" s="234"/>
      <c r="AX496" s="234"/>
      <c r="AY496" s="234"/>
    </row>
    <row r="497" spans="1:51" ht="24" customHeight="1" x14ac:dyDescent="0.25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  <c r="AB497" s="234"/>
      <c r="AC497" s="234"/>
      <c r="AD497" s="234"/>
      <c r="AE497" s="234"/>
      <c r="AF497" s="234"/>
      <c r="AG497" s="234"/>
      <c r="AH497" s="234"/>
      <c r="AI497" s="234"/>
      <c r="AJ497" s="234"/>
      <c r="AK497" s="234"/>
      <c r="AL497" s="234"/>
      <c r="AM497" s="234"/>
      <c r="AN497" s="234"/>
      <c r="AO497" s="234"/>
      <c r="AP497" s="234"/>
      <c r="AQ497" s="234"/>
      <c r="AR497" s="234"/>
      <c r="AS497" s="234"/>
      <c r="AT497" s="234"/>
      <c r="AU497" s="234"/>
      <c r="AV497" s="234"/>
      <c r="AW497" s="234"/>
      <c r="AX497" s="234"/>
      <c r="AY497" s="234"/>
    </row>
    <row r="498" spans="1:51" ht="24" customHeight="1" x14ac:dyDescent="0.25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  <c r="AB498" s="234"/>
      <c r="AC498" s="234"/>
      <c r="AD498" s="234"/>
      <c r="AE498" s="234"/>
      <c r="AF498" s="234"/>
      <c r="AG498" s="234"/>
      <c r="AH498" s="234"/>
      <c r="AI498" s="234"/>
      <c r="AJ498" s="234"/>
      <c r="AK498" s="234"/>
      <c r="AL498" s="234"/>
      <c r="AM498" s="234"/>
      <c r="AN498" s="234"/>
      <c r="AO498" s="234"/>
      <c r="AP498" s="234"/>
      <c r="AQ498" s="234"/>
      <c r="AR498" s="234"/>
      <c r="AS498" s="234"/>
      <c r="AT498" s="234"/>
      <c r="AU498" s="234"/>
      <c r="AV498" s="234"/>
      <c r="AW498" s="234"/>
      <c r="AX498" s="234"/>
      <c r="AY498" s="234"/>
    </row>
    <row r="499" spans="1:51" ht="24" customHeight="1" x14ac:dyDescent="0.25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  <c r="AB499" s="234"/>
      <c r="AC499" s="234"/>
      <c r="AD499" s="234"/>
      <c r="AE499" s="234"/>
      <c r="AF499" s="234"/>
      <c r="AG499" s="234"/>
      <c r="AH499" s="234"/>
      <c r="AI499" s="234"/>
      <c r="AJ499" s="234"/>
      <c r="AK499" s="234"/>
      <c r="AL499" s="234"/>
      <c r="AM499" s="234"/>
      <c r="AN499" s="234"/>
      <c r="AO499" s="234"/>
      <c r="AP499" s="234"/>
      <c r="AQ499" s="234"/>
      <c r="AR499" s="234"/>
      <c r="AS499" s="234"/>
      <c r="AT499" s="234"/>
      <c r="AU499" s="234"/>
      <c r="AV499" s="234"/>
      <c r="AW499" s="234"/>
      <c r="AX499" s="234"/>
      <c r="AY499" s="234"/>
    </row>
    <row r="500" spans="1:51" ht="24" customHeight="1" x14ac:dyDescent="0.25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  <c r="AB500" s="234"/>
      <c r="AC500" s="234"/>
      <c r="AD500" s="234"/>
      <c r="AE500" s="234"/>
      <c r="AF500" s="234"/>
      <c r="AG500" s="234"/>
      <c r="AH500" s="234"/>
      <c r="AI500" s="234"/>
      <c r="AJ500" s="234"/>
      <c r="AK500" s="234"/>
      <c r="AL500" s="234"/>
      <c r="AM500" s="234"/>
      <c r="AN500" s="234"/>
      <c r="AO500" s="234"/>
      <c r="AP500" s="234"/>
      <c r="AQ500" s="234"/>
      <c r="AR500" s="234"/>
      <c r="AS500" s="234"/>
      <c r="AT500" s="234"/>
      <c r="AU500" s="234"/>
      <c r="AV500" s="234"/>
      <c r="AW500" s="234"/>
      <c r="AX500" s="234"/>
      <c r="AY500" s="234"/>
    </row>
    <row r="501" spans="1:51" ht="24" customHeight="1" x14ac:dyDescent="0.25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  <c r="AB501" s="234"/>
      <c r="AC501" s="234"/>
      <c r="AD501" s="234"/>
      <c r="AE501" s="234"/>
      <c r="AF501" s="234"/>
      <c r="AG501" s="234"/>
      <c r="AH501" s="234"/>
      <c r="AI501" s="234"/>
      <c r="AJ501" s="234"/>
      <c r="AK501" s="234"/>
      <c r="AL501" s="234"/>
      <c r="AM501" s="234"/>
      <c r="AN501" s="234"/>
      <c r="AO501" s="234"/>
      <c r="AP501" s="234"/>
      <c r="AQ501" s="234"/>
      <c r="AR501" s="234"/>
      <c r="AS501" s="234"/>
      <c r="AT501" s="234"/>
      <c r="AU501" s="234"/>
      <c r="AV501" s="234"/>
      <c r="AW501" s="234"/>
      <c r="AX501" s="234"/>
      <c r="AY501" s="234"/>
    </row>
    <row r="502" spans="1:51" ht="24" customHeight="1" x14ac:dyDescent="0.25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  <c r="AB502" s="234"/>
      <c r="AC502" s="234"/>
      <c r="AD502" s="234"/>
      <c r="AE502" s="234"/>
      <c r="AF502" s="234"/>
      <c r="AG502" s="234"/>
      <c r="AH502" s="234"/>
      <c r="AI502" s="234"/>
      <c r="AJ502" s="234"/>
      <c r="AK502" s="234"/>
      <c r="AL502" s="234"/>
      <c r="AM502" s="234"/>
      <c r="AN502" s="234"/>
      <c r="AO502" s="234"/>
      <c r="AP502" s="234"/>
      <c r="AQ502" s="234"/>
      <c r="AR502" s="234"/>
      <c r="AS502" s="234"/>
      <c r="AT502" s="234"/>
      <c r="AU502" s="234"/>
      <c r="AV502" s="234"/>
      <c r="AW502" s="234"/>
      <c r="AX502" s="234"/>
      <c r="AY502" s="234"/>
    </row>
    <row r="503" spans="1:51" ht="24" customHeight="1" x14ac:dyDescent="0.25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  <c r="AB503" s="234"/>
      <c r="AC503" s="234"/>
      <c r="AD503" s="234"/>
      <c r="AE503" s="234"/>
      <c r="AF503" s="234"/>
      <c r="AG503" s="234"/>
      <c r="AH503" s="234"/>
      <c r="AI503" s="234"/>
      <c r="AJ503" s="234"/>
      <c r="AK503" s="234"/>
      <c r="AL503" s="234"/>
      <c r="AM503" s="234"/>
      <c r="AN503" s="234"/>
      <c r="AO503" s="234"/>
      <c r="AP503" s="234"/>
      <c r="AQ503" s="234"/>
      <c r="AR503" s="234"/>
      <c r="AS503" s="234"/>
      <c r="AT503" s="234"/>
      <c r="AU503" s="234"/>
      <c r="AV503" s="234"/>
      <c r="AW503" s="234"/>
      <c r="AX503" s="234"/>
      <c r="AY503" s="234"/>
    </row>
    <row r="504" spans="1:51" ht="24" customHeight="1" x14ac:dyDescent="0.25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  <c r="AB504" s="234"/>
      <c r="AC504" s="234"/>
      <c r="AD504" s="234"/>
      <c r="AE504" s="234"/>
      <c r="AF504" s="234"/>
      <c r="AG504" s="234"/>
      <c r="AH504" s="234"/>
      <c r="AI504" s="234"/>
      <c r="AJ504" s="234"/>
      <c r="AK504" s="234"/>
      <c r="AL504" s="234"/>
      <c r="AM504" s="234"/>
      <c r="AN504" s="234"/>
      <c r="AO504" s="234"/>
      <c r="AP504" s="234"/>
      <c r="AQ504" s="234"/>
      <c r="AR504" s="234"/>
      <c r="AS504" s="234"/>
      <c r="AT504" s="234"/>
      <c r="AU504" s="234"/>
      <c r="AV504" s="234"/>
      <c r="AW504" s="234"/>
      <c r="AX504" s="234"/>
      <c r="AY504" s="234"/>
    </row>
    <row r="505" spans="1:51" ht="24" customHeight="1" x14ac:dyDescent="0.2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  <c r="AB505" s="234"/>
      <c r="AC505" s="234"/>
      <c r="AD505" s="234"/>
      <c r="AE505" s="234"/>
      <c r="AF505" s="234"/>
      <c r="AG505" s="234"/>
      <c r="AH505" s="234"/>
      <c r="AI505" s="234"/>
      <c r="AJ505" s="234"/>
      <c r="AK505" s="234"/>
      <c r="AL505" s="234"/>
      <c r="AM505" s="234"/>
      <c r="AN505" s="234"/>
      <c r="AO505" s="234"/>
      <c r="AP505" s="234"/>
      <c r="AQ505" s="234"/>
      <c r="AR505" s="234"/>
      <c r="AS505" s="234"/>
      <c r="AT505" s="234"/>
      <c r="AU505" s="234"/>
      <c r="AV505" s="234"/>
      <c r="AW505" s="234"/>
      <c r="AX505" s="234"/>
      <c r="AY505" s="234"/>
    </row>
    <row r="506" spans="1:51" ht="24" customHeight="1" x14ac:dyDescent="0.25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  <c r="AB506" s="234"/>
      <c r="AC506" s="234"/>
      <c r="AD506" s="234"/>
      <c r="AE506" s="234"/>
      <c r="AF506" s="234"/>
      <c r="AG506" s="234"/>
      <c r="AH506" s="234"/>
      <c r="AI506" s="234"/>
      <c r="AJ506" s="234"/>
      <c r="AK506" s="234"/>
      <c r="AL506" s="234"/>
      <c r="AM506" s="234"/>
      <c r="AN506" s="234"/>
      <c r="AO506" s="234"/>
      <c r="AP506" s="234"/>
      <c r="AQ506" s="234"/>
      <c r="AR506" s="234"/>
      <c r="AS506" s="234"/>
      <c r="AT506" s="234"/>
      <c r="AU506" s="234"/>
      <c r="AV506" s="234"/>
      <c r="AW506" s="234"/>
      <c r="AX506" s="234"/>
      <c r="AY506" s="234"/>
    </row>
    <row r="507" spans="1:51" ht="24" customHeight="1" x14ac:dyDescent="0.25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  <c r="AB507" s="234"/>
      <c r="AC507" s="234"/>
      <c r="AD507" s="234"/>
      <c r="AE507" s="234"/>
      <c r="AF507" s="234"/>
      <c r="AG507" s="234"/>
      <c r="AH507" s="234"/>
      <c r="AI507" s="234"/>
      <c r="AJ507" s="234"/>
      <c r="AK507" s="234"/>
      <c r="AL507" s="234"/>
      <c r="AM507" s="234"/>
      <c r="AN507" s="234"/>
      <c r="AO507" s="234"/>
      <c r="AP507" s="234"/>
      <c r="AQ507" s="234"/>
      <c r="AR507" s="234"/>
      <c r="AS507" s="234"/>
      <c r="AT507" s="234"/>
      <c r="AU507" s="234"/>
      <c r="AV507" s="234"/>
      <c r="AW507" s="234"/>
      <c r="AX507" s="234"/>
      <c r="AY507" s="234"/>
    </row>
    <row r="508" spans="1:51" ht="24" customHeight="1" x14ac:dyDescent="0.25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  <c r="AB508" s="234"/>
      <c r="AC508" s="234"/>
      <c r="AD508" s="234"/>
      <c r="AE508" s="234"/>
      <c r="AF508" s="234"/>
      <c r="AG508" s="234"/>
      <c r="AH508" s="234"/>
      <c r="AI508" s="234"/>
      <c r="AJ508" s="234"/>
      <c r="AK508" s="234"/>
      <c r="AL508" s="234"/>
      <c r="AM508" s="234"/>
      <c r="AN508" s="234"/>
      <c r="AO508" s="234"/>
      <c r="AP508" s="234"/>
      <c r="AQ508" s="234"/>
      <c r="AR508" s="234"/>
      <c r="AS508" s="234"/>
      <c r="AT508" s="234"/>
      <c r="AU508" s="234"/>
      <c r="AV508" s="234"/>
      <c r="AW508" s="234"/>
      <c r="AX508" s="234"/>
      <c r="AY508" s="234"/>
    </row>
    <row r="509" spans="1:51" ht="24" customHeight="1" x14ac:dyDescent="0.25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  <c r="AB509" s="234"/>
      <c r="AC509" s="234"/>
      <c r="AD509" s="234"/>
      <c r="AE509" s="234"/>
      <c r="AF509" s="234"/>
      <c r="AG509" s="234"/>
      <c r="AH509" s="234"/>
      <c r="AI509" s="234"/>
      <c r="AJ509" s="234"/>
      <c r="AK509" s="234"/>
      <c r="AL509" s="234"/>
      <c r="AM509" s="234"/>
      <c r="AN509" s="234"/>
      <c r="AO509" s="234"/>
      <c r="AP509" s="234"/>
      <c r="AQ509" s="234"/>
      <c r="AR509" s="234"/>
      <c r="AS509" s="234"/>
      <c r="AT509" s="234"/>
      <c r="AU509" s="234"/>
      <c r="AV509" s="234"/>
      <c r="AW509" s="234"/>
      <c r="AX509" s="234"/>
      <c r="AY509" s="234"/>
    </row>
    <row r="510" spans="1:51" ht="24" customHeight="1" x14ac:dyDescent="0.25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  <c r="AB510" s="234"/>
      <c r="AC510" s="234"/>
      <c r="AD510" s="234"/>
      <c r="AE510" s="234"/>
      <c r="AF510" s="234"/>
      <c r="AG510" s="234"/>
      <c r="AH510" s="234"/>
      <c r="AI510" s="234"/>
      <c r="AJ510" s="234"/>
      <c r="AK510" s="234"/>
      <c r="AL510" s="234"/>
      <c r="AM510" s="234"/>
      <c r="AN510" s="234"/>
      <c r="AO510" s="234"/>
      <c r="AP510" s="234"/>
      <c r="AQ510" s="234"/>
      <c r="AR510" s="234"/>
      <c r="AS510" s="234"/>
      <c r="AT510" s="234"/>
      <c r="AU510" s="234"/>
      <c r="AV510" s="234"/>
      <c r="AW510" s="234"/>
      <c r="AX510" s="234"/>
      <c r="AY510" s="234"/>
    </row>
    <row r="511" spans="1:51" ht="24" customHeight="1" x14ac:dyDescent="0.25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  <c r="AB511" s="234"/>
      <c r="AC511" s="234"/>
      <c r="AD511" s="234"/>
      <c r="AE511" s="234"/>
      <c r="AF511" s="234"/>
      <c r="AG511" s="234"/>
      <c r="AH511" s="234"/>
      <c r="AI511" s="234"/>
      <c r="AJ511" s="234"/>
      <c r="AK511" s="234"/>
      <c r="AL511" s="234"/>
      <c r="AM511" s="234"/>
      <c r="AN511" s="234"/>
      <c r="AO511" s="234"/>
      <c r="AP511" s="234"/>
      <c r="AQ511" s="234"/>
      <c r="AR511" s="234"/>
      <c r="AS511" s="234"/>
      <c r="AT511" s="234"/>
      <c r="AU511" s="234"/>
      <c r="AV511" s="234"/>
      <c r="AW511" s="234"/>
      <c r="AX511" s="234"/>
      <c r="AY511" s="234"/>
    </row>
    <row r="512" spans="1:51" ht="24" customHeight="1" x14ac:dyDescent="0.25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  <c r="AB512" s="234"/>
      <c r="AC512" s="234"/>
      <c r="AD512" s="234"/>
      <c r="AE512" s="234"/>
      <c r="AF512" s="234"/>
      <c r="AG512" s="234"/>
      <c r="AH512" s="234"/>
      <c r="AI512" s="234"/>
      <c r="AJ512" s="234"/>
      <c r="AK512" s="234"/>
      <c r="AL512" s="234"/>
      <c r="AM512" s="234"/>
      <c r="AN512" s="234"/>
      <c r="AO512" s="234"/>
      <c r="AP512" s="234"/>
      <c r="AQ512" s="234"/>
      <c r="AR512" s="234"/>
      <c r="AS512" s="234"/>
      <c r="AT512" s="234"/>
      <c r="AU512" s="234"/>
      <c r="AV512" s="234"/>
      <c r="AW512" s="234"/>
      <c r="AX512" s="234"/>
      <c r="AY512" s="234"/>
    </row>
    <row r="513" spans="1:51" ht="24" customHeight="1" x14ac:dyDescent="0.25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  <c r="AB513" s="234"/>
      <c r="AC513" s="234"/>
      <c r="AD513" s="234"/>
      <c r="AE513" s="234"/>
      <c r="AF513" s="234"/>
      <c r="AG513" s="234"/>
      <c r="AH513" s="234"/>
      <c r="AI513" s="234"/>
      <c r="AJ513" s="234"/>
      <c r="AK513" s="234"/>
      <c r="AL513" s="234"/>
      <c r="AM513" s="234"/>
      <c r="AN513" s="234"/>
      <c r="AO513" s="234"/>
      <c r="AP513" s="234"/>
      <c r="AQ513" s="234"/>
      <c r="AR513" s="234"/>
      <c r="AS513" s="234"/>
      <c r="AT513" s="234"/>
      <c r="AU513" s="234"/>
      <c r="AV513" s="234"/>
      <c r="AW513" s="234"/>
      <c r="AX513" s="234"/>
      <c r="AY513" s="234"/>
    </row>
    <row r="514" spans="1:51" ht="24" customHeight="1" x14ac:dyDescent="0.25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  <c r="AB514" s="234"/>
      <c r="AC514" s="234"/>
      <c r="AD514" s="234"/>
      <c r="AE514" s="234"/>
      <c r="AF514" s="234"/>
      <c r="AG514" s="234"/>
      <c r="AH514" s="234"/>
      <c r="AI514" s="234"/>
      <c r="AJ514" s="234"/>
      <c r="AK514" s="234"/>
      <c r="AL514" s="234"/>
      <c r="AM514" s="234"/>
      <c r="AN514" s="234"/>
      <c r="AO514" s="234"/>
      <c r="AP514" s="234"/>
      <c r="AQ514" s="234"/>
      <c r="AR514" s="234"/>
      <c r="AS514" s="234"/>
      <c r="AT514" s="234"/>
      <c r="AU514" s="234"/>
      <c r="AV514" s="234"/>
      <c r="AW514" s="234"/>
      <c r="AX514" s="234"/>
      <c r="AY514" s="234"/>
    </row>
    <row r="515" spans="1:51" ht="24" customHeight="1" x14ac:dyDescent="0.2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  <c r="AB515" s="234"/>
      <c r="AC515" s="234"/>
      <c r="AD515" s="234"/>
      <c r="AE515" s="234"/>
      <c r="AF515" s="234"/>
      <c r="AG515" s="234"/>
      <c r="AH515" s="234"/>
      <c r="AI515" s="234"/>
      <c r="AJ515" s="234"/>
      <c r="AK515" s="234"/>
      <c r="AL515" s="234"/>
      <c r="AM515" s="234"/>
      <c r="AN515" s="234"/>
      <c r="AO515" s="234"/>
      <c r="AP515" s="234"/>
      <c r="AQ515" s="234"/>
      <c r="AR515" s="234"/>
      <c r="AS515" s="234"/>
      <c r="AT515" s="234"/>
      <c r="AU515" s="234"/>
      <c r="AV515" s="234"/>
      <c r="AW515" s="234"/>
      <c r="AX515" s="234"/>
      <c r="AY515" s="234"/>
    </row>
    <row r="516" spans="1:51" ht="24" customHeight="1" x14ac:dyDescent="0.25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  <c r="AB516" s="234"/>
      <c r="AC516" s="234"/>
      <c r="AD516" s="234"/>
      <c r="AE516" s="234"/>
      <c r="AF516" s="234"/>
      <c r="AG516" s="234"/>
      <c r="AH516" s="234"/>
      <c r="AI516" s="234"/>
      <c r="AJ516" s="234"/>
      <c r="AK516" s="234"/>
      <c r="AL516" s="234"/>
      <c r="AM516" s="234"/>
      <c r="AN516" s="234"/>
      <c r="AO516" s="234"/>
      <c r="AP516" s="234"/>
      <c r="AQ516" s="234"/>
      <c r="AR516" s="234"/>
      <c r="AS516" s="234"/>
      <c r="AT516" s="234"/>
      <c r="AU516" s="234"/>
      <c r="AV516" s="234"/>
      <c r="AW516" s="234"/>
      <c r="AX516" s="234"/>
      <c r="AY516" s="234"/>
    </row>
    <row r="517" spans="1:51" ht="24" customHeight="1" x14ac:dyDescent="0.25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  <c r="AB517" s="234"/>
      <c r="AC517" s="234"/>
      <c r="AD517" s="234"/>
      <c r="AE517" s="234"/>
      <c r="AF517" s="234"/>
      <c r="AG517" s="234"/>
      <c r="AH517" s="234"/>
      <c r="AI517" s="234"/>
      <c r="AJ517" s="234"/>
      <c r="AK517" s="234"/>
      <c r="AL517" s="234"/>
      <c r="AM517" s="234"/>
      <c r="AN517" s="234"/>
      <c r="AO517" s="234"/>
      <c r="AP517" s="234"/>
      <c r="AQ517" s="234"/>
      <c r="AR517" s="234"/>
      <c r="AS517" s="234"/>
      <c r="AT517" s="234"/>
      <c r="AU517" s="234"/>
      <c r="AV517" s="234"/>
      <c r="AW517" s="234"/>
      <c r="AX517" s="234"/>
      <c r="AY517" s="234"/>
    </row>
    <row r="518" spans="1:51" ht="24" customHeight="1" x14ac:dyDescent="0.25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  <c r="AB518" s="234"/>
      <c r="AC518" s="234"/>
      <c r="AD518" s="234"/>
      <c r="AE518" s="234"/>
      <c r="AF518" s="234"/>
      <c r="AG518" s="234"/>
      <c r="AH518" s="234"/>
      <c r="AI518" s="234"/>
      <c r="AJ518" s="234"/>
      <c r="AK518" s="234"/>
      <c r="AL518" s="234"/>
      <c r="AM518" s="234"/>
      <c r="AN518" s="234"/>
      <c r="AO518" s="234"/>
      <c r="AP518" s="234"/>
      <c r="AQ518" s="234"/>
      <c r="AR518" s="234"/>
      <c r="AS518" s="234"/>
      <c r="AT518" s="234"/>
      <c r="AU518" s="234"/>
      <c r="AV518" s="234"/>
      <c r="AW518" s="234"/>
      <c r="AX518" s="234"/>
      <c r="AY518" s="234"/>
    </row>
    <row r="519" spans="1:51" ht="24" customHeight="1" x14ac:dyDescent="0.25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  <c r="AB519" s="234"/>
      <c r="AC519" s="234"/>
      <c r="AD519" s="234"/>
      <c r="AE519" s="234"/>
      <c r="AF519" s="234"/>
      <c r="AG519" s="234"/>
      <c r="AH519" s="234"/>
      <c r="AI519" s="234"/>
      <c r="AJ519" s="234"/>
      <c r="AK519" s="234"/>
      <c r="AL519" s="234"/>
      <c r="AM519" s="234"/>
      <c r="AN519" s="234"/>
      <c r="AO519" s="234"/>
      <c r="AP519" s="234"/>
      <c r="AQ519" s="234"/>
      <c r="AR519" s="234"/>
      <c r="AS519" s="234"/>
      <c r="AT519" s="234"/>
      <c r="AU519" s="234"/>
      <c r="AV519" s="234"/>
      <c r="AW519" s="234"/>
      <c r="AX519" s="234"/>
      <c r="AY519" s="234"/>
    </row>
    <row r="520" spans="1:51" ht="24" customHeight="1" x14ac:dyDescent="0.25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  <c r="AB520" s="234"/>
      <c r="AC520" s="234"/>
      <c r="AD520" s="234"/>
      <c r="AE520" s="234"/>
      <c r="AF520" s="234"/>
      <c r="AG520" s="234"/>
      <c r="AH520" s="234"/>
      <c r="AI520" s="234"/>
      <c r="AJ520" s="234"/>
      <c r="AK520" s="234"/>
      <c r="AL520" s="234"/>
      <c r="AM520" s="234"/>
      <c r="AN520" s="234"/>
      <c r="AO520" s="234"/>
      <c r="AP520" s="234"/>
      <c r="AQ520" s="234"/>
      <c r="AR520" s="234"/>
      <c r="AS520" s="234"/>
      <c r="AT520" s="234"/>
      <c r="AU520" s="234"/>
      <c r="AV520" s="234"/>
      <c r="AW520" s="234"/>
      <c r="AX520" s="234"/>
      <c r="AY520" s="234"/>
    </row>
    <row r="521" spans="1:51" ht="24" customHeight="1" x14ac:dyDescent="0.25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  <c r="AB521" s="234"/>
      <c r="AC521" s="234"/>
      <c r="AD521" s="234"/>
      <c r="AE521" s="234"/>
      <c r="AF521" s="234"/>
      <c r="AG521" s="234"/>
      <c r="AH521" s="234"/>
      <c r="AI521" s="234"/>
      <c r="AJ521" s="234"/>
      <c r="AK521" s="234"/>
      <c r="AL521" s="234"/>
      <c r="AM521" s="234"/>
      <c r="AN521" s="234"/>
      <c r="AO521" s="234"/>
      <c r="AP521" s="234"/>
      <c r="AQ521" s="234"/>
      <c r="AR521" s="234"/>
      <c r="AS521" s="234"/>
      <c r="AT521" s="234"/>
      <c r="AU521" s="234"/>
      <c r="AV521" s="234"/>
      <c r="AW521" s="234"/>
      <c r="AX521" s="234"/>
      <c r="AY521" s="234"/>
    </row>
    <row r="522" spans="1:51" ht="24" customHeight="1" x14ac:dyDescent="0.25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  <c r="AB522" s="234"/>
      <c r="AC522" s="234"/>
      <c r="AD522" s="234"/>
      <c r="AE522" s="234"/>
      <c r="AF522" s="234"/>
      <c r="AG522" s="234"/>
      <c r="AH522" s="234"/>
      <c r="AI522" s="234"/>
      <c r="AJ522" s="234"/>
      <c r="AK522" s="234"/>
      <c r="AL522" s="234"/>
      <c r="AM522" s="234"/>
      <c r="AN522" s="234"/>
      <c r="AO522" s="234"/>
      <c r="AP522" s="234"/>
      <c r="AQ522" s="234"/>
      <c r="AR522" s="234"/>
      <c r="AS522" s="234"/>
      <c r="AT522" s="234"/>
      <c r="AU522" s="234"/>
      <c r="AV522" s="234"/>
      <c r="AW522" s="234"/>
      <c r="AX522" s="234"/>
      <c r="AY522" s="234"/>
    </row>
    <row r="523" spans="1:51" ht="24" customHeight="1" x14ac:dyDescent="0.25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  <c r="AB523" s="234"/>
      <c r="AC523" s="234"/>
      <c r="AD523" s="234"/>
      <c r="AE523" s="234"/>
      <c r="AF523" s="234"/>
      <c r="AG523" s="234"/>
      <c r="AH523" s="234"/>
      <c r="AI523" s="234"/>
      <c r="AJ523" s="234"/>
      <c r="AK523" s="234"/>
      <c r="AL523" s="234"/>
      <c r="AM523" s="234"/>
      <c r="AN523" s="234"/>
      <c r="AO523" s="234"/>
      <c r="AP523" s="234"/>
      <c r="AQ523" s="234"/>
      <c r="AR523" s="234"/>
      <c r="AS523" s="234"/>
      <c r="AT523" s="234"/>
      <c r="AU523" s="234"/>
      <c r="AV523" s="234"/>
      <c r="AW523" s="234"/>
      <c r="AX523" s="234"/>
      <c r="AY523" s="234"/>
    </row>
    <row r="524" spans="1:51" ht="24" customHeight="1" x14ac:dyDescent="0.25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  <c r="AB524" s="234"/>
      <c r="AC524" s="234"/>
      <c r="AD524" s="234"/>
      <c r="AE524" s="234"/>
      <c r="AF524" s="234"/>
      <c r="AG524" s="234"/>
      <c r="AH524" s="234"/>
      <c r="AI524" s="234"/>
      <c r="AJ524" s="234"/>
      <c r="AK524" s="234"/>
      <c r="AL524" s="234"/>
      <c r="AM524" s="234"/>
      <c r="AN524" s="234"/>
      <c r="AO524" s="234"/>
      <c r="AP524" s="234"/>
      <c r="AQ524" s="234"/>
      <c r="AR524" s="234"/>
      <c r="AS524" s="234"/>
      <c r="AT524" s="234"/>
      <c r="AU524" s="234"/>
      <c r="AV524" s="234"/>
      <c r="AW524" s="234"/>
      <c r="AX524" s="234"/>
      <c r="AY524" s="234"/>
    </row>
    <row r="525" spans="1:51" ht="24" customHeight="1" x14ac:dyDescent="0.2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  <c r="AB525" s="234"/>
      <c r="AC525" s="234"/>
      <c r="AD525" s="234"/>
      <c r="AE525" s="234"/>
      <c r="AF525" s="234"/>
      <c r="AG525" s="234"/>
      <c r="AH525" s="234"/>
      <c r="AI525" s="234"/>
      <c r="AJ525" s="234"/>
      <c r="AK525" s="234"/>
      <c r="AL525" s="234"/>
      <c r="AM525" s="234"/>
      <c r="AN525" s="234"/>
      <c r="AO525" s="234"/>
      <c r="AP525" s="234"/>
      <c r="AQ525" s="234"/>
      <c r="AR525" s="234"/>
      <c r="AS525" s="234"/>
      <c r="AT525" s="234"/>
      <c r="AU525" s="234"/>
      <c r="AV525" s="234"/>
      <c r="AW525" s="234"/>
      <c r="AX525" s="234"/>
      <c r="AY525" s="234"/>
    </row>
    <row r="526" spans="1:51" ht="24" customHeight="1" x14ac:dyDescent="0.25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  <c r="AB526" s="234"/>
      <c r="AC526" s="234"/>
      <c r="AD526" s="234"/>
      <c r="AE526" s="234"/>
      <c r="AF526" s="234"/>
      <c r="AG526" s="234"/>
      <c r="AH526" s="234"/>
      <c r="AI526" s="234"/>
      <c r="AJ526" s="234"/>
      <c r="AK526" s="234"/>
      <c r="AL526" s="234"/>
      <c r="AM526" s="234"/>
      <c r="AN526" s="234"/>
      <c r="AO526" s="234"/>
      <c r="AP526" s="234"/>
      <c r="AQ526" s="234"/>
      <c r="AR526" s="234"/>
      <c r="AS526" s="234"/>
      <c r="AT526" s="234"/>
      <c r="AU526" s="234"/>
      <c r="AV526" s="234"/>
      <c r="AW526" s="234"/>
      <c r="AX526" s="234"/>
      <c r="AY526" s="234"/>
    </row>
    <row r="527" spans="1:51" ht="24" customHeight="1" x14ac:dyDescent="0.25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  <c r="AB527" s="234"/>
      <c r="AC527" s="234"/>
      <c r="AD527" s="234"/>
      <c r="AE527" s="234"/>
      <c r="AF527" s="234"/>
      <c r="AG527" s="234"/>
      <c r="AH527" s="234"/>
      <c r="AI527" s="234"/>
      <c r="AJ527" s="234"/>
      <c r="AK527" s="234"/>
      <c r="AL527" s="234"/>
      <c r="AM527" s="234"/>
      <c r="AN527" s="234"/>
      <c r="AO527" s="234"/>
      <c r="AP527" s="234"/>
      <c r="AQ527" s="234"/>
      <c r="AR527" s="234"/>
      <c r="AS527" s="234"/>
      <c r="AT527" s="234"/>
      <c r="AU527" s="234"/>
      <c r="AV527" s="234"/>
      <c r="AW527" s="234"/>
      <c r="AX527" s="234"/>
      <c r="AY527" s="234"/>
    </row>
    <row r="528" spans="1:51" ht="24" customHeight="1" x14ac:dyDescent="0.25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  <c r="AB528" s="234"/>
      <c r="AC528" s="234"/>
      <c r="AD528" s="234"/>
      <c r="AE528" s="234"/>
      <c r="AF528" s="234"/>
      <c r="AG528" s="234"/>
      <c r="AH528" s="234"/>
      <c r="AI528" s="234"/>
      <c r="AJ528" s="234"/>
      <c r="AK528" s="234"/>
      <c r="AL528" s="234"/>
      <c r="AM528" s="234"/>
      <c r="AN528" s="234"/>
      <c r="AO528" s="234"/>
      <c r="AP528" s="234"/>
      <c r="AQ528" s="234"/>
      <c r="AR528" s="234"/>
      <c r="AS528" s="234"/>
      <c r="AT528" s="234"/>
      <c r="AU528" s="234"/>
      <c r="AV528" s="234"/>
      <c r="AW528" s="234"/>
      <c r="AX528" s="234"/>
      <c r="AY528" s="234"/>
    </row>
    <row r="529" spans="1:51" ht="24" customHeight="1" x14ac:dyDescent="0.25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  <c r="AB529" s="234"/>
      <c r="AC529" s="234"/>
      <c r="AD529" s="234"/>
      <c r="AE529" s="234"/>
      <c r="AF529" s="234"/>
      <c r="AG529" s="234"/>
      <c r="AH529" s="234"/>
      <c r="AI529" s="234"/>
      <c r="AJ529" s="234"/>
      <c r="AK529" s="234"/>
      <c r="AL529" s="234"/>
      <c r="AM529" s="234"/>
      <c r="AN529" s="234"/>
      <c r="AO529" s="234"/>
      <c r="AP529" s="234"/>
      <c r="AQ529" s="234"/>
      <c r="AR529" s="234"/>
      <c r="AS529" s="234"/>
      <c r="AT529" s="234"/>
      <c r="AU529" s="234"/>
      <c r="AV529" s="234"/>
      <c r="AW529" s="234"/>
      <c r="AX529" s="234"/>
      <c r="AY529" s="234"/>
    </row>
    <row r="530" spans="1:51" ht="24" customHeight="1" x14ac:dyDescent="0.25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  <c r="AB530" s="234"/>
      <c r="AC530" s="234"/>
      <c r="AD530" s="234"/>
      <c r="AE530" s="234"/>
      <c r="AF530" s="234"/>
      <c r="AG530" s="234"/>
      <c r="AH530" s="234"/>
      <c r="AI530" s="234"/>
      <c r="AJ530" s="234"/>
      <c r="AK530" s="234"/>
      <c r="AL530" s="234"/>
      <c r="AM530" s="234"/>
      <c r="AN530" s="234"/>
      <c r="AO530" s="234"/>
      <c r="AP530" s="234"/>
      <c r="AQ530" s="234"/>
      <c r="AR530" s="234"/>
      <c r="AS530" s="234"/>
      <c r="AT530" s="234"/>
      <c r="AU530" s="234"/>
      <c r="AV530" s="234"/>
      <c r="AW530" s="234"/>
      <c r="AX530" s="234"/>
      <c r="AY530" s="234"/>
    </row>
    <row r="531" spans="1:51" ht="24" customHeight="1" x14ac:dyDescent="0.25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  <c r="AB531" s="234"/>
      <c r="AC531" s="234"/>
      <c r="AD531" s="234"/>
      <c r="AE531" s="234"/>
      <c r="AF531" s="234"/>
      <c r="AG531" s="234"/>
      <c r="AH531" s="234"/>
      <c r="AI531" s="234"/>
      <c r="AJ531" s="234"/>
      <c r="AK531" s="234"/>
      <c r="AL531" s="234"/>
      <c r="AM531" s="234"/>
      <c r="AN531" s="234"/>
      <c r="AO531" s="234"/>
      <c r="AP531" s="234"/>
      <c r="AQ531" s="234"/>
      <c r="AR531" s="234"/>
      <c r="AS531" s="234"/>
      <c r="AT531" s="234"/>
      <c r="AU531" s="234"/>
      <c r="AV531" s="234"/>
      <c r="AW531" s="234"/>
      <c r="AX531" s="234"/>
      <c r="AY531" s="234"/>
    </row>
    <row r="532" spans="1:51" ht="24" customHeight="1" x14ac:dyDescent="0.25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  <c r="AB532" s="234"/>
      <c r="AC532" s="234"/>
      <c r="AD532" s="234"/>
      <c r="AE532" s="234"/>
      <c r="AF532" s="234"/>
      <c r="AG532" s="234"/>
      <c r="AH532" s="234"/>
      <c r="AI532" s="234"/>
      <c r="AJ532" s="234"/>
      <c r="AK532" s="234"/>
      <c r="AL532" s="234"/>
      <c r="AM532" s="234"/>
      <c r="AN532" s="234"/>
      <c r="AO532" s="234"/>
      <c r="AP532" s="234"/>
      <c r="AQ532" s="234"/>
      <c r="AR532" s="234"/>
      <c r="AS532" s="234"/>
      <c r="AT532" s="234"/>
      <c r="AU532" s="234"/>
      <c r="AV532" s="234"/>
      <c r="AW532" s="234"/>
      <c r="AX532" s="234"/>
      <c r="AY532" s="234"/>
    </row>
    <row r="533" spans="1:51" ht="24" customHeight="1" x14ac:dyDescent="0.25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  <c r="AB533" s="234"/>
      <c r="AC533" s="234"/>
      <c r="AD533" s="234"/>
      <c r="AE533" s="234"/>
      <c r="AF533" s="234"/>
      <c r="AG533" s="234"/>
      <c r="AH533" s="234"/>
      <c r="AI533" s="234"/>
      <c r="AJ533" s="234"/>
      <c r="AK533" s="234"/>
      <c r="AL533" s="234"/>
      <c r="AM533" s="234"/>
      <c r="AN533" s="234"/>
      <c r="AO533" s="234"/>
      <c r="AP533" s="234"/>
      <c r="AQ533" s="234"/>
      <c r="AR533" s="234"/>
      <c r="AS533" s="234"/>
      <c r="AT533" s="234"/>
      <c r="AU533" s="234"/>
      <c r="AV533" s="234"/>
      <c r="AW533" s="234"/>
      <c r="AX533" s="234"/>
      <c r="AY533" s="234"/>
    </row>
    <row r="534" spans="1:51" ht="24" customHeight="1" x14ac:dyDescent="0.25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  <c r="AB534" s="234"/>
      <c r="AC534" s="234"/>
      <c r="AD534" s="234"/>
      <c r="AE534" s="234"/>
      <c r="AF534" s="234"/>
      <c r="AG534" s="234"/>
      <c r="AH534" s="234"/>
      <c r="AI534" s="234"/>
      <c r="AJ534" s="234"/>
      <c r="AK534" s="234"/>
      <c r="AL534" s="234"/>
      <c r="AM534" s="234"/>
      <c r="AN534" s="234"/>
      <c r="AO534" s="234"/>
      <c r="AP534" s="234"/>
      <c r="AQ534" s="234"/>
      <c r="AR534" s="234"/>
      <c r="AS534" s="234"/>
      <c r="AT534" s="234"/>
      <c r="AU534" s="234"/>
      <c r="AV534" s="234"/>
      <c r="AW534" s="234"/>
      <c r="AX534" s="234"/>
      <c r="AY534" s="234"/>
    </row>
    <row r="535" spans="1:51" ht="24" customHeight="1" x14ac:dyDescent="0.2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  <c r="AB535" s="234"/>
      <c r="AC535" s="234"/>
      <c r="AD535" s="234"/>
      <c r="AE535" s="234"/>
      <c r="AF535" s="234"/>
      <c r="AG535" s="234"/>
      <c r="AH535" s="234"/>
      <c r="AI535" s="234"/>
      <c r="AJ535" s="234"/>
      <c r="AK535" s="234"/>
      <c r="AL535" s="234"/>
      <c r="AM535" s="234"/>
      <c r="AN535" s="234"/>
      <c r="AO535" s="234"/>
      <c r="AP535" s="234"/>
      <c r="AQ535" s="234"/>
      <c r="AR535" s="234"/>
      <c r="AS535" s="234"/>
      <c r="AT535" s="234"/>
      <c r="AU535" s="234"/>
      <c r="AV535" s="234"/>
      <c r="AW535" s="234"/>
      <c r="AX535" s="234"/>
      <c r="AY535" s="234"/>
    </row>
    <row r="536" spans="1:51" ht="24" customHeight="1" x14ac:dyDescent="0.25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  <c r="AB536" s="234"/>
      <c r="AC536" s="234"/>
      <c r="AD536" s="234"/>
      <c r="AE536" s="234"/>
      <c r="AF536" s="234"/>
      <c r="AG536" s="234"/>
      <c r="AH536" s="234"/>
      <c r="AI536" s="234"/>
      <c r="AJ536" s="234"/>
      <c r="AK536" s="234"/>
      <c r="AL536" s="234"/>
      <c r="AM536" s="234"/>
      <c r="AN536" s="234"/>
      <c r="AO536" s="234"/>
      <c r="AP536" s="234"/>
      <c r="AQ536" s="234"/>
      <c r="AR536" s="234"/>
      <c r="AS536" s="234"/>
      <c r="AT536" s="234"/>
      <c r="AU536" s="234"/>
      <c r="AV536" s="234"/>
      <c r="AW536" s="234"/>
      <c r="AX536" s="234"/>
      <c r="AY536" s="234"/>
    </row>
    <row r="537" spans="1:51" ht="24" customHeight="1" x14ac:dyDescent="0.25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  <c r="AB537" s="234"/>
      <c r="AC537" s="234"/>
      <c r="AD537" s="234"/>
      <c r="AE537" s="234"/>
      <c r="AF537" s="234"/>
      <c r="AG537" s="234"/>
      <c r="AH537" s="234"/>
      <c r="AI537" s="234"/>
      <c r="AJ537" s="234"/>
      <c r="AK537" s="234"/>
      <c r="AL537" s="234"/>
      <c r="AM537" s="234"/>
      <c r="AN537" s="234"/>
      <c r="AO537" s="234"/>
      <c r="AP537" s="234"/>
      <c r="AQ537" s="234"/>
      <c r="AR537" s="234"/>
      <c r="AS537" s="234"/>
      <c r="AT537" s="234"/>
      <c r="AU537" s="234"/>
      <c r="AV537" s="234"/>
      <c r="AW537" s="234"/>
      <c r="AX537" s="234"/>
      <c r="AY537" s="234"/>
    </row>
    <row r="538" spans="1:51" ht="24" customHeight="1" x14ac:dyDescent="0.25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  <c r="AB538" s="234"/>
      <c r="AC538" s="234"/>
      <c r="AD538" s="234"/>
      <c r="AE538" s="234"/>
      <c r="AF538" s="234"/>
      <c r="AG538" s="234"/>
      <c r="AH538" s="234"/>
      <c r="AI538" s="234"/>
      <c r="AJ538" s="234"/>
      <c r="AK538" s="234"/>
      <c r="AL538" s="234"/>
      <c r="AM538" s="234"/>
      <c r="AN538" s="234"/>
      <c r="AO538" s="234"/>
      <c r="AP538" s="234"/>
      <c r="AQ538" s="234"/>
      <c r="AR538" s="234"/>
      <c r="AS538" s="234"/>
      <c r="AT538" s="234"/>
      <c r="AU538" s="234"/>
      <c r="AV538" s="234"/>
      <c r="AW538" s="234"/>
      <c r="AX538" s="234"/>
      <c r="AY538" s="234"/>
    </row>
    <row r="539" spans="1:51" ht="24" customHeight="1" x14ac:dyDescent="0.25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  <c r="AB539" s="234"/>
      <c r="AC539" s="234"/>
      <c r="AD539" s="234"/>
      <c r="AE539" s="234"/>
      <c r="AF539" s="234"/>
      <c r="AG539" s="234"/>
      <c r="AH539" s="234"/>
      <c r="AI539" s="234"/>
      <c r="AJ539" s="234"/>
      <c r="AK539" s="234"/>
      <c r="AL539" s="234"/>
      <c r="AM539" s="234"/>
      <c r="AN539" s="234"/>
      <c r="AO539" s="234"/>
      <c r="AP539" s="234"/>
      <c r="AQ539" s="234"/>
      <c r="AR539" s="234"/>
      <c r="AS539" s="234"/>
      <c r="AT539" s="234"/>
      <c r="AU539" s="234"/>
      <c r="AV539" s="234"/>
      <c r="AW539" s="234"/>
      <c r="AX539" s="234"/>
      <c r="AY539" s="234"/>
    </row>
    <row r="540" spans="1:51" ht="24" customHeight="1" x14ac:dyDescent="0.25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  <c r="AB540" s="234"/>
      <c r="AC540" s="234"/>
      <c r="AD540" s="234"/>
      <c r="AE540" s="234"/>
      <c r="AF540" s="234"/>
      <c r="AG540" s="234"/>
      <c r="AH540" s="234"/>
      <c r="AI540" s="234"/>
      <c r="AJ540" s="234"/>
      <c r="AK540" s="234"/>
      <c r="AL540" s="234"/>
      <c r="AM540" s="234"/>
      <c r="AN540" s="234"/>
      <c r="AO540" s="234"/>
      <c r="AP540" s="234"/>
      <c r="AQ540" s="234"/>
      <c r="AR540" s="234"/>
      <c r="AS540" s="234"/>
      <c r="AT540" s="234"/>
      <c r="AU540" s="234"/>
      <c r="AV540" s="234"/>
      <c r="AW540" s="234"/>
      <c r="AX540" s="234"/>
      <c r="AY540" s="234"/>
    </row>
    <row r="541" spans="1:51" ht="24" customHeight="1" x14ac:dyDescent="0.25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  <c r="AB541" s="234"/>
      <c r="AC541" s="234"/>
      <c r="AD541" s="234"/>
      <c r="AE541" s="234"/>
      <c r="AF541" s="234"/>
      <c r="AG541" s="234"/>
      <c r="AH541" s="234"/>
      <c r="AI541" s="234"/>
      <c r="AJ541" s="234"/>
      <c r="AK541" s="234"/>
      <c r="AL541" s="234"/>
      <c r="AM541" s="234"/>
      <c r="AN541" s="234"/>
      <c r="AO541" s="234"/>
      <c r="AP541" s="234"/>
      <c r="AQ541" s="234"/>
      <c r="AR541" s="234"/>
      <c r="AS541" s="234"/>
      <c r="AT541" s="234"/>
      <c r="AU541" s="234"/>
      <c r="AV541" s="234"/>
      <c r="AW541" s="234"/>
      <c r="AX541" s="234"/>
      <c r="AY541" s="234"/>
    </row>
    <row r="542" spans="1:51" ht="24" customHeight="1" x14ac:dyDescent="0.25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  <c r="AB542" s="234"/>
      <c r="AC542" s="234"/>
      <c r="AD542" s="234"/>
      <c r="AE542" s="234"/>
      <c r="AF542" s="234"/>
      <c r="AG542" s="234"/>
      <c r="AH542" s="234"/>
      <c r="AI542" s="234"/>
      <c r="AJ542" s="234"/>
      <c r="AK542" s="234"/>
      <c r="AL542" s="234"/>
      <c r="AM542" s="234"/>
      <c r="AN542" s="234"/>
      <c r="AO542" s="234"/>
      <c r="AP542" s="234"/>
      <c r="AQ542" s="234"/>
      <c r="AR542" s="234"/>
      <c r="AS542" s="234"/>
      <c r="AT542" s="234"/>
      <c r="AU542" s="234"/>
      <c r="AV542" s="234"/>
      <c r="AW542" s="234"/>
      <c r="AX542" s="234"/>
      <c r="AY542" s="234"/>
    </row>
    <row r="543" spans="1:51" ht="24" customHeight="1" x14ac:dyDescent="0.25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  <c r="AB543" s="234"/>
      <c r="AC543" s="234"/>
      <c r="AD543" s="234"/>
      <c r="AE543" s="234"/>
      <c r="AF543" s="234"/>
      <c r="AG543" s="234"/>
      <c r="AH543" s="234"/>
      <c r="AI543" s="234"/>
      <c r="AJ543" s="234"/>
      <c r="AK543" s="234"/>
      <c r="AL543" s="234"/>
      <c r="AM543" s="234"/>
      <c r="AN543" s="234"/>
      <c r="AO543" s="234"/>
      <c r="AP543" s="234"/>
      <c r="AQ543" s="234"/>
      <c r="AR543" s="234"/>
      <c r="AS543" s="234"/>
      <c r="AT543" s="234"/>
      <c r="AU543" s="234"/>
      <c r="AV543" s="234"/>
      <c r="AW543" s="234"/>
      <c r="AX543" s="234"/>
      <c r="AY543" s="234"/>
    </row>
    <row r="544" spans="1:51" ht="24" customHeight="1" x14ac:dyDescent="0.25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  <c r="AB544" s="234"/>
      <c r="AC544" s="234"/>
      <c r="AD544" s="234"/>
      <c r="AE544" s="234"/>
      <c r="AF544" s="234"/>
      <c r="AG544" s="234"/>
      <c r="AH544" s="234"/>
      <c r="AI544" s="234"/>
      <c r="AJ544" s="234"/>
      <c r="AK544" s="234"/>
      <c r="AL544" s="234"/>
      <c r="AM544" s="234"/>
      <c r="AN544" s="234"/>
      <c r="AO544" s="234"/>
      <c r="AP544" s="234"/>
      <c r="AQ544" s="234"/>
      <c r="AR544" s="234"/>
      <c r="AS544" s="234"/>
      <c r="AT544" s="234"/>
      <c r="AU544" s="234"/>
      <c r="AV544" s="234"/>
      <c r="AW544" s="234"/>
      <c r="AX544" s="234"/>
      <c r="AY544" s="234"/>
    </row>
    <row r="545" spans="1:51" ht="24" customHeight="1" x14ac:dyDescent="0.2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  <c r="AB545" s="234"/>
      <c r="AC545" s="234"/>
      <c r="AD545" s="234"/>
      <c r="AE545" s="234"/>
      <c r="AF545" s="234"/>
      <c r="AG545" s="234"/>
      <c r="AH545" s="234"/>
      <c r="AI545" s="234"/>
      <c r="AJ545" s="234"/>
      <c r="AK545" s="234"/>
      <c r="AL545" s="234"/>
      <c r="AM545" s="234"/>
      <c r="AN545" s="234"/>
      <c r="AO545" s="234"/>
      <c r="AP545" s="234"/>
      <c r="AQ545" s="234"/>
      <c r="AR545" s="234"/>
      <c r="AS545" s="234"/>
      <c r="AT545" s="234"/>
      <c r="AU545" s="234"/>
      <c r="AV545" s="234"/>
      <c r="AW545" s="234"/>
      <c r="AX545" s="234"/>
      <c r="AY545" s="234"/>
    </row>
    <row r="546" spans="1:51" ht="24" customHeight="1" x14ac:dyDescent="0.25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  <c r="AB546" s="234"/>
      <c r="AC546" s="234"/>
      <c r="AD546" s="234"/>
      <c r="AE546" s="234"/>
      <c r="AF546" s="234"/>
      <c r="AG546" s="234"/>
      <c r="AH546" s="234"/>
      <c r="AI546" s="234"/>
      <c r="AJ546" s="234"/>
      <c r="AK546" s="234"/>
      <c r="AL546" s="234"/>
      <c r="AM546" s="234"/>
      <c r="AN546" s="234"/>
      <c r="AO546" s="234"/>
      <c r="AP546" s="234"/>
      <c r="AQ546" s="234"/>
      <c r="AR546" s="234"/>
      <c r="AS546" s="234"/>
      <c r="AT546" s="234"/>
      <c r="AU546" s="234"/>
      <c r="AV546" s="234"/>
      <c r="AW546" s="234"/>
      <c r="AX546" s="234"/>
      <c r="AY546" s="234"/>
    </row>
    <row r="547" spans="1:51" ht="24" customHeight="1" x14ac:dyDescent="0.25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  <c r="AB547" s="234"/>
      <c r="AC547" s="234"/>
      <c r="AD547" s="234"/>
      <c r="AE547" s="234"/>
      <c r="AF547" s="234"/>
      <c r="AG547" s="234"/>
      <c r="AH547" s="234"/>
      <c r="AI547" s="234"/>
      <c r="AJ547" s="234"/>
      <c r="AK547" s="234"/>
      <c r="AL547" s="234"/>
      <c r="AM547" s="234"/>
      <c r="AN547" s="234"/>
      <c r="AO547" s="234"/>
      <c r="AP547" s="234"/>
      <c r="AQ547" s="234"/>
      <c r="AR547" s="234"/>
      <c r="AS547" s="234"/>
      <c r="AT547" s="234"/>
      <c r="AU547" s="234"/>
      <c r="AV547" s="234"/>
      <c r="AW547" s="234"/>
      <c r="AX547" s="234"/>
      <c r="AY547" s="234"/>
    </row>
    <row r="548" spans="1:51" ht="24" customHeight="1" x14ac:dyDescent="0.25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  <c r="AB548" s="234"/>
      <c r="AC548" s="234"/>
      <c r="AD548" s="234"/>
      <c r="AE548" s="234"/>
      <c r="AF548" s="234"/>
      <c r="AG548" s="234"/>
      <c r="AH548" s="234"/>
      <c r="AI548" s="234"/>
      <c r="AJ548" s="234"/>
      <c r="AK548" s="234"/>
      <c r="AL548" s="234"/>
      <c r="AM548" s="234"/>
      <c r="AN548" s="234"/>
      <c r="AO548" s="234"/>
      <c r="AP548" s="234"/>
      <c r="AQ548" s="234"/>
      <c r="AR548" s="234"/>
      <c r="AS548" s="234"/>
      <c r="AT548" s="234"/>
      <c r="AU548" s="234"/>
      <c r="AV548" s="234"/>
      <c r="AW548" s="234"/>
      <c r="AX548" s="234"/>
      <c r="AY548" s="234"/>
    </row>
    <row r="549" spans="1:51" ht="24" customHeight="1" x14ac:dyDescent="0.25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  <c r="AB549" s="234"/>
      <c r="AC549" s="234"/>
      <c r="AD549" s="234"/>
      <c r="AE549" s="234"/>
      <c r="AF549" s="234"/>
      <c r="AG549" s="234"/>
      <c r="AH549" s="234"/>
      <c r="AI549" s="234"/>
      <c r="AJ549" s="234"/>
      <c r="AK549" s="234"/>
      <c r="AL549" s="234"/>
      <c r="AM549" s="234"/>
      <c r="AN549" s="234"/>
      <c r="AO549" s="234"/>
      <c r="AP549" s="234"/>
      <c r="AQ549" s="234"/>
      <c r="AR549" s="234"/>
      <c r="AS549" s="234"/>
      <c r="AT549" s="234"/>
      <c r="AU549" s="234"/>
      <c r="AV549" s="234"/>
      <c r="AW549" s="234"/>
      <c r="AX549" s="234"/>
      <c r="AY549" s="234"/>
    </row>
    <row r="550" spans="1:51" ht="24" customHeight="1" x14ac:dyDescent="0.25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  <c r="AB550" s="234"/>
      <c r="AC550" s="234"/>
      <c r="AD550" s="234"/>
      <c r="AE550" s="234"/>
      <c r="AF550" s="234"/>
      <c r="AG550" s="234"/>
      <c r="AH550" s="234"/>
      <c r="AI550" s="234"/>
      <c r="AJ550" s="234"/>
      <c r="AK550" s="234"/>
      <c r="AL550" s="234"/>
      <c r="AM550" s="234"/>
      <c r="AN550" s="234"/>
      <c r="AO550" s="234"/>
      <c r="AP550" s="234"/>
      <c r="AQ550" s="234"/>
      <c r="AR550" s="234"/>
      <c r="AS550" s="234"/>
      <c r="AT550" s="234"/>
      <c r="AU550" s="234"/>
      <c r="AV550" s="234"/>
      <c r="AW550" s="234"/>
      <c r="AX550" s="234"/>
      <c r="AY550" s="234"/>
    </row>
    <row r="551" spans="1:51" ht="24" customHeight="1" x14ac:dyDescent="0.25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  <c r="AB551" s="234"/>
      <c r="AC551" s="234"/>
      <c r="AD551" s="234"/>
      <c r="AE551" s="234"/>
      <c r="AF551" s="234"/>
      <c r="AG551" s="234"/>
      <c r="AH551" s="234"/>
      <c r="AI551" s="234"/>
      <c r="AJ551" s="234"/>
      <c r="AK551" s="234"/>
      <c r="AL551" s="234"/>
      <c r="AM551" s="234"/>
      <c r="AN551" s="234"/>
      <c r="AO551" s="234"/>
      <c r="AP551" s="234"/>
      <c r="AQ551" s="234"/>
      <c r="AR551" s="234"/>
      <c r="AS551" s="234"/>
      <c r="AT551" s="234"/>
      <c r="AU551" s="234"/>
      <c r="AV551" s="234"/>
      <c r="AW551" s="234"/>
      <c r="AX551" s="234"/>
      <c r="AY551" s="234"/>
    </row>
    <row r="552" spans="1:51" ht="24" customHeight="1" x14ac:dyDescent="0.25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  <c r="AB552" s="234"/>
      <c r="AC552" s="234"/>
      <c r="AD552" s="234"/>
      <c r="AE552" s="234"/>
      <c r="AF552" s="234"/>
      <c r="AG552" s="234"/>
      <c r="AH552" s="234"/>
      <c r="AI552" s="234"/>
      <c r="AJ552" s="234"/>
      <c r="AK552" s="234"/>
      <c r="AL552" s="234"/>
      <c r="AM552" s="234"/>
      <c r="AN552" s="234"/>
      <c r="AO552" s="234"/>
      <c r="AP552" s="234"/>
      <c r="AQ552" s="234"/>
      <c r="AR552" s="234"/>
      <c r="AS552" s="234"/>
      <c r="AT552" s="234"/>
      <c r="AU552" s="234"/>
      <c r="AV552" s="234"/>
      <c r="AW552" s="234"/>
      <c r="AX552" s="234"/>
      <c r="AY552" s="234"/>
    </row>
    <row r="553" spans="1:51" ht="24" customHeight="1" x14ac:dyDescent="0.25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  <c r="AB553" s="234"/>
      <c r="AC553" s="234"/>
      <c r="AD553" s="234"/>
      <c r="AE553" s="234"/>
      <c r="AF553" s="234"/>
      <c r="AG553" s="234"/>
      <c r="AH553" s="234"/>
      <c r="AI553" s="234"/>
      <c r="AJ553" s="234"/>
      <c r="AK553" s="234"/>
      <c r="AL553" s="234"/>
      <c r="AM553" s="234"/>
      <c r="AN553" s="234"/>
      <c r="AO553" s="234"/>
      <c r="AP553" s="234"/>
      <c r="AQ553" s="234"/>
      <c r="AR553" s="234"/>
      <c r="AS553" s="234"/>
      <c r="AT553" s="234"/>
      <c r="AU553" s="234"/>
      <c r="AV553" s="234"/>
      <c r="AW553" s="234"/>
      <c r="AX553" s="234"/>
      <c r="AY553" s="234"/>
    </row>
    <row r="554" spans="1:51" ht="24" customHeight="1" x14ac:dyDescent="0.25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  <c r="AB554" s="234"/>
      <c r="AC554" s="234"/>
      <c r="AD554" s="234"/>
      <c r="AE554" s="234"/>
      <c r="AF554" s="234"/>
      <c r="AG554" s="234"/>
      <c r="AH554" s="234"/>
      <c r="AI554" s="234"/>
      <c r="AJ554" s="234"/>
      <c r="AK554" s="234"/>
      <c r="AL554" s="234"/>
      <c r="AM554" s="234"/>
      <c r="AN554" s="234"/>
      <c r="AO554" s="234"/>
      <c r="AP554" s="234"/>
      <c r="AQ554" s="234"/>
      <c r="AR554" s="234"/>
      <c r="AS554" s="234"/>
      <c r="AT554" s="234"/>
      <c r="AU554" s="234"/>
      <c r="AV554" s="234"/>
      <c r="AW554" s="234"/>
      <c r="AX554" s="234"/>
      <c r="AY554" s="234"/>
    </row>
    <row r="555" spans="1:51" ht="24" customHeight="1" x14ac:dyDescent="0.2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  <c r="AB555" s="234"/>
      <c r="AC555" s="234"/>
      <c r="AD555" s="234"/>
      <c r="AE555" s="234"/>
      <c r="AF555" s="234"/>
      <c r="AG555" s="234"/>
      <c r="AH555" s="234"/>
      <c r="AI555" s="234"/>
      <c r="AJ555" s="234"/>
      <c r="AK555" s="234"/>
      <c r="AL555" s="234"/>
      <c r="AM555" s="234"/>
      <c r="AN555" s="234"/>
      <c r="AO555" s="234"/>
      <c r="AP555" s="234"/>
      <c r="AQ555" s="234"/>
      <c r="AR555" s="234"/>
      <c r="AS555" s="234"/>
      <c r="AT555" s="234"/>
      <c r="AU555" s="234"/>
      <c r="AV555" s="234"/>
      <c r="AW555" s="234"/>
      <c r="AX555" s="234"/>
      <c r="AY555" s="234"/>
    </row>
    <row r="556" spans="1:51" ht="24" customHeight="1" x14ac:dyDescent="0.25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  <c r="AB556" s="234"/>
      <c r="AC556" s="234"/>
      <c r="AD556" s="234"/>
      <c r="AE556" s="234"/>
      <c r="AF556" s="234"/>
      <c r="AG556" s="234"/>
      <c r="AH556" s="234"/>
      <c r="AI556" s="234"/>
      <c r="AJ556" s="234"/>
      <c r="AK556" s="234"/>
      <c r="AL556" s="234"/>
      <c r="AM556" s="234"/>
      <c r="AN556" s="234"/>
      <c r="AO556" s="234"/>
      <c r="AP556" s="234"/>
      <c r="AQ556" s="234"/>
      <c r="AR556" s="234"/>
      <c r="AS556" s="234"/>
      <c r="AT556" s="234"/>
      <c r="AU556" s="234"/>
      <c r="AV556" s="234"/>
      <c r="AW556" s="234"/>
      <c r="AX556" s="234"/>
      <c r="AY556" s="234"/>
    </row>
    <row r="557" spans="1:51" ht="24" customHeight="1" x14ac:dyDescent="0.25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  <c r="AB557" s="234"/>
      <c r="AC557" s="234"/>
      <c r="AD557" s="234"/>
      <c r="AE557" s="234"/>
      <c r="AF557" s="234"/>
      <c r="AG557" s="234"/>
      <c r="AH557" s="234"/>
      <c r="AI557" s="234"/>
      <c r="AJ557" s="234"/>
      <c r="AK557" s="234"/>
      <c r="AL557" s="234"/>
      <c r="AM557" s="234"/>
      <c r="AN557" s="234"/>
      <c r="AO557" s="234"/>
      <c r="AP557" s="234"/>
      <c r="AQ557" s="234"/>
      <c r="AR557" s="234"/>
      <c r="AS557" s="234"/>
      <c r="AT557" s="234"/>
      <c r="AU557" s="234"/>
      <c r="AV557" s="234"/>
      <c r="AW557" s="234"/>
      <c r="AX557" s="234"/>
      <c r="AY557" s="234"/>
    </row>
    <row r="558" spans="1:51" ht="24" customHeight="1" x14ac:dyDescent="0.25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  <c r="AB558" s="234"/>
      <c r="AC558" s="234"/>
      <c r="AD558" s="234"/>
      <c r="AE558" s="234"/>
      <c r="AF558" s="234"/>
      <c r="AG558" s="234"/>
      <c r="AH558" s="234"/>
      <c r="AI558" s="234"/>
      <c r="AJ558" s="234"/>
      <c r="AK558" s="234"/>
      <c r="AL558" s="234"/>
      <c r="AM558" s="234"/>
      <c r="AN558" s="234"/>
      <c r="AO558" s="234"/>
      <c r="AP558" s="234"/>
      <c r="AQ558" s="234"/>
      <c r="AR558" s="234"/>
      <c r="AS558" s="234"/>
      <c r="AT558" s="234"/>
      <c r="AU558" s="234"/>
      <c r="AV558" s="234"/>
      <c r="AW558" s="234"/>
      <c r="AX558" s="234"/>
      <c r="AY558" s="234"/>
    </row>
    <row r="559" spans="1:51" ht="24" customHeight="1" x14ac:dyDescent="0.25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  <c r="AB559" s="234"/>
      <c r="AC559" s="234"/>
      <c r="AD559" s="234"/>
      <c r="AE559" s="234"/>
      <c r="AF559" s="234"/>
      <c r="AG559" s="234"/>
      <c r="AH559" s="234"/>
      <c r="AI559" s="234"/>
      <c r="AJ559" s="234"/>
      <c r="AK559" s="234"/>
      <c r="AL559" s="234"/>
      <c r="AM559" s="234"/>
      <c r="AN559" s="234"/>
      <c r="AO559" s="234"/>
      <c r="AP559" s="234"/>
      <c r="AQ559" s="234"/>
      <c r="AR559" s="234"/>
      <c r="AS559" s="234"/>
      <c r="AT559" s="234"/>
      <c r="AU559" s="234"/>
      <c r="AV559" s="234"/>
      <c r="AW559" s="234"/>
      <c r="AX559" s="234"/>
      <c r="AY559" s="234"/>
    </row>
    <row r="560" spans="1:51" ht="24" customHeight="1" x14ac:dyDescent="0.25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  <c r="AB560" s="234"/>
      <c r="AC560" s="234"/>
      <c r="AD560" s="234"/>
      <c r="AE560" s="234"/>
      <c r="AF560" s="234"/>
      <c r="AG560" s="234"/>
      <c r="AH560" s="234"/>
      <c r="AI560" s="234"/>
      <c r="AJ560" s="234"/>
      <c r="AK560" s="234"/>
      <c r="AL560" s="234"/>
      <c r="AM560" s="234"/>
      <c r="AN560" s="234"/>
      <c r="AO560" s="234"/>
      <c r="AP560" s="234"/>
      <c r="AQ560" s="234"/>
      <c r="AR560" s="234"/>
      <c r="AS560" s="234"/>
      <c r="AT560" s="234"/>
      <c r="AU560" s="234"/>
      <c r="AV560" s="234"/>
      <c r="AW560" s="234"/>
      <c r="AX560" s="234"/>
      <c r="AY560" s="234"/>
    </row>
    <row r="561" spans="1:51" ht="24" customHeight="1" x14ac:dyDescent="0.25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  <c r="AB561" s="234"/>
      <c r="AC561" s="234"/>
      <c r="AD561" s="234"/>
      <c r="AE561" s="234"/>
      <c r="AF561" s="234"/>
      <c r="AG561" s="234"/>
      <c r="AH561" s="234"/>
      <c r="AI561" s="234"/>
      <c r="AJ561" s="234"/>
      <c r="AK561" s="234"/>
      <c r="AL561" s="234"/>
      <c r="AM561" s="234"/>
      <c r="AN561" s="234"/>
      <c r="AO561" s="234"/>
      <c r="AP561" s="234"/>
      <c r="AQ561" s="234"/>
      <c r="AR561" s="234"/>
      <c r="AS561" s="234"/>
      <c r="AT561" s="234"/>
      <c r="AU561" s="234"/>
      <c r="AV561" s="234"/>
      <c r="AW561" s="234"/>
      <c r="AX561" s="234"/>
      <c r="AY561" s="234"/>
    </row>
    <row r="562" spans="1:51" ht="24" customHeight="1" x14ac:dyDescent="0.25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  <c r="AB562" s="234"/>
      <c r="AC562" s="234"/>
      <c r="AD562" s="234"/>
      <c r="AE562" s="234"/>
      <c r="AF562" s="234"/>
      <c r="AG562" s="234"/>
      <c r="AH562" s="234"/>
      <c r="AI562" s="234"/>
      <c r="AJ562" s="234"/>
      <c r="AK562" s="234"/>
      <c r="AL562" s="234"/>
      <c r="AM562" s="234"/>
      <c r="AN562" s="234"/>
      <c r="AO562" s="234"/>
      <c r="AP562" s="234"/>
      <c r="AQ562" s="234"/>
      <c r="AR562" s="234"/>
      <c r="AS562" s="234"/>
      <c r="AT562" s="234"/>
      <c r="AU562" s="234"/>
      <c r="AV562" s="234"/>
      <c r="AW562" s="234"/>
      <c r="AX562" s="234"/>
      <c r="AY562" s="234"/>
    </row>
    <row r="563" spans="1:51" ht="24" customHeight="1" x14ac:dyDescent="0.25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  <c r="AB563" s="234"/>
      <c r="AC563" s="234"/>
      <c r="AD563" s="234"/>
      <c r="AE563" s="234"/>
      <c r="AF563" s="234"/>
      <c r="AG563" s="234"/>
      <c r="AH563" s="234"/>
      <c r="AI563" s="234"/>
      <c r="AJ563" s="234"/>
      <c r="AK563" s="234"/>
      <c r="AL563" s="234"/>
      <c r="AM563" s="234"/>
      <c r="AN563" s="234"/>
      <c r="AO563" s="234"/>
      <c r="AP563" s="234"/>
      <c r="AQ563" s="234"/>
      <c r="AR563" s="234"/>
      <c r="AS563" s="234"/>
      <c r="AT563" s="234"/>
      <c r="AU563" s="234"/>
      <c r="AV563" s="234"/>
      <c r="AW563" s="234"/>
      <c r="AX563" s="234"/>
      <c r="AY563" s="234"/>
    </row>
    <row r="564" spans="1:51" ht="24" customHeight="1" x14ac:dyDescent="0.25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  <c r="AB564" s="234"/>
      <c r="AC564" s="234"/>
      <c r="AD564" s="234"/>
      <c r="AE564" s="234"/>
      <c r="AF564" s="234"/>
      <c r="AG564" s="234"/>
      <c r="AH564" s="234"/>
      <c r="AI564" s="234"/>
      <c r="AJ564" s="234"/>
      <c r="AK564" s="234"/>
      <c r="AL564" s="234"/>
      <c r="AM564" s="234"/>
      <c r="AN564" s="234"/>
      <c r="AO564" s="234"/>
      <c r="AP564" s="234"/>
      <c r="AQ564" s="234"/>
      <c r="AR564" s="234"/>
      <c r="AS564" s="234"/>
      <c r="AT564" s="234"/>
      <c r="AU564" s="234"/>
      <c r="AV564" s="234"/>
      <c r="AW564" s="234"/>
      <c r="AX564" s="234"/>
      <c r="AY564" s="234"/>
    </row>
    <row r="565" spans="1:51" ht="24" customHeight="1" x14ac:dyDescent="0.2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  <c r="AB565" s="234"/>
      <c r="AC565" s="234"/>
      <c r="AD565" s="234"/>
      <c r="AE565" s="234"/>
      <c r="AF565" s="234"/>
      <c r="AG565" s="234"/>
      <c r="AH565" s="234"/>
      <c r="AI565" s="234"/>
      <c r="AJ565" s="234"/>
      <c r="AK565" s="234"/>
      <c r="AL565" s="234"/>
      <c r="AM565" s="234"/>
      <c r="AN565" s="234"/>
      <c r="AO565" s="234"/>
      <c r="AP565" s="234"/>
      <c r="AQ565" s="234"/>
      <c r="AR565" s="234"/>
      <c r="AS565" s="234"/>
      <c r="AT565" s="234"/>
      <c r="AU565" s="234"/>
      <c r="AV565" s="234"/>
      <c r="AW565" s="234"/>
      <c r="AX565" s="234"/>
      <c r="AY565" s="234"/>
    </row>
    <row r="566" spans="1:51" ht="24" customHeight="1" x14ac:dyDescent="0.25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  <c r="AB566" s="234"/>
      <c r="AC566" s="234"/>
      <c r="AD566" s="234"/>
      <c r="AE566" s="234"/>
      <c r="AF566" s="234"/>
      <c r="AG566" s="234"/>
      <c r="AH566" s="234"/>
      <c r="AI566" s="234"/>
      <c r="AJ566" s="234"/>
      <c r="AK566" s="234"/>
      <c r="AL566" s="234"/>
      <c r="AM566" s="234"/>
      <c r="AN566" s="234"/>
      <c r="AO566" s="234"/>
      <c r="AP566" s="234"/>
      <c r="AQ566" s="234"/>
      <c r="AR566" s="234"/>
      <c r="AS566" s="234"/>
      <c r="AT566" s="234"/>
      <c r="AU566" s="234"/>
      <c r="AV566" s="234"/>
      <c r="AW566" s="234"/>
      <c r="AX566" s="234"/>
      <c r="AY566" s="234"/>
    </row>
    <row r="567" spans="1:51" ht="24" customHeight="1" x14ac:dyDescent="0.25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  <c r="AB567" s="234"/>
      <c r="AC567" s="234"/>
      <c r="AD567" s="234"/>
      <c r="AE567" s="234"/>
      <c r="AF567" s="234"/>
      <c r="AG567" s="234"/>
      <c r="AH567" s="234"/>
      <c r="AI567" s="234"/>
      <c r="AJ567" s="234"/>
      <c r="AK567" s="234"/>
      <c r="AL567" s="234"/>
      <c r="AM567" s="234"/>
      <c r="AN567" s="234"/>
      <c r="AO567" s="234"/>
      <c r="AP567" s="234"/>
      <c r="AQ567" s="234"/>
      <c r="AR567" s="234"/>
      <c r="AS567" s="234"/>
      <c r="AT567" s="234"/>
      <c r="AU567" s="234"/>
      <c r="AV567" s="234"/>
      <c r="AW567" s="234"/>
      <c r="AX567" s="234"/>
      <c r="AY567" s="234"/>
    </row>
    <row r="568" spans="1:51" ht="24" customHeight="1" x14ac:dyDescent="0.25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  <c r="AB568" s="234"/>
      <c r="AC568" s="234"/>
      <c r="AD568" s="234"/>
      <c r="AE568" s="234"/>
      <c r="AF568" s="234"/>
      <c r="AG568" s="234"/>
      <c r="AH568" s="234"/>
      <c r="AI568" s="234"/>
      <c r="AJ568" s="234"/>
      <c r="AK568" s="234"/>
      <c r="AL568" s="234"/>
      <c r="AM568" s="234"/>
      <c r="AN568" s="234"/>
      <c r="AO568" s="234"/>
      <c r="AP568" s="234"/>
      <c r="AQ568" s="234"/>
      <c r="AR568" s="234"/>
      <c r="AS568" s="234"/>
      <c r="AT568" s="234"/>
      <c r="AU568" s="234"/>
      <c r="AV568" s="234"/>
      <c r="AW568" s="234"/>
      <c r="AX568" s="234"/>
      <c r="AY568" s="234"/>
    </row>
    <row r="569" spans="1:51" ht="24" customHeight="1" x14ac:dyDescent="0.25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  <c r="AB569" s="234"/>
      <c r="AC569" s="234"/>
      <c r="AD569" s="234"/>
      <c r="AE569" s="234"/>
      <c r="AF569" s="234"/>
      <c r="AG569" s="234"/>
      <c r="AH569" s="234"/>
      <c r="AI569" s="234"/>
      <c r="AJ569" s="234"/>
      <c r="AK569" s="234"/>
      <c r="AL569" s="234"/>
      <c r="AM569" s="234"/>
      <c r="AN569" s="234"/>
      <c r="AO569" s="234"/>
      <c r="AP569" s="234"/>
      <c r="AQ569" s="234"/>
      <c r="AR569" s="234"/>
      <c r="AS569" s="234"/>
      <c r="AT569" s="234"/>
      <c r="AU569" s="234"/>
      <c r="AV569" s="234"/>
      <c r="AW569" s="234"/>
      <c r="AX569" s="234"/>
      <c r="AY569" s="234"/>
    </row>
    <row r="570" spans="1:51" ht="24" customHeight="1" x14ac:dyDescent="0.25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  <c r="AB570" s="234"/>
      <c r="AC570" s="234"/>
      <c r="AD570" s="234"/>
      <c r="AE570" s="234"/>
      <c r="AF570" s="234"/>
      <c r="AG570" s="234"/>
      <c r="AH570" s="234"/>
      <c r="AI570" s="234"/>
      <c r="AJ570" s="234"/>
      <c r="AK570" s="234"/>
      <c r="AL570" s="234"/>
      <c r="AM570" s="234"/>
      <c r="AN570" s="234"/>
      <c r="AO570" s="234"/>
      <c r="AP570" s="234"/>
      <c r="AQ570" s="234"/>
      <c r="AR570" s="234"/>
      <c r="AS570" s="234"/>
      <c r="AT570" s="234"/>
      <c r="AU570" s="234"/>
      <c r="AV570" s="234"/>
      <c r="AW570" s="234"/>
      <c r="AX570" s="234"/>
      <c r="AY570" s="234"/>
    </row>
    <row r="571" spans="1:51" ht="24" customHeight="1" x14ac:dyDescent="0.25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  <c r="AB571" s="234"/>
      <c r="AC571" s="234"/>
      <c r="AD571" s="234"/>
      <c r="AE571" s="234"/>
      <c r="AF571" s="234"/>
      <c r="AG571" s="234"/>
      <c r="AH571" s="234"/>
      <c r="AI571" s="234"/>
      <c r="AJ571" s="234"/>
      <c r="AK571" s="234"/>
      <c r="AL571" s="234"/>
      <c r="AM571" s="234"/>
      <c r="AN571" s="234"/>
      <c r="AO571" s="234"/>
      <c r="AP571" s="234"/>
      <c r="AQ571" s="234"/>
      <c r="AR571" s="234"/>
      <c r="AS571" s="234"/>
      <c r="AT571" s="234"/>
      <c r="AU571" s="234"/>
      <c r="AV571" s="234"/>
      <c r="AW571" s="234"/>
      <c r="AX571" s="234"/>
      <c r="AY571" s="234"/>
    </row>
    <row r="572" spans="1:51" ht="24" customHeight="1" x14ac:dyDescent="0.25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  <c r="AB572" s="234"/>
      <c r="AC572" s="234"/>
      <c r="AD572" s="234"/>
      <c r="AE572" s="234"/>
      <c r="AF572" s="234"/>
      <c r="AG572" s="234"/>
      <c r="AH572" s="234"/>
      <c r="AI572" s="234"/>
      <c r="AJ572" s="234"/>
      <c r="AK572" s="234"/>
      <c r="AL572" s="234"/>
      <c r="AM572" s="234"/>
      <c r="AN572" s="234"/>
      <c r="AO572" s="234"/>
      <c r="AP572" s="234"/>
      <c r="AQ572" s="234"/>
      <c r="AR572" s="234"/>
      <c r="AS572" s="234"/>
      <c r="AT572" s="234"/>
      <c r="AU572" s="234"/>
      <c r="AV572" s="234"/>
      <c r="AW572" s="234"/>
      <c r="AX572" s="234"/>
      <c r="AY572" s="234"/>
    </row>
    <row r="573" spans="1:51" ht="24" customHeight="1" x14ac:dyDescent="0.25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  <c r="AB573" s="234"/>
      <c r="AC573" s="234"/>
      <c r="AD573" s="234"/>
      <c r="AE573" s="234"/>
      <c r="AF573" s="234"/>
      <c r="AG573" s="234"/>
      <c r="AH573" s="234"/>
      <c r="AI573" s="234"/>
      <c r="AJ573" s="234"/>
      <c r="AK573" s="234"/>
      <c r="AL573" s="234"/>
      <c r="AM573" s="234"/>
      <c r="AN573" s="234"/>
      <c r="AO573" s="234"/>
      <c r="AP573" s="234"/>
      <c r="AQ573" s="234"/>
      <c r="AR573" s="234"/>
      <c r="AS573" s="234"/>
      <c r="AT573" s="234"/>
      <c r="AU573" s="234"/>
      <c r="AV573" s="234"/>
      <c r="AW573" s="234"/>
      <c r="AX573" s="234"/>
      <c r="AY573" s="234"/>
    </row>
    <row r="574" spans="1:51" ht="24" customHeight="1" x14ac:dyDescent="0.25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  <c r="AB574" s="234"/>
      <c r="AC574" s="234"/>
      <c r="AD574" s="234"/>
      <c r="AE574" s="234"/>
      <c r="AF574" s="234"/>
      <c r="AG574" s="234"/>
      <c r="AH574" s="234"/>
      <c r="AI574" s="234"/>
      <c r="AJ574" s="234"/>
      <c r="AK574" s="234"/>
      <c r="AL574" s="234"/>
      <c r="AM574" s="234"/>
      <c r="AN574" s="234"/>
      <c r="AO574" s="234"/>
      <c r="AP574" s="234"/>
      <c r="AQ574" s="234"/>
      <c r="AR574" s="234"/>
      <c r="AS574" s="234"/>
      <c r="AT574" s="234"/>
      <c r="AU574" s="234"/>
      <c r="AV574" s="234"/>
      <c r="AW574" s="234"/>
      <c r="AX574" s="234"/>
      <c r="AY574" s="234"/>
    </row>
    <row r="575" spans="1:51" ht="24" customHeight="1" x14ac:dyDescent="0.2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  <c r="AB575" s="234"/>
      <c r="AC575" s="234"/>
      <c r="AD575" s="234"/>
      <c r="AE575" s="234"/>
      <c r="AF575" s="234"/>
      <c r="AG575" s="234"/>
      <c r="AH575" s="234"/>
      <c r="AI575" s="234"/>
      <c r="AJ575" s="234"/>
      <c r="AK575" s="234"/>
      <c r="AL575" s="234"/>
      <c r="AM575" s="234"/>
      <c r="AN575" s="234"/>
      <c r="AO575" s="234"/>
      <c r="AP575" s="234"/>
      <c r="AQ575" s="234"/>
      <c r="AR575" s="234"/>
      <c r="AS575" s="234"/>
      <c r="AT575" s="234"/>
      <c r="AU575" s="234"/>
      <c r="AV575" s="234"/>
      <c r="AW575" s="234"/>
      <c r="AX575" s="234"/>
      <c r="AY575" s="234"/>
    </row>
    <row r="576" spans="1:51" ht="24" customHeight="1" x14ac:dyDescent="0.25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  <c r="AB576" s="234"/>
      <c r="AC576" s="234"/>
      <c r="AD576" s="234"/>
      <c r="AE576" s="234"/>
      <c r="AF576" s="234"/>
      <c r="AG576" s="234"/>
      <c r="AH576" s="234"/>
      <c r="AI576" s="234"/>
      <c r="AJ576" s="234"/>
      <c r="AK576" s="234"/>
      <c r="AL576" s="234"/>
      <c r="AM576" s="234"/>
      <c r="AN576" s="234"/>
      <c r="AO576" s="234"/>
      <c r="AP576" s="234"/>
      <c r="AQ576" s="234"/>
      <c r="AR576" s="234"/>
      <c r="AS576" s="234"/>
      <c r="AT576" s="234"/>
      <c r="AU576" s="234"/>
      <c r="AV576" s="234"/>
      <c r="AW576" s="234"/>
      <c r="AX576" s="234"/>
      <c r="AY576" s="234"/>
    </row>
    <row r="577" spans="1:51" ht="24" customHeight="1" x14ac:dyDescent="0.25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  <c r="AB577" s="234"/>
      <c r="AC577" s="234"/>
      <c r="AD577" s="234"/>
      <c r="AE577" s="234"/>
      <c r="AF577" s="234"/>
      <c r="AG577" s="234"/>
      <c r="AH577" s="234"/>
      <c r="AI577" s="234"/>
      <c r="AJ577" s="234"/>
      <c r="AK577" s="234"/>
      <c r="AL577" s="234"/>
      <c r="AM577" s="234"/>
      <c r="AN577" s="234"/>
      <c r="AO577" s="234"/>
      <c r="AP577" s="234"/>
      <c r="AQ577" s="234"/>
      <c r="AR577" s="234"/>
      <c r="AS577" s="234"/>
      <c r="AT577" s="234"/>
      <c r="AU577" s="234"/>
      <c r="AV577" s="234"/>
      <c r="AW577" s="234"/>
      <c r="AX577" s="234"/>
      <c r="AY577" s="234"/>
    </row>
    <row r="578" spans="1:51" ht="24" customHeight="1" x14ac:dyDescent="0.25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  <c r="AB578" s="234"/>
      <c r="AC578" s="234"/>
      <c r="AD578" s="234"/>
      <c r="AE578" s="234"/>
      <c r="AF578" s="234"/>
      <c r="AG578" s="234"/>
      <c r="AH578" s="234"/>
      <c r="AI578" s="234"/>
      <c r="AJ578" s="234"/>
      <c r="AK578" s="234"/>
      <c r="AL578" s="234"/>
      <c r="AM578" s="234"/>
      <c r="AN578" s="234"/>
      <c r="AO578" s="234"/>
      <c r="AP578" s="234"/>
      <c r="AQ578" s="234"/>
      <c r="AR578" s="234"/>
      <c r="AS578" s="234"/>
      <c r="AT578" s="234"/>
      <c r="AU578" s="234"/>
      <c r="AV578" s="234"/>
      <c r="AW578" s="234"/>
      <c r="AX578" s="234"/>
      <c r="AY578" s="234"/>
    </row>
    <row r="579" spans="1:51" ht="24" customHeight="1" x14ac:dyDescent="0.25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  <c r="AB579" s="234"/>
      <c r="AC579" s="234"/>
      <c r="AD579" s="234"/>
      <c r="AE579" s="234"/>
      <c r="AF579" s="234"/>
      <c r="AG579" s="234"/>
      <c r="AH579" s="234"/>
      <c r="AI579" s="234"/>
      <c r="AJ579" s="234"/>
      <c r="AK579" s="234"/>
      <c r="AL579" s="234"/>
      <c r="AM579" s="234"/>
      <c r="AN579" s="234"/>
      <c r="AO579" s="234"/>
      <c r="AP579" s="234"/>
      <c r="AQ579" s="234"/>
      <c r="AR579" s="234"/>
      <c r="AS579" s="234"/>
      <c r="AT579" s="234"/>
      <c r="AU579" s="234"/>
      <c r="AV579" s="234"/>
      <c r="AW579" s="234"/>
      <c r="AX579" s="234"/>
      <c r="AY579" s="234"/>
    </row>
    <row r="580" spans="1:51" ht="24" customHeight="1" x14ac:dyDescent="0.25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  <c r="AB580" s="234"/>
      <c r="AC580" s="234"/>
      <c r="AD580" s="234"/>
      <c r="AE580" s="234"/>
      <c r="AF580" s="234"/>
      <c r="AG580" s="234"/>
      <c r="AH580" s="234"/>
      <c r="AI580" s="234"/>
      <c r="AJ580" s="234"/>
      <c r="AK580" s="234"/>
      <c r="AL580" s="234"/>
      <c r="AM580" s="234"/>
      <c r="AN580" s="234"/>
      <c r="AO580" s="234"/>
      <c r="AP580" s="234"/>
      <c r="AQ580" s="234"/>
      <c r="AR580" s="234"/>
      <c r="AS580" s="234"/>
      <c r="AT580" s="234"/>
      <c r="AU580" s="234"/>
      <c r="AV580" s="234"/>
      <c r="AW580" s="234"/>
      <c r="AX580" s="234"/>
      <c r="AY580" s="234"/>
    </row>
    <row r="581" spans="1:51" ht="24" customHeight="1" x14ac:dyDescent="0.25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  <c r="AB581" s="234"/>
      <c r="AC581" s="234"/>
      <c r="AD581" s="234"/>
      <c r="AE581" s="234"/>
      <c r="AF581" s="234"/>
      <c r="AG581" s="234"/>
      <c r="AH581" s="234"/>
      <c r="AI581" s="234"/>
      <c r="AJ581" s="234"/>
      <c r="AK581" s="234"/>
      <c r="AL581" s="234"/>
      <c r="AM581" s="234"/>
      <c r="AN581" s="234"/>
      <c r="AO581" s="234"/>
      <c r="AP581" s="234"/>
      <c r="AQ581" s="234"/>
      <c r="AR581" s="234"/>
      <c r="AS581" s="234"/>
      <c r="AT581" s="234"/>
      <c r="AU581" s="234"/>
      <c r="AV581" s="234"/>
      <c r="AW581" s="234"/>
      <c r="AX581" s="234"/>
      <c r="AY581" s="234"/>
    </row>
    <row r="582" spans="1:51" ht="24" customHeight="1" x14ac:dyDescent="0.25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  <c r="AB582" s="234"/>
      <c r="AC582" s="234"/>
      <c r="AD582" s="234"/>
      <c r="AE582" s="234"/>
      <c r="AF582" s="234"/>
      <c r="AG582" s="234"/>
      <c r="AH582" s="234"/>
      <c r="AI582" s="234"/>
      <c r="AJ582" s="234"/>
      <c r="AK582" s="234"/>
      <c r="AL582" s="234"/>
      <c r="AM582" s="234"/>
      <c r="AN582" s="234"/>
      <c r="AO582" s="234"/>
      <c r="AP582" s="234"/>
      <c r="AQ582" s="234"/>
      <c r="AR582" s="234"/>
      <c r="AS582" s="234"/>
      <c r="AT582" s="234"/>
      <c r="AU582" s="234"/>
      <c r="AV582" s="234"/>
      <c r="AW582" s="234"/>
      <c r="AX582" s="234"/>
      <c r="AY582" s="234"/>
    </row>
    <row r="583" spans="1:51" ht="24" customHeight="1" x14ac:dyDescent="0.25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  <c r="AB583" s="234"/>
      <c r="AC583" s="234"/>
      <c r="AD583" s="234"/>
      <c r="AE583" s="234"/>
      <c r="AF583" s="234"/>
      <c r="AG583" s="234"/>
      <c r="AH583" s="234"/>
      <c r="AI583" s="234"/>
      <c r="AJ583" s="234"/>
      <c r="AK583" s="234"/>
      <c r="AL583" s="234"/>
      <c r="AM583" s="234"/>
      <c r="AN583" s="234"/>
      <c r="AO583" s="234"/>
      <c r="AP583" s="234"/>
      <c r="AQ583" s="234"/>
      <c r="AR583" s="234"/>
      <c r="AS583" s="234"/>
      <c r="AT583" s="234"/>
      <c r="AU583" s="234"/>
      <c r="AV583" s="234"/>
      <c r="AW583" s="234"/>
      <c r="AX583" s="234"/>
      <c r="AY583" s="234"/>
    </row>
    <row r="584" spans="1:51" ht="24" customHeight="1" x14ac:dyDescent="0.25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  <c r="AB584" s="234"/>
      <c r="AC584" s="234"/>
      <c r="AD584" s="234"/>
      <c r="AE584" s="234"/>
      <c r="AF584" s="234"/>
      <c r="AG584" s="234"/>
      <c r="AH584" s="234"/>
      <c r="AI584" s="234"/>
      <c r="AJ584" s="234"/>
      <c r="AK584" s="234"/>
      <c r="AL584" s="234"/>
      <c r="AM584" s="234"/>
      <c r="AN584" s="234"/>
      <c r="AO584" s="234"/>
      <c r="AP584" s="234"/>
      <c r="AQ584" s="234"/>
      <c r="AR584" s="234"/>
      <c r="AS584" s="234"/>
      <c r="AT584" s="234"/>
      <c r="AU584" s="234"/>
      <c r="AV584" s="234"/>
      <c r="AW584" s="234"/>
      <c r="AX584" s="234"/>
      <c r="AY584" s="234"/>
    </row>
    <row r="585" spans="1:51" ht="24" customHeight="1" x14ac:dyDescent="0.2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  <c r="AB585" s="234"/>
      <c r="AC585" s="234"/>
      <c r="AD585" s="234"/>
      <c r="AE585" s="234"/>
      <c r="AF585" s="234"/>
      <c r="AG585" s="234"/>
      <c r="AH585" s="234"/>
      <c r="AI585" s="234"/>
      <c r="AJ585" s="234"/>
      <c r="AK585" s="234"/>
      <c r="AL585" s="234"/>
      <c r="AM585" s="234"/>
      <c r="AN585" s="234"/>
      <c r="AO585" s="234"/>
      <c r="AP585" s="234"/>
      <c r="AQ585" s="234"/>
      <c r="AR585" s="234"/>
      <c r="AS585" s="234"/>
      <c r="AT585" s="234"/>
      <c r="AU585" s="234"/>
      <c r="AV585" s="234"/>
      <c r="AW585" s="234"/>
      <c r="AX585" s="234"/>
      <c r="AY585" s="234"/>
    </row>
    <row r="586" spans="1:51" ht="24" customHeight="1" x14ac:dyDescent="0.25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  <c r="AB586" s="234"/>
      <c r="AC586" s="234"/>
      <c r="AD586" s="234"/>
      <c r="AE586" s="234"/>
      <c r="AF586" s="234"/>
      <c r="AG586" s="234"/>
      <c r="AH586" s="234"/>
      <c r="AI586" s="234"/>
      <c r="AJ586" s="234"/>
      <c r="AK586" s="234"/>
      <c r="AL586" s="234"/>
      <c r="AM586" s="234"/>
      <c r="AN586" s="234"/>
      <c r="AO586" s="234"/>
      <c r="AP586" s="234"/>
      <c r="AQ586" s="234"/>
      <c r="AR586" s="234"/>
      <c r="AS586" s="234"/>
      <c r="AT586" s="234"/>
      <c r="AU586" s="234"/>
      <c r="AV586" s="234"/>
      <c r="AW586" s="234"/>
      <c r="AX586" s="234"/>
      <c r="AY586" s="234"/>
    </row>
    <row r="587" spans="1:51" ht="24" customHeight="1" x14ac:dyDescent="0.25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  <c r="AB587" s="234"/>
      <c r="AC587" s="234"/>
      <c r="AD587" s="234"/>
      <c r="AE587" s="234"/>
      <c r="AF587" s="234"/>
      <c r="AG587" s="234"/>
      <c r="AH587" s="234"/>
      <c r="AI587" s="234"/>
      <c r="AJ587" s="234"/>
      <c r="AK587" s="234"/>
      <c r="AL587" s="234"/>
      <c r="AM587" s="234"/>
      <c r="AN587" s="234"/>
      <c r="AO587" s="234"/>
      <c r="AP587" s="234"/>
      <c r="AQ587" s="234"/>
      <c r="AR587" s="234"/>
      <c r="AS587" s="234"/>
      <c r="AT587" s="234"/>
      <c r="AU587" s="234"/>
      <c r="AV587" s="234"/>
      <c r="AW587" s="234"/>
      <c r="AX587" s="234"/>
      <c r="AY587" s="234"/>
    </row>
    <row r="588" spans="1:51" ht="24" customHeight="1" x14ac:dyDescent="0.25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  <c r="AB588" s="234"/>
      <c r="AC588" s="234"/>
      <c r="AD588" s="234"/>
      <c r="AE588" s="234"/>
      <c r="AF588" s="234"/>
      <c r="AG588" s="234"/>
      <c r="AH588" s="234"/>
      <c r="AI588" s="234"/>
      <c r="AJ588" s="234"/>
      <c r="AK588" s="234"/>
      <c r="AL588" s="234"/>
      <c r="AM588" s="234"/>
      <c r="AN588" s="234"/>
      <c r="AO588" s="234"/>
      <c r="AP588" s="234"/>
      <c r="AQ588" s="234"/>
      <c r="AR588" s="234"/>
      <c r="AS588" s="234"/>
      <c r="AT588" s="234"/>
      <c r="AU588" s="234"/>
      <c r="AV588" s="234"/>
      <c r="AW588" s="234"/>
      <c r="AX588" s="234"/>
      <c r="AY588" s="234"/>
    </row>
    <row r="589" spans="1:51" ht="24" customHeight="1" x14ac:dyDescent="0.25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  <c r="AB589" s="234"/>
      <c r="AC589" s="234"/>
      <c r="AD589" s="234"/>
      <c r="AE589" s="234"/>
      <c r="AF589" s="234"/>
      <c r="AG589" s="234"/>
      <c r="AH589" s="234"/>
      <c r="AI589" s="234"/>
      <c r="AJ589" s="234"/>
      <c r="AK589" s="234"/>
      <c r="AL589" s="234"/>
      <c r="AM589" s="234"/>
      <c r="AN589" s="234"/>
      <c r="AO589" s="234"/>
      <c r="AP589" s="234"/>
      <c r="AQ589" s="234"/>
      <c r="AR589" s="234"/>
      <c r="AS589" s="234"/>
      <c r="AT589" s="234"/>
      <c r="AU589" s="234"/>
      <c r="AV589" s="234"/>
      <c r="AW589" s="234"/>
      <c r="AX589" s="234"/>
      <c r="AY589" s="234"/>
    </row>
    <row r="590" spans="1:51" ht="24" customHeight="1" x14ac:dyDescent="0.25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  <c r="AB590" s="234"/>
      <c r="AC590" s="234"/>
      <c r="AD590" s="234"/>
      <c r="AE590" s="234"/>
      <c r="AF590" s="234"/>
      <c r="AG590" s="234"/>
      <c r="AH590" s="234"/>
      <c r="AI590" s="234"/>
      <c r="AJ590" s="234"/>
      <c r="AK590" s="234"/>
      <c r="AL590" s="234"/>
      <c r="AM590" s="234"/>
      <c r="AN590" s="234"/>
      <c r="AO590" s="234"/>
      <c r="AP590" s="234"/>
      <c r="AQ590" s="234"/>
      <c r="AR590" s="234"/>
      <c r="AS590" s="234"/>
      <c r="AT590" s="234"/>
      <c r="AU590" s="234"/>
      <c r="AV590" s="234"/>
      <c r="AW590" s="234"/>
      <c r="AX590" s="234"/>
      <c r="AY590" s="234"/>
    </row>
    <row r="591" spans="1:51" ht="24" customHeight="1" x14ac:dyDescent="0.25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  <c r="AB591" s="234"/>
      <c r="AC591" s="234"/>
      <c r="AD591" s="234"/>
      <c r="AE591" s="234"/>
      <c r="AF591" s="234"/>
      <c r="AG591" s="234"/>
      <c r="AH591" s="234"/>
      <c r="AI591" s="234"/>
      <c r="AJ591" s="234"/>
      <c r="AK591" s="234"/>
      <c r="AL591" s="234"/>
      <c r="AM591" s="234"/>
      <c r="AN591" s="234"/>
      <c r="AO591" s="234"/>
      <c r="AP591" s="234"/>
      <c r="AQ591" s="234"/>
      <c r="AR591" s="234"/>
      <c r="AS591" s="234"/>
      <c r="AT591" s="234"/>
      <c r="AU591" s="234"/>
      <c r="AV591" s="234"/>
      <c r="AW591" s="234"/>
      <c r="AX591" s="234"/>
      <c r="AY591" s="234"/>
    </row>
    <row r="592" spans="1:51" ht="24" customHeight="1" x14ac:dyDescent="0.25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  <c r="AB592" s="234"/>
      <c r="AC592" s="234"/>
      <c r="AD592" s="234"/>
      <c r="AE592" s="234"/>
      <c r="AF592" s="234"/>
      <c r="AG592" s="234"/>
      <c r="AH592" s="234"/>
      <c r="AI592" s="234"/>
      <c r="AJ592" s="234"/>
      <c r="AK592" s="234"/>
      <c r="AL592" s="234"/>
      <c r="AM592" s="234"/>
      <c r="AN592" s="234"/>
      <c r="AO592" s="234"/>
      <c r="AP592" s="234"/>
      <c r="AQ592" s="234"/>
      <c r="AR592" s="234"/>
      <c r="AS592" s="234"/>
      <c r="AT592" s="234"/>
      <c r="AU592" s="234"/>
      <c r="AV592" s="234"/>
      <c r="AW592" s="234"/>
      <c r="AX592" s="234"/>
      <c r="AY592" s="234"/>
    </row>
    <row r="593" spans="1:51" ht="24" customHeight="1" x14ac:dyDescent="0.25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  <c r="AB593" s="234"/>
      <c r="AC593" s="234"/>
      <c r="AD593" s="234"/>
      <c r="AE593" s="234"/>
      <c r="AF593" s="234"/>
      <c r="AG593" s="234"/>
      <c r="AH593" s="234"/>
      <c r="AI593" s="234"/>
      <c r="AJ593" s="234"/>
      <c r="AK593" s="234"/>
      <c r="AL593" s="234"/>
      <c r="AM593" s="234"/>
      <c r="AN593" s="234"/>
      <c r="AO593" s="234"/>
      <c r="AP593" s="234"/>
      <c r="AQ593" s="234"/>
      <c r="AR593" s="234"/>
      <c r="AS593" s="234"/>
      <c r="AT593" s="234"/>
      <c r="AU593" s="234"/>
      <c r="AV593" s="234"/>
      <c r="AW593" s="234"/>
      <c r="AX593" s="234"/>
      <c r="AY593" s="234"/>
    </row>
    <row r="594" spans="1:51" ht="24" customHeight="1" x14ac:dyDescent="0.25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  <c r="AB594" s="234"/>
      <c r="AC594" s="234"/>
      <c r="AD594" s="234"/>
      <c r="AE594" s="234"/>
      <c r="AF594" s="234"/>
      <c r="AG594" s="234"/>
      <c r="AH594" s="234"/>
      <c r="AI594" s="234"/>
      <c r="AJ594" s="234"/>
      <c r="AK594" s="234"/>
      <c r="AL594" s="234"/>
      <c r="AM594" s="234"/>
      <c r="AN594" s="234"/>
      <c r="AO594" s="234"/>
      <c r="AP594" s="234"/>
      <c r="AQ594" s="234"/>
      <c r="AR594" s="234"/>
      <c r="AS594" s="234"/>
      <c r="AT594" s="234"/>
      <c r="AU594" s="234"/>
      <c r="AV594" s="234"/>
      <c r="AW594" s="234"/>
      <c r="AX594" s="234"/>
      <c r="AY594" s="234"/>
    </row>
    <row r="595" spans="1:51" ht="24" customHeight="1" x14ac:dyDescent="0.2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  <c r="AB595" s="234"/>
      <c r="AC595" s="234"/>
      <c r="AD595" s="234"/>
      <c r="AE595" s="234"/>
      <c r="AF595" s="234"/>
      <c r="AG595" s="234"/>
      <c r="AH595" s="234"/>
      <c r="AI595" s="234"/>
      <c r="AJ595" s="234"/>
      <c r="AK595" s="234"/>
      <c r="AL595" s="234"/>
      <c r="AM595" s="234"/>
      <c r="AN595" s="234"/>
      <c r="AO595" s="234"/>
      <c r="AP595" s="234"/>
      <c r="AQ595" s="234"/>
      <c r="AR595" s="234"/>
      <c r="AS595" s="234"/>
      <c r="AT595" s="234"/>
      <c r="AU595" s="234"/>
      <c r="AV595" s="234"/>
      <c r="AW595" s="234"/>
      <c r="AX595" s="234"/>
      <c r="AY595" s="234"/>
    </row>
    <row r="596" spans="1:51" ht="24" customHeight="1" x14ac:dyDescent="0.25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  <c r="AB596" s="234"/>
      <c r="AC596" s="234"/>
      <c r="AD596" s="234"/>
      <c r="AE596" s="234"/>
      <c r="AF596" s="234"/>
      <c r="AG596" s="234"/>
      <c r="AH596" s="234"/>
      <c r="AI596" s="234"/>
      <c r="AJ596" s="234"/>
      <c r="AK596" s="234"/>
      <c r="AL596" s="234"/>
      <c r="AM596" s="234"/>
      <c r="AN596" s="234"/>
      <c r="AO596" s="234"/>
      <c r="AP596" s="234"/>
      <c r="AQ596" s="234"/>
      <c r="AR596" s="234"/>
      <c r="AS596" s="234"/>
      <c r="AT596" s="234"/>
      <c r="AU596" s="234"/>
      <c r="AV596" s="234"/>
      <c r="AW596" s="234"/>
      <c r="AX596" s="234"/>
      <c r="AY596" s="234"/>
    </row>
    <row r="597" spans="1:51" ht="24" customHeight="1" x14ac:dyDescent="0.25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  <c r="AB597" s="234"/>
      <c r="AC597" s="234"/>
      <c r="AD597" s="234"/>
      <c r="AE597" s="234"/>
      <c r="AF597" s="234"/>
      <c r="AG597" s="234"/>
      <c r="AH597" s="234"/>
      <c r="AI597" s="234"/>
      <c r="AJ597" s="234"/>
      <c r="AK597" s="234"/>
      <c r="AL597" s="234"/>
      <c r="AM597" s="234"/>
      <c r="AN597" s="234"/>
      <c r="AO597" s="234"/>
      <c r="AP597" s="234"/>
      <c r="AQ597" s="234"/>
      <c r="AR597" s="234"/>
      <c r="AS597" s="234"/>
      <c r="AT597" s="234"/>
      <c r="AU597" s="234"/>
      <c r="AV597" s="234"/>
      <c r="AW597" s="234"/>
      <c r="AX597" s="234"/>
      <c r="AY597" s="234"/>
    </row>
    <row r="598" spans="1:51" ht="24" customHeight="1" x14ac:dyDescent="0.25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  <c r="AB598" s="234"/>
      <c r="AC598" s="234"/>
      <c r="AD598" s="234"/>
      <c r="AE598" s="234"/>
      <c r="AF598" s="234"/>
      <c r="AG598" s="234"/>
      <c r="AH598" s="234"/>
      <c r="AI598" s="234"/>
      <c r="AJ598" s="234"/>
      <c r="AK598" s="234"/>
      <c r="AL598" s="234"/>
      <c r="AM598" s="234"/>
      <c r="AN598" s="234"/>
      <c r="AO598" s="234"/>
      <c r="AP598" s="234"/>
      <c r="AQ598" s="234"/>
      <c r="AR598" s="234"/>
      <c r="AS598" s="234"/>
      <c r="AT598" s="234"/>
      <c r="AU598" s="234"/>
      <c r="AV598" s="234"/>
      <c r="AW598" s="234"/>
      <c r="AX598" s="234"/>
      <c r="AY598" s="234"/>
    </row>
    <row r="599" spans="1:51" ht="24" customHeight="1" x14ac:dyDescent="0.25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  <c r="AB599" s="234"/>
      <c r="AC599" s="234"/>
      <c r="AD599" s="234"/>
      <c r="AE599" s="234"/>
      <c r="AF599" s="234"/>
      <c r="AG599" s="234"/>
      <c r="AH599" s="234"/>
      <c r="AI599" s="234"/>
      <c r="AJ599" s="234"/>
      <c r="AK599" s="234"/>
      <c r="AL599" s="234"/>
      <c r="AM599" s="234"/>
      <c r="AN599" s="234"/>
      <c r="AO599" s="234"/>
      <c r="AP599" s="234"/>
      <c r="AQ599" s="234"/>
      <c r="AR599" s="234"/>
      <c r="AS599" s="234"/>
      <c r="AT599" s="234"/>
      <c r="AU599" s="234"/>
      <c r="AV599" s="234"/>
      <c r="AW599" s="234"/>
      <c r="AX599" s="234"/>
      <c r="AY599" s="234"/>
    </row>
    <row r="600" spans="1:51" ht="24" customHeight="1" x14ac:dyDescent="0.25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  <c r="AB600" s="234"/>
      <c r="AC600" s="234"/>
      <c r="AD600" s="234"/>
      <c r="AE600" s="234"/>
      <c r="AF600" s="234"/>
      <c r="AG600" s="234"/>
      <c r="AH600" s="234"/>
      <c r="AI600" s="234"/>
      <c r="AJ600" s="234"/>
      <c r="AK600" s="234"/>
      <c r="AL600" s="234"/>
      <c r="AM600" s="234"/>
      <c r="AN600" s="234"/>
      <c r="AO600" s="234"/>
      <c r="AP600" s="234"/>
      <c r="AQ600" s="234"/>
      <c r="AR600" s="234"/>
      <c r="AS600" s="234"/>
      <c r="AT600" s="234"/>
      <c r="AU600" s="234"/>
      <c r="AV600" s="234"/>
      <c r="AW600" s="234"/>
      <c r="AX600" s="234"/>
      <c r="AY600" s="234"/>
    </row>
    <row r="601" spans="1:51" ht="24" customHeight="1" x14ac:dyDescent="0.25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  <c r="AB601" s="234"/>
      <c r="AC601" s="234"/>
      <c r="AD601" s="234"/>
      <c r="AE601" s="234"/>
      <c r="AF601" s="234"/>
      <c r="AG601" s="234"/>
      <c r="AH601" s="234"/>
      <c r="AI601" s="234"/>
      <c r="AJ601" s="234"/>
      <c r="AK601" s="234"/>
      <c r="AL601" s="234"/>
      <c r="AM601" s="234"/>
      <c r="AN601" s="234"/>
      <c r="AO601" s="234"/>
      <c r="AP601" s="234"/>
      <c r="AQ601" s="234"/>
      <c r="AR601" s="234"/>
      <c r="AS601" s="234"/>
      <c r="AT601" s="234"/>
      <c r="AU601" s="234"/>
      <c r="AV601" s="234"/>
      <c r="AW601" s="234"/>
      <c r="AX601" s="234"/>
      <c r="AY601" s="234"/>
    </row>
    <row r="602" spans="1:51" ht="24" customHeight="1" x14ac:dyDescent="0.25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  <c r="AB602" s="234"/>
      <c r="AC602" s="234"/>
      <c r="AD602" s="234"/>
      <c r="AE602" s="234"/>
      <c r="AF602" s="234"/>
      <c r="AG602" s="234"/>
      <c r="AH602" s="234"/>
      <c r="AI602" s="234"/>
      <c r="AJ602" s="234"/>
      <c r="AK602" s="234"/>
      <c r="AL602" s="234"/>
      <c r="AM602" s="234"/>
      <c r="AN602" s="234"/>
      <c r="AO602" s="234"/>
      <c r="AP602" s="234"/>
      <c r="AQ602" s="234"/>
      <c r="AR602" s="234"/>
      <c r="AS602" s="234"/>
      <c r="AT602" s="234"/>
      <c r="AU602" s="234"/>
      <c r="AV602" s="234"/>
      <c r="AW602" s="234"/>
      <c r="AX602" s="234"/>
      <c r="AY602" s="234"/>
    </row>
    <row r="603" spans="1:51" ht="24" customHeight="1" x14ac:dyDescent="0.25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  <c r="AB603" s="234"/>
      <c r="AC603" s="234"/>
      <c r="AD603" s="234"/>
      <c r="AE603" s="234"/>
      <c r="AF603" s="234"/>
      <c r="AG603" s="234"/>
      <c r="AH603" s="234"/>
      <c r="AI603" s="234"/>
      <c r="AJ603" s="234"/>
      <c r="AK603" s="234"/>
      <c r="AL603" s="234"/>
      <c r="AM603" s="234"/>
      <c r="AN603" s="234"/>
      <c r="AO603" s="234"/>
      <c r="AP603" s="234"/>
      <c r="AQ603" s="234"/>
      <c r="AR603" s="234"/>
      <c r="AS603" s="234"/>
      <c r="AT603" s="234"/>
      <c r="AU603" s="234"/>
      <c r="AV603" s="234"/>
      <c r="AW603" s="234"/>
      <c r="AX603" s="234"/>
      <c r="AY603" s="234"/>
    </row>
    <row r="604" spans="1:51" ht="24" customHeight="1" x14ac:dyDescent="0.25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  <c r="AB604" s="234"/>
      <c r="AC604" s="234"/>
      <c r="AD604" s="234"/>
      <c r="AE604" s="234"/>
      <c r="AF604" s="234"/>
      <c r="AG604" s="234"/>
      <c r="AH604" s="234"/>
      <c r="AI604" s="234"/>
      <c r="AJ604" s="234"/>
      <c r="AK604" s="234"/>
      <c r="AL604" s="234"/>
      <c r="AM604" s="234"/>
      <c r="AN604" s="234"/>
      <c r="AO604" s="234"/>
      <c r="AP604" s="234"/>
      <c r="AQ604" s="234"/>
      <c r="AR604" s="234"/>
      <c r="AS604" s="234"/>
      <c r="AT604" s="234"/>
      <c r="AU604" s="234"/>
      <c r="AV604" s="234"/>
      <c r="AW604" s="234"/>
      <c r="AX604" s="234"/>
      <c r="AY604" s="234"/>
    </row>
    <row r="605" spans="1:51" ht="24" customHeight="1" x14ac:dyDescent="0.2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  <c r="AB605" s="234"/>
      <c r="AC605" s="234"/>
      <c r="AD605" s="234"/>
      <c r="AE605" s="234"/>
      <c r="AF605" s="234"/>
      <c r="AG605" s="234"/>
      <c r="AH605" s="234"/>
      <c r="AI605" s="234"/>
      <c r="AJ605" s="234"/>
      <c r="AK605" s="234"/>
      <c r="AL605" s="234"/>
      <c r="AM605" s="234"/>
      <c r="AN605" s="234"/>
      <c r="AO605" s="234"/>
      <c r="AP605" s="234"/>
      <c r="AQ605" s="234"/>
      <c r="AR605" s="234"/>
      <c r="AS605" s="234"/>
      <c r="AT605" s="234"/>
      <c r="AU605" s="234"/>
      <c r="AV605" s="234"/>
      <c r="AW605" s="234"/>
      <c r="AX605" s="234"/>
      <c r="AY605" s="234"/>
    </row>
    <row r="606" spans="1:51" ht="24" customHeight="1" x14ac:dyDescent="0.25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  <c r="AB606" s="234"/>
      <c r="AC606" s="234"/>
      <c r="AD606" s="234"/>
      <c r="AE606" s="234"/>
      <c r="AF606" s="234"/>
      <c r="AG606" s="234"/>
      <c r="AH606" s="234"/>
      <c r="AI606" s="234"/>
      <c r="AJ606" s="234"/>
      <c r="AK606" s="234"/>
      <c r="AL606" s="234"/>
      <c r="AM606" s="234"/>
      <c r="AN606" s="234"/>
      <c r="AO606" s="234"/>
      <c r="AP606" s="234"/>
      <c r="AQ606" s="234"/>
      <c r="AR606" s="234"/>
      <c r="AS606" s="234"/>
      <c r="AT606" s="234"/>
      <c r="AU606" s="234"/>
      <c r="AV606" s="234"/>
      <c r="AW606" s="234"/>
      <c r="AX606" s="234"/>
      <c r="AY606" s="234"/>
    </row>
    <row r="607" spans="1:51" ht="24" customHeight="1" x14ac:dyDescent="0.25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  <c r="AB607" s="234"/>
      <c r="AC607" s="234"/>
      <c r="AD607" s="234"/>
      <c r="AE607" s="234"/>
      <c r="AF607" s="234"/>
      <c r="AG607" s="234"/>
      <c r="AH607" s="234"/>
      <c r="AI607" s="234"/>
      <c r="AJ607" s="234"/>
      <c r="AK607" s="234"/>
      <c r="AL607" s="234"/>
      <c r="AM607" s="234"/>
      <c r="AN607" s="234"/>
      <c r="AO607" s="234"/>
      <c r="AP607" s="234"/>
      <c r="AQ607" s="234"/>
      <c r="AR607" s="234"/>
      <c r="AS607" s="234"/>
      <c r="AT607" s="234"/>
      <c r="AU607" s="234"/>
      <c r="AV607" s="234"/>
      <c r="AW607" s="234"/>
      <c r="AX607" s="234"/>
      <c r="AY607" s="234"/>
    </row>
    <row r="608" spans="1:51" ht="24" customHeight="1" x14ac:dyDescent="0.25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  <c r="AB608" s="234"/>
      <c r="AC608" s="234"/>
      <c r="AD608" s="234"/>
      <c r="AE608" s="234"/>
      <c r="AF608" s="234"/>
      <c r="AG608" s="234"/>
      <c r="AH608" s="234"/>
      <c r="AI608" s="234"/>
      <c r="AJ608" s="234"/>
      <c r="AK608" s="234"/>
      <c r="AL608" s="234"/>
      <c r="AM608" s="234"/>
      <c r="AN608" s="234"/>
      <c r="AO608" s="234"/>
      <c r="AP608" s="234"/>
      <c r="AQ608" s="234"/>
      <c r="AR608" s="234"/>
      <c r="AS608" s="234"/>
      <c r="AT608" s="234"/>
      <c r="AU608" s="234"/>
      <c r="AV608" s="234"/>
      <c r="AW608" s="234"/>
      <c r="AX608" s="234"/>
      <c r="AY608" s="234"/>
    </row>
    <row r="609" spans="1:51" ht="24" customHeight="1" x14ac:dyDescent="0.25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  <c r="AB609" s="234"/>
      <c r="AC609" s="234"/>
      <c r="AD609" s="234"/>
      <c r="AE609" s="234"/>
      <c r="AF609" s="234"/>
      <c r="AG609" s="234"/>
      <c r="AH609" s="234"/>
      <c r="AI609" s="234"/>
      <c r="AJ609" s="234"/>
      <c r="AK609" s="234"/>
      <c r="AL609" s="234"/>
      <c r="AM609" s="234"/>
      <c r="AN609" s="234"/>
      <c r="AO609" s="234"/>
      <c r="AP609" s="234"/>
      <c r="AQ609" s="234"/>
      <c r="AR609" s="234"/>
      <c r="AS609" s="234"/>
      <c r="AT609" s="234"/>
      <c r="AU609" s="234"/>
      <c r="AV609" s="234"/>
      <c r="AW609" s="234"/>
      <c r="AX609" s="234"/>
      <c r="AY609" s="234"/>
    </row>
    <row r="610" spans="1:51" ht="24" customHeight="1" x14ac:dyDescent="0.25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  <c r="AB610" s="234"/>
      <c r="AC610" s="234"/>
      <c r="AD610" s="234"/>
      <c r="AE610" s="234"/>
      <c r="AF610" s="234"/>
      <c r="AG610" s="234"/>
      <c r="AH610" s="234"/>
      <c r="AI610" s="234"/>
      <c r="AJ610" s="234"/>
      <c r="AK610" s="234"/>
      <c r="AL610" s="234"/>
      <c r="AM610" s="234"/>
      <c r="AN610" s="234"/>
      <c r="AO610" s="234"/>
      <c r="AP610" s="234"/>
      <c r="AQ610" s="234"/>
      <c r="AR610" s="234"/>
      <c r="AS610" s="234"/>
      <c r="AT610" s="234"/>
      <c r="AU610" s="234"/>
      <c r="AV610" s="234"/>
      <c r="AW610" s="234"/>
      <c r="AX610" s="234"/>
      <c r="AY610" s="234"/>
    </row>
    <row r="611" spans="1:51" ht="24" customHeight="1" x14ac:dyDescent="0.25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  <c r="AB611" s="234"/>
      <c r="AC611" s="234"/>
      <c r="AD611" s="234"/>
      <c r="AE611" s="234"/>
      <c r="AF611" s="234"/>
      <c r="AG611" s="234"/>
      <c r="AH611" s="234"/>
      <c r="AI611" s="234"/>
      <c r="AJ611" s="234"/>
      <c r="AK611" s="234"/>
      <c r="AL611" s="234"/>
      <c r="AM611" s="234"/>
      <c r="AN611" s="234"/>
      <c r="AO611" s="234"/>
      <c r="AP611" s="234"/>
      <c r="AQ611" s="234"/>
      <c r="AR611" s="234"/>
      <c r="AS611" s="234"/>
      <c r="AT611" s="234"/>
      <c r="AU611" s="234"/>
      <c r="AV611" s="234"/>
      <c r="AW611" s="234"/>
      <c r="AX611" s="234"/>
      <c r="AY611" s="234"/>
    </row>
    <row r="612" spans="1:51" ht="24" customHeight="1" x14ac:dyDescent="0.25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  <c r="AB612" s="234"/>
      <c r="AC612" s="234"/>
      <c r="AD612" s="234"/>
      <c r="AE612" s="234"/>
      <c r="AF612" s="234"/>
      <c r="AG612" s="234"/>
      <c r="AH612" s="234"/>
      <c r="AI612" s="234"/>
      <c r="AJ612" s="234"/>
      <c r="AK612" s="234"/>
      <c r="AL612" s="234"/>
      <c r="AM612" s="234"/>
      <c r="AN612" s="234"/>
      <c r="AO612" s="234"/>
      <c r="AP612" s="234"/>
      <c r="AQ612" s="234"/>
      <c r="AR612" s="234"/>
      <c r="AS612" s="234"/>
      <c r="AT612" s="234"/>
      <c r="AU612" s="234"/>
      <c r="AV612" s="234"/>
      <c r="AW612" s="234"/>
      <c r="AX612" s="234"/>
      <c r="AY612" s="234"/>
    </row>
    <row r="613" spans="1:51" ht="24" customHeight="1" x14ac:dyDescent="0.25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  <c r="AB613" s="234"/>
      <c r="AC613" s="234"/>
      <c r="AD613" s="234"/>
      <c r="AE613" s="234"/>
      <c r="AF613" s="234"/>
      <c r="AG613" s="234"/>
      <c r="AH613" s="234"/>
      <c r="AI613" s="234"/>
      <c r="AJ613" s="234"/>
      <c r="AK613" s="234"/>
      <c r="AL613" s="234"/>
      <c r="AM613" s="234"/>
      <c r="AN613" s="234"/>
      <c r="AO613" s="234"/>
      <c r="AP613" s="234"/>
      <c r="AQ613" s="234"/>
      <c r="AR613" s="234"/>
      <c r="AS613" s="234"/>
      <c r="AT613" s="234"/>
      <c r="AU613" s="234"/>
      <c r="AV613" s="234"/>
      <c r="AW613" s="234"/>
      <c r="AX613" s="234"/>
      <c r="AY613" s="234"/>
    </row>
    <row r="614" spans="1:51" ht="24" customHeight="1" x14ac:dyDescent="0.25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  <c r="AB614" s="234"/>
      <c r="AC614" s="234"/>
      <c r="AD614" s="234"/>
      <c r="AE614" s="234"/>
      <c r="AF614" s="234"/>
      <c r="AG614" s="234"/>
      <c r="AH614" s="234"/>
      <c r="AI614" s="234"/>
      <c r="AJ614" s="234"/>
      <c r="AK614" s="234"/>
      <c r="AL614" s="234"/>
      <c r="AM614" s="234"/>
      <c r="AN614" s="234"/>
      <c r="AO614" s="234"/>
      <c r="AP614" s="234"/>
      <c r="AQ614" s="234"/>
      <c r="AR614" s="234"/>
      <c r="AS614" s="234"/>
      <c r="AT614" s="234"/>
      <c r="AU614" s="234"/>
      <c r="AV614" s="234"/>
      <c r="AW614" s="234"/>
      <c r="AX614" s="234"/>
      <c r="AY614" s="234"/>
    </row>
    <row r="615" spans="1:51" ht="24" customHeight="1" x14ac:dyDescent="0.2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  <c r="AB615" s="234"/>
      <c r="AC615" s="234"/>
      <c r="AD615" s="234"/>
      <c r="AE615" s="234"/>
      <c r="AF615" s="234"/>
      <c r="AG615" s="234"/>
      <c r="AH615" s="234"/>
      <c r="AI615" s="234"/>
      <c r="AJ615" s="234"/>
      <c r="AK615" s="234"/>
      <c r="AL615" s="234"/>
      <c r="AM615" s="234"/>
      <c r="AN615" s="234"/>
      <c r="AO615" s="234"/>
      <c r="AP615" s="234"/>
      <c r="AQ615" s="234"/>
      <c r="AR615" s="234"/>
      <c r="AS615" s="234"/>
      <c r="AT615" s="234"/>
      <c r="AU615" s="234"/>
      <c r="AV615" s="234"/>
      <c r="AW615" s="234"/>
      <c r="AX615" s="234"/>
      <c r="AY615" s="234"/>
    </row>
    <row r="616" spans="1:51" ht="24" customHeight="1" x14ac:dyDescent="0.25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  <c r="AB616" s="234"/>
      <c r="AC616" s="234"/>
      <c r="AD616" s="234"/>
      <c r="AE616" s="234"/>
      <c r="AF616" s="234"/>
      <c r="AG616" s="234"/>
      <c r="AH616" s="234"/>
      <c r="AI616" s="234"/>
      <c r="AJ616" s="234"/>
      <c r="AK616" s="234"/>
      <c r="AL616" s="234"/>
      <c r="AM616" s="234"/>
      <c r="AN616" s="234"/>
      <c r="AO616" s="234"/>
      <c r="AP616" s="234"/>
      <c r="AQ616" s="234"/>
      <c r="AR616" s="234"/>
      <c r="AS616" s="234"/>
      <c r="AT616" s="234"/>
      <c r="AU616" s="234"/>
      <c r="AV616" s="234"/>
      <c r="AW616" s="234"/>
      <c r="AX616" s="234"/>
      <c r="AY616" s="234"/>
    </row>
    <row r="617" spans="1:51" ht="24" customHeight="1" x14ac:dyDescent="0.25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  <c r="AB617" s="234"/>
      <c r="AC617" s="234"/>
      <c r="AD617" s="234"/>
      <c r="AE617" s="234"/>
      <c r="AF617" s="234"/>
      <c r="AG617" s="234"/>
      <c r="AH617" s="234"/>
      <c r="AI617" s="234"/>
      <c r="AJ617" s="234"/>
      <c r="AK617" s="234"/>
      <c r="AL617" s="234"/>
      <c r="AM617" s="234"/>
      <c r="AN617" s="234"/>
      <c r="AO617" s="234"/>
      <c r="AP617" s="234"/>
      <c r="AQ617" s="234"/>
      <c r="AR617" s="234"/>
      <c r="AS617" s="234"/>
      <c r="AT617" s="234"/>
      <c r="AU617" s="234"/>
      <c r="AV617" s="234"/>
      <c r="AW617" s="234"/>
      <c r="AX617" s="234"/>
      <c r="AY617" s="234"/>
    </row>
    <row r="618" spans="1:51" ht="24" customHeight="1" x14ac:dyDescent="0.25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  <c r="AB618" s="234"/>
      <c r="AC618" s="234"/>
      <c r="AD618" s="234"/>
      <c r="AE618" s="234"/>
      <c r="AF618" s="234"/>
      <c r="AG618" s="234"/>
      <c r="AH618" s="234"/>
      <c r="AI618" s="234"/>
      <c r="AJ618" s="234"/>
      <c r="AK618" s="234"/>
      <c r="AL618" s="234"/>
      <c r="AM618" s="234"/>
      <c r="AN618" s="234"/>
      <c r="AO618" s="234"/>
      <c r="AP618" s="234"/>
      <c r="AQ618" s="234"/>
      <c r="AR618" s="234"/>
      <c r="AS618" s="234"/>
      <c r="AT618" s="234"/>
      <c r="AU618" s="234"/>
      <c r="AV618" s="234"/>
      <c r="AW618" s="234"/>
      <c r="AX618" s="234"/>
      <c r="AY618" s="234"/>
    </row>
    <row r="619" spans="1:51" ht="24" customHeight="1" x14ac:dyDescent="0.25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  <c r="AB619" s="234"/>
      <c r="AC619" s="234"/>
      <c r="AD619" s="234"/>
      <c r="AE619" s="234"/>
      <c r="AF619" s="234"/>
      <c r="AG619" s="234"/>
      <c r="AH619" s="234"/>
      <c r="AI619" s="234"/>
      <c r="AJ619" s="234"/>
      <c r="AK619" s="234"/>
      <c r="AL619" s="234"/>
      <c r="AM619" s="234"/>
      <c r="AN619" s="234"/>
      <c r="AO619" s="234"/>
      <c r="AP619" s="234"/>
      <c r="AQ619" s="234"/>
      <c r="AR619" s="234"/>
      <c r="AS619" s="234"/>
      <c r="AT619" s="234"/>
      <c r="AU619" s="234"/>
      <c r="AV619" s="234"/>
      <c r="AW619" s="234"/>
      <c r="AX619" s="234"/>
      <c r="AY619" s="234"/>
    </row>
    <row r="620" spans="1:51" ht="24" customHeight="1" x14ac:dyDescent="0.25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  <c r="AB620" s="234"/>
      <c r="AC620" s="234"/>
      <c r="AD620" s="234"/>
      <c r="AE620" s="234"/>
      <c r="AF620" s="234"/>
      <c r="AG620" s="234"/>
      <c r="AH620" s="234"/>
      <c r="AI620" s="234"/>
      <c r="AJ620" s="234"/>
      <c r="AK620" s="234"/>
      <c r="AL620" s="234"/>
      <c r="AM620" s="234"/>
      <c r="AN620" s="234"/>
      <c r="AO620" s="234"/>
      <c r="AP620" s="234"/>
      <c r="AQ620" s="234"/>
      <c r="AR620" s="234"/>
      <c r="AS620" s="234"/>
      <c r="AT620" s="234"/>
      <c r="AU620" s="234"/>
      <c r="AV620" s="234"/>
      <c r="AW620" s="234"/>
      <c r="AX620" s="234"/>
      <c r="AY620" s="234"/>
    </row>
    <row r="621" spans="1:51" ht="24" customHeight="1" x14ac:dyDescent="0.25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  <c r="AB621" s="234"/>
      <c r="AC621" s="234"/>
      <c r="AD621" s="234"/>
      <c r="AE621" s="234"/>
      <c r="AF621" s="234"/>
      <c r="AG621" s="234"/>
      <c r="AH621" s="234"/>
      <c r="AI621" s="234"/>
      <c r="AJ621" s="234"/>
      <c r="AK621" s="234"/>
      <c r="AL621" s="234"/>
      <c r="AM621" s="234"/>
      <c r="AN621" s="234"/>
      <c r="AO621" s="234"/>
      <c r="AP621" s="234"/>
      <c r="AQ621" s="234"/>
      <c r="AR621" s="234"/>
      <c r="AS621" s="234"/>
      <c r="AT621" s="234"/>
      <c r="AU621" s="234"/>
      <c r="AV621" s="234"/>
      <c r="AW621" s="234"/>
      <c r="AX621" s="234"/>
      <c r="AY621" s="234"/>
    </row>
    <row r="622" spans="1:51" ht="24" customHeight="1" x14ac:dyDescent="0.25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  <c r="AB622" s="234"/>
      <c r="AC622" s="234"/>
      <c r="AD622" s="234"/>
      <c r="AE622" s="234"/>
      <c r="AF622" s="234"/>
      <c r="AG622" s="234"/>
      <c r="AH622" s="234"/>
      <c r="AI622" s="234"/>
      <c r="AJ622" s="234"/>
      <c r="AK622" s="234"/>
      <c r="AL622" s="234"/>
      <c r="AM622" s="234"/>
      <c r="AN622" s="234"/>
      <c r="AO622" s="234"/>
      <c r="AP622" s="234"/>
      <c r="AQ622" s="234"/>
      <c r="AR622" s="234"/>
      <c r="AS622" s="234"/>
      <c r="AT622" s="234"/>
      <c r="AU622" s="234"/>
      <c r="AV622" s="234"/>
      <c r="AW622" s="234"/>
      <c r="AX622" s="234"/>
      <c r="AY622" s="234"/>
    </row>
    <row r="623" spans="1:51" ht="24" customHeight="1" x14ac:dyDescent="0.25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  <c r="AB623" s="234"/>
      <c r="AC623" s="234"/>
      <c r="AD623" s="234"/>
      <c r="AE623" s="234"/>
      <c r="AF623" s="234"/>
      <c r="AG623" s="234"/>
      <c r="AH623" s="234"/>
      <c r="AI623" s="234"/>
      <c r="AJ623" s="234"/>
      <c r="AK623" s="234"/>
      <c r="AL623" s="234"/>
      <c r="AM623" s="234"/>
      <c r="AN623" s="234"/>
      <c r="AO623" s="234"/>
      <c r="AP623" s="234"/>
      <c r="AQ623" s="234"/>
      <c r="AR623" s="234"/>
      <c r="AS623" s="234"/>
      <c r="AT623" s="234"/>
      <c r="AU623" s="234"/>
      <c r="AV623" s="234"/>
      <c r="AW623" s="234"/>
      <c r="AX623" s="234"/>
      <c r="AY623" s="234"/>
    </row>
    <row r="624" spans="1:51" ht="24" customHeight="1" x14ac:dyDescent="0.25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  <c r="AB624" s="234"/>
      <c r="AC624" s="234"/>
      <c r="AD624" s="234"/>
      <c r="AE624" s="234"/>
      <c r="AF624" s="234"/>
      <c r="AG624" s="234"/>
      <c r="AH624" s="234"/>
      <c r="AI624" s="234"/>
      <c r="AJ624" s="234"/>
      <c r="AK624" s="234"/>
      <c r="AL624" s="234"/>
      <c r="AM624" s="234"/>
      <c r="AN624" s="234"/>
      <c r="AO624" s="234"/>
      <c r="AP624" s="234"/>
      <c r="AQ624" s="234"/>
      <c r="AR624" s="234"/>
      <c r="AS624" s="234"/>
      <c r="AT624" s="234"/>
      <c r="AU624" s="234"/>
      <c r="AV624" s="234"/>
      <c r="AW624" s="234"/>
      <c r="AX624" s="234"/>
      <c r="AY624" s="234"/>
    </row>
    <row r="625" spans="1:51" ht="24" customHeight="1" x14ac:dyDescent="0.2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  <c r="AB625" s="234"/>
      <c r="AC625" s="234"/>
      <c r="AD625" s="234"/>
      <c r="AE625" s="234"/>
      <c r="AF625" s="234"/>
      <c r="AG625" s="234"/>
      <c r="AH625" s="234"/>
      <c r="AI625" s="234"/>
      <c r="AJ625" s="234"/>
      <c r="AK625" s="234"/>
      <c r="AL625" s="234"/>
      <c r="AM625" s="234"/>
      <c r="AN625" s="234"/>
      <c r="AO625" s="234"/>
      <c r="AP625" s="234"/>
      <c r="AQ625" s="234"/>
      <c r="AR625" s="234"/>
      <c r="AS625" s="234"/>
      <c r="AT625" s="234"/>
      <c r="AU625" s="234"/>
      <c r="AV625" s="234"/>
      <c r="AW625" s="234"/>
      <c r="AX625" s="234"/>
      <c r="AY625" s="234"/>
    </row>
    <row r="626" spans="1:51" ht="24" customHeight="1" x14ac:dyDescent="0.25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  <c r="AB626" s="234"/>
      <c r="AC626" s="234"/>
      <c r="AD626" s="234"/>
      <c r="AE626" s="234"/>
      <c r="AF626" s="234"/>
      <c r="AG626" s="234"/>
      <c r="AH626" s="234"/>
      <c r="AI626" s="234"/>
      <c r="AJ626" s="234"/>
      <c r="AK626" s="234"/>
      <c r="AL626" s="234"/>
      <c r="AM626" s="234"/>
      <c r="AN626" s="234"/>
      <c r="AO626" s="234"/>
      <c r="AP626" s="234"/>
      <c r="AQ626" s="234"/>
      <c r="AR626" s="234"/>
      <c r="AS626" s="234"/>
      <c r="AT626" s="234"/>
      <c r="AU626" s="234"/>
      <c r="AV626" s="234"/>
      <c r="AW626" s="234"/>
      <c r="AX626" s="234"/>
      <c r="AY626" s="234"/>
    </row>
    <row r="627" spans="1:51" ht="24" customHeight="1" x14ac:dyDescent="0.25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  <c r="AB627" s="234"/>
      <c r="AC627" s="234"/>
      <c r="AD627" s="234"/>
      <c r="AE627" s="234"/>
      <c r="AF627" s="234"/>
      <c r="AG627" s="234"/>
      <c r="AH627" s="234"/>
      <c r="AI627" s="234"/>
      <c r="AJ627" s="234"/>
      <c r="AK627" s="234"/>
      <c r="AL627" s="234"/>
      <c r="AM627" s="234"/>
      <c r="AN627" s="234"/>
      <c r="AO627" s="234"/>
      <c r="AP627" s="234"/>
      <c r="AQ627" s="234"/>
      <c r="AR627" s="234"/>
      <c r="AS627" s="234"/>
      <c r="AT627" s="234"/>
      <c r="AU627" s="234"/>
      <c r="AV627" s="234"/>
      <c r="AW627" s="234"/>
      <c r="AX627" s="234"/>
      <c r="AY627" s="234"/>
    </row>
    <row r="628" spans="1:51" ht="24" customHeight="1" x14ac:dyDescent="0.25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  <c r="AB628" s="234"/>
      <c r="AC628" s="234"/>
      <c r="AD628" s="234"/>
      <c r="AE628" s="234"/>
      <c r="AF628" s="234"/>
      <c r="AG628" s="234"/>
      <c r="AH628" s="234"/>
      <c r="AI628" s="234"/>
      <c r="AJ628" s="234"/>
      <c r="AK628" s="234"/>
      <c r="AL628" s="234"/>
      <c r="AM628" s="234"/>
      <c r="AN628" s="234"/>
      <c r="AO628" s="234"/>
      <c r="AP628" s="234"/>
      <c r="AQ628" s="234"/>
      <c r="AR628" s="234"/>
      <c r="AS628" s="234"/>
      <c r="AT628" s="234"/>
      <c r="AU628" s="234"/>
      <c r="AV628" s="234"/>
      <c r="AW628" s="234"/>
      <c r="AX628" s="234"/>
      <c r="AY628" s="234"/>
    </row>
    <row r="629" spans="1:51" ht="24" customHeight="1" x14ac:dyDescent="0.25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  <c r="AB629" s="234"/>
      <c r="AC629" s="234"/>
      <c r="AD629" s="234"/>
      <c r="AE629" s="234"/>
      <c r="AF629" s="234"/>
      <c r="AG629" s="234"/>
      <c r="AH629" s="234"/>
      <c r="AI629" s="234"/>
      <c r="AJ629" s="234"/>
      <c r="AK629" s="234"/>
      <c r="AL629" s="234"/>
      <c r="AM629" s="234"/>
      <c r="AN629" s="234"/>
      <c r="AO629" s="234"/>
      <c r="AP629" s="234"/>
      <c r="AQ629" s="234"/>
      <c r="AR629" s="234"/>
      <c r="AS629" s="234"/>
      <c r="AT629" s="234"/>
      <c r="AU629" s="234"/>
      <c r="AV629" s="234"/>
      <c r="AW629" s="234"/>
      <c r="AX629" s="234"/>
      <c r="AY629" s="234"/>
    </row>
    <row r="630" spans="1:51" ht="24" customHeight="1" x14ac:dyDescent="0.25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  <c r="AB630" s="234"/>
      <c r="AC630" s="234"/>
      <c r="AD630" s="234"/>
      <c r="AE630" s="234"/>
      <c r="AF630" s="234"/>
      <c r="AG630" s="234"/>
      <c r="AH630" s="234"/>
      <c r="AI630" s="234"/>
      <c r="AJ630" s="234"/>
      <c r="AK630" s="234"/>
      <c r="AL630" s="234"/>
      <c r="AM630" s="234"/>
      <c r="AN630" s="234"/>
      <c r="AO630" s="234"/>
      <c r="AP630" s="234"/>
      <c r="AQ630" s="234"/>
      <c r="AR630" s="234"/>
      <c r="AS630" s="234"/>
      <c r="AT630" s="234"/>
      <c r="AU630" s="234"/>
      <c r="AV630" s="234"/>
      <c r="AW630" s="234"/>
      <c r="AX630" s="234"/>
      <c r="AY630" s="234"/>
    </row>
    <row r="631" spans="1:51" ht="24" customHeight="1" x14ac:dyDescent="0.25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  <c r="AB631" s="234"/>
      <c r="AC631" s="234"/>
      <c r="AD631" s="234"/>
      <c r="AE631" s="234"/>
      <c r="AF631" s="234"/>
      <c r="AG631" s="234"/>
      <c r="AH631" s="234"/>
      <c r="AI631" s="234"/>
      <c r="AJ631" s="234"/>
      <c r="AK631" s="234"/>
      <c r="AL631" s="234"/>
      <c r="AM631" s="234"/>
      <c r="AN631" s="234"/>
      <c r="AO631" s="234"/>
      <c r="AP631" s="234"/>
      <c r="AQ631" s="234"/>
      <c r="AR631" s="234"/>
      <c r="AS631" s="234"/>
      <c r="AT631" s="234"/>
      <c r="AU631" s="234"/>
      <c r="AV631" s="234"/>
      <c r="AW631" s="234"/>
      <c r="AX631" s="234"/>
      <c r="AY631" s="234"/>
    </row>
    <row r="632" spans="1:51" ht="24" customHeight="1" x14ac:dyDescent="0.25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  <c r="AB632" s="234"/>
      <c r="AC632" s="234"/>
      <c r="AD632" s="234"/>
      <c r="AE632" s="234"/>
      <c r="AF632" s="234"/>
      <c r="AG632" s="234"/>
      <c r="AH632" s="234"/>
      <c r="AI632" s="234"/>
      <c r="AJ632" s="234"/>
      <c r="AK632" s="234"/>
      <c r="AL632" s="234"/>
      <c r="AM632" s="234"/>
      <c r="AN632" s="234"/>
      <c r="AO632" s="234"/>
      <c r="AP632" s="234"/>
      <c r="AQ632" s="234"/>
      <c r="AR632" s="234"/>
      <c r="AS632" s="234"/>
      <c r="AT632" s="234"/>
      <c r="AU632" s="234"/>
      <c r="AV632" s="234"/>
      <c r="AW632" s="234"/>
      <c r="AX632" s="234"/>
      <c r="AY632" s="234"/>
    </row>
    <row r="633" spans="1:51" ht="24" customHeight="1" x14ac:dyDescent="0.25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  <c r="AB633" s="234"/>
      <c r="AC633" s="234"/>
      <c r="AD633" s="234"/>
      <c r="AE633" s="234"/>
      <c r="AF633" s="234"/>
      <c r="AG633" s="234"/>
      <c r="AH633" s="234"/>
      <c r="AI633" s="234"/>
      <c r="AJ633" s="234"/>
      <c r="AK633" s="234"/>
      <c r="AL633" s="234"/>
      <c r="AM633" s="234"/>
      <c r="AN633" s="234"/>
      <c r="AO633" s="234"/>
      <c r="AP633" s="234"/>
      <c r="AQ633" s="234"/>
      <c r="AR633" s="234"/>
      <c r="AS633" s="234"/>
      <c r="AT633" s="234"/>
      <c r="AU633" s="234"/>
      <c r="AV633" s="234"/>
      <c r="AW633" s="234"/>
      <c r="AX633" s="234"/>
      <c r="AY633" s="234"/>
    </row>
    <row r="634" spans="1:51" ht="24" customHeight="1" x14ac:dyDescent="0.25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  <c r="AB634" s="234"/>
      <c r="AC634" s="234"/>
      <c r="AD634" s="234"/>
      <c r="AE634" s="234"/>
      <c r="AF634" s="234"/>
      <c r="AG634" s="234"/>
      <c r="AH634" s="234"/>
      <c r="AI634" s="234"/>
      <c r="AJ634" s="234"/>
      <c r="AK634" s="234"/>
      <c r="AL634" s="234"/>
      <c r="AM634" s="234"/>
      <c r="AN634" s="234"/>
      <c r="AO634" s="234"/>
      <c r="AP634" s="234"/>
      <c r="AQ634" s="234"/>
      <c r="AR634" s="234"/>
      <c r="AS634" s="234"/>
      <c r="AT634" s="234"/>
      <c r="AU634" s="234"/>
      <c r="AV634" s="234"/>
      <c r="AW634" s="234"/>
      <c r="AX634" s="234"/>
      <c r="AY634" s="234"/>
    </row>
    <row r="635" spans="1:51" ht="24" customHeight="1" x14ac:dyDescent="0.2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  <c r="AB635" s="234"/>
      <c r="AC635" s="234"/>
      <c r="AD635" s="234"/>
      <c r="AE635" s="234"/>
      <c r="AF635" s="234"/>
      <c r="AG635" s="234"/>
      <c r="AH635" s="234"/>
      <c r="AI635" s="234"/>
      <c r="AJ635" s="234"/>
      <c r="AK635" s="234"/>
      <c r="AL635" s="234"/>
      <c r="AM635" s="234"/>
      <c r="AN635" s="234"/>
      <c r="AO635" s="234"/>
      <c r="AP635" s="234"/>
      <c r="AQ635" s="234"/>
      <c r="AR635" s="234"/>
      <c r="AS635" s="234"/>
      <c r="AT635" s="234"/>
      <c r="AU635" s="234"/>
      <c r="AV635" s="234"/>
      <c r="AW635" s="234"/>
      <c r="AX635" s="234"/>
      <c r="AY635" s="234"/>
    </row>
    <row r="636" spans="1:51" ht="24" customHeight="1" x14ac:dyDescent="0.25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  <c r="AB636" s="234"/>
      <c r="AC636" s="234"/>
      <c r="AD636" s="234"/>
      <c r="AE636" s="234"/>
      <c r="AF636" s="234"/>
      <c r="AG636" s="234"/>
      <c r="AH636" s="234"/>
      <c r="AI636" s="234"/>
      <c r="AJ636" s="234"/>
      <c r="AK636" s="234"/>
      <c r="AL636" s="234"/>
      <c r="AM636" s="234"/>
      <c r="AN636" s="234"/>
      <c r="AO636" s="234"/>
      <c r="AP636" s="234"/>
      <c r="AQ636" s="234"/>
      <c r="AR636" s="234"/>
      <c r="AS636" s="234"/>
      <c r="AT636" s="234"/>
      <c r="AU636" s="234"/>
      <c r="AV636" s="234"/>
      <c r="AW636" s="234"/>
      <c r="AX636" s="234"/>
      <c r="AY636" s="234"/>
    </row>
    <row r="637" spans="1:51" ht="24" customHeight="1" x14ac:dyDescent="0.25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  <c r="AB637" s="234"/>
      <c r="AC637" s="234"/>
      <c r="AD637" s="234"/>
      <c r="AE637" s="234"/>
      <c r="AF637" s="234"/>
      <c r="AG637" s="234"/>
      <c r="AH637" s="234"/>
      <c r="AI637" s="234"/>
      <c r="AJ637" s="234"/>
      <c r="AK637" s="234"/>
      <c r="AL637" s="234"/>
      <c r="AM637" s="234"/>
      <c r="AN637" s="234"/>
      <c r="AO637" s="234"/>
      <c r="AP637" s="234"/>
      <c r="AQ637" s="234"/>
      <c r="AR637" s="234"/>
      <c r="AS637" s="234"/>
      <c r="AT637" s="234"/>
      <c r="AU637" s="234"/>
      <c r="AV637" s="234"/>
      <c r="AW637" s="234"/>
      <c r="AX637" s="234"/>
      <c r="AY637" s="234"/>
    </row>
    <row r="638" spans="1:51" ht="24" customHeight="1" x14ac:dyDescent="0.25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  <c r="AB638" s="234"/>
      <c r="AC638" s="234"/>
      <c r="AD638" s="234"/>
      <c r="AE638" s="234"/>
      <c r="AF638" s="234"/>
      <c r="AG638" s="234"/>
      <c r="AH638" s="234"/>
      <c r="AI638" s="234"/>
      <c r="AJ638" s="234"/>
      <c r="AK638" s="234"/>
      <c r="AL638" s="234"/>
      <c r="AM638" s="234"/>
      <c r="AN638" s="234"/>
      <c r="AO638" s="234"/>
      <c r="AP638" s="234"/>
      <c r="AQ638" s="234"/>
      <c r="AR638" s="234"/>
      <c r="AS638" s="234"/>
      <c r="AT638" s="234"/>
      <c r="AU638" s="234"/>
      <c r="AV638" s="234"/>
      <c r="AW638" s="234"/>
      <c r="AX638" s="234"/>
      <c r="AY638" s="234"/>
    </row>
    <row r="639" spans="1:51" ht="24" customHeight="1" x14ac:dyDescent="0.25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  <c r="AB639" s="234"/>
      <c r="AC639" s="234"/>
      <c r="AD639" s="234"/>
      <c r="AE639" s="234"/>
      <c r="AF639" s="234"/>
      <c r="AG639" s="234"/>
      <c r="AH639" s="234"/>
      <c r="AI639" s="234"/>
      <c r="AJ639" s="234"/>
      <c r="AK639" s="234"/>
      <c r="AL639" s="234"/>
      <c r="AM639" s="234"/>
      <c r="AN639" s="234"/>
      <c r="AO639" s="234"/>
      <c r="AP639" s="234"/>
      <c r="AQ639" s="234"/>
      <c r="AR639" s="234"/>
      <c r="AS639" s="234"/>
      <c r="AT639" s="234"/>
      <c r="AU639" s="234"/>
      <c r="AV639" s="234"/>
      <c r="AW639" s="234"/>
      <c r="AX639" s="234"/>
      <c r="AY639" s="234"/>
    </row>
    <row r="640" spans="1:51" ht="24" customHeight="1" x14ac:dyDescent="0.25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  <c r="AB640" s="234"/>
      <c r="AC640" s="234"/>
      <c r="AD640" s="234"/>
      <c r="AE640" s="234"/>
      <c r="AF640" s="234"/>
      <c r="AG640" s="234"/>
      <c r="AH640" s="234"/>
      <c r="AI640" s="234"/>
      <c r="AJ640" s="234"/>
      <c r="AK640" s="234"/>
      <c r="AL640" s="234"/>
      <c r="AM640" s="234"/>
      <c r="AN640" s="234"/>
      <c r="AO640" s="234"/>
      <c r="AP640" s="234"/>
      <c r="AQ640" s="234"/>
      <c r="AR640" s="234"/>
      <c r="AS640" s="234"/>
      <c r="AT640" s="234"/>
      <c r="AU640" s="234"/>
      <c r="AV640" s="234"/>
      <c r="AW640" s="234"/>
      <c r="AX640" s="234"/>
      <c r="AY640" s="234"/>
    </row>
    <row r="641" spans="1:51" ht="24" customHeight="1" x14ac:dyDescent="0.25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  <c r="AB641" s="234"/>
      <c r="AC641" s="234"/>
      <c r="AD641" s="234"/>
      <c r="AE641" s="234"/>
      <c r="AF641" s="234"/>
      <c r="AG641" s="234"/>
      <c r="AH641" s="234"/>
      <c r="AI641" s="234"/>
      <c r="AJ641" s="234"/>
      <c r="AK641" s="234"/>
      <c r="AL641" s="234"/>
      <c r="AM641" s="234"/>
      <c r="AN641" s="234"/>
      <c r="AO641" s="234"/>
      <c r="AP641" s="234"/>
      <c r="AQ641" s="234"/>
      <c r="AR641" s="234"/>
      <c r="AS641" s="234"/>
      <c r="AT641" s="234"/>
      <c r="AU641" s="234"/>
      <c r="AV641" s="234"/>
      <c r="AW641" s="234"/>
      <c r="AX641" s="234"/>
      <c r="AY641" s="234"/>
    </row>
    <row r="642" spans="1:51" ht="24" customHeight="1" x14ac:dyDescent="0.25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  <c r="AB642" s="234"/>
      <c r="AC642" s="234"/>
      <c r="AD642" s="234"/>
      <c r="AE642" s="234"/>
      <c r="AF642" s="234"/>
      <c r="AG642" s="234"/>
      <c r="AH642" s="234"/>
      <c r="AI642" s="234"/>
      <c r="AJ642" s="234"/>
      <c r="AK642" s="234"/>
      <c r="AL642" s="234"/>
      <c r="AM642" s="234"/>
      <c r="AN642" s="234"/>
      <c r="AO642" s="234"/>
      <c r="AP642" s="234"/>
      <c r="AQ642" s="234"/>
      <c r="AR642" s="234"/>
      <c r="AS642" s="234"/>
      <c r="AT642" s="234"/>
      <c r="AU642" s="234"/>
      <c r="AV642" s="234"/>
      <c r="AW642" s="234"/>
      <c r="AX642" s="234"/>
      <c r="AY642" s="234"/>
    </row>
    <row r="643" spans="1:51" ht="24" customHeight="1" x14ac:dyDescent="0.25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  <c r="AB643" s="234"/>
      <c r="AC643" s="234"/>
      <c r="AD643" s="234"/>
      <c r="AE643" s="234"/>
      <c r="AF643" s="234"/>
      <c r="AG643" s="234"/>
      <c r="AH643" s="234"/>
      <c r="AI643" s="234"/>
      <c r="AJ643" s="234"/>
      <c r="AK643" s="234"/>
      <c r="AL643" s="234"/>
      <c r="AM643" s="234"/>
      <c r="AN643" s="234"/>
      <c r="AO643" s="234"/>
      <c r="AP643" s="234"/>
      <c r="AQ643" s="234"/>
      <c r="AR643" s="234"/>
      <c r="AS643" s="234"/>
      <c r="AT643" s="234"/>
      <c r="AU643" s="234"/>
      <c r="AV643" s="234"/>
      <c r="AW643" s="234"/>
      <c r="AX643" s="234"/>
      <c r="AY643" s="234"/>
    </row>
    <row r="644" spans="1:51" ht="24" customHeight="1" x14ac:dyDescent="0.25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  <c r="AB644" s="234"/>
      <c r="AC644" s="234"/>
      <c r="AD644" s="234"/>
      <c r="AE644" s="234"/>
      <c r="AF644" s="234"/>
      <c r="AG644" s="234"/>
      <c r="AH644" s="234"/>
      <c r="AI644" s="234"/>
      <c r="AJ644" s="234"/>
      <c r="AK644" s="234"/>
      <c r="AL644" s="234"/>
      <c r="AM644" s="234"/>
      <c r="AN644" s="234"/>
      <c r="AO644" s="234"/>
      <c r="AP644" s="234"/>
      <c r="AQ644" s="234"/>
      <c r="AR644" s="234"/>
      <c r="AS644" s="234"/>
      <c r="AT644" s="234"/>
      <c r="AU644" s="234"/>
      <c r="AV644" s="234"/>
      <c r="AW644" s="234"/>
      <c r="AX644" s="234"/>
      <c r="AY644" s="234"/>
    </row>
    <row r="645" spans="1:51" ht="24" customHeight="1" x14ac:dyDescent="0.2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  <c r="AB645" s="234"/>
      <c r="AC645" s="234"/>
      <c r="AD645" s="234"/>
      <c r="AE645" s="234"/>
      <c r="AF645" s="234"/>
      <c r="AG645" s="234"/>
      <c r="AH645" s="234"/>
      <c r="AI645" s="234"/>
      <c r="AJ645" s="234"/>
      <c r="AK645" s="234"/>
      <c r="AL645" s="234"/>
      <c r="AM645" s="234"/>
      <c r="AN645" s="234"/>
      <c r="AO645" s="234"/>
      <c r="AP645" s="234"/>
      <c r="AQ645" s="234"/>
      <c r="AR645" s="234"/>
      <c r="AS645" s="234"/>
      <c r="AT645" s="234"/>
      <c r="AU645" s="234"/>
      <c r="AV645" s="234"/>
      <c r="AW645" s="234"/>
      <c r="AX645" s="234"/>
      <c r="AY645" s="234"/>
    </row>
    <row r="646" spans="1:51" ht="24" customHeight="1" x14ac:dyDescent="0.25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  <c r="AB646" s="234"/>
      <c r="AC646" s="234"/>
      <c r="AD646" s="234"/>
      <c r="AE646" s="234"/>
      <c r="AF646" s="234"/>
      <c r="AG646" s="234"/>
      <c r="AH646" s="234"/>
      <c r="AI646" s="234"/>
      <c r="AJ646" s="234"/>
      <c r="AK646" s="234"/>
      <c r="AL646" s="234"/>
      <c r="AM646" s="234"/>
      <c r="AN646" s="234"/>
      <c r="AO646" s="234"/>
      <c r="AP646" s="234"/>
      <c r="AQ646" s="234"/>
      <c r="AR646" s="234"/>
      <c r="AS646" s="234"/>
      <c r="AT646" s="234"/>
      <c r="AU646" s="234"/>
      <c r="AV646" s="234"/>
      <c r="AW646" s="234"/>
      <c r="AX646" s="234"/>
      <c r="AY646" s="234"/>
    </row>
    <row r="647" spans="1:51" ht="24" customHeight="1" x14ac:dyDescent="0.25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  <c r="AB647" s="234"/>
      <c r="AC647" s="234"/>
      <c r="AD647" s="234"/>
      <c r="AE647" s="234"/>
      <c r="AF647" s="234"/>
      <c r="AG647" s="234"/>
      <c r="AH647" s="234"/>
      <c r="AI647" s="234"/>
      <c r="AJ647" s="234"/>
      <c r="AK647" s="234"/>
      <c r="AL647" s="234"/>
      <c r="AM647" s="234"/>
      <c r="AN647" s="234"/>
      <c r="AO647" s="234"/>
      <c r="AP647" s="234"/>
      <c r="AQ647" s="234"/>
      <c r="AR647" s="234"/>
      <c r="AS647" s="234"/>
      <c r="AT647" s="234"/>
      <c r="AU647" s="234"/>
      <c r="AV647" s="234"/>
      <c r="AW647" s="234"/>
      <c r="AX647" s="234"/>
      <c r="AY647" s="234"/>
    </row>
    <row r="648" spans="1:51" ht="24" customHeight="1" x14ac:dyDescent="0.25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  <c r="AB648" s="234"/>
      <c r="AC648" s="234"/>
      <c r="AD648" s="234"/>
      <c r="AE648" s="234"/>
      <c r="AF648" s="234"/>
      <c r="AG648" s="234"/>
      <c r="AH648" s="234"/>
      <c r="AI648" s="234"/>
      <c r="AJ648" s="234"/>
      <c r="AK648" s="234"/>
      <c r="AL648" s="234"/>
      <c r="AM648" s="234"/>
      <c r="AN648" s="234"/>
      <c r="AO648" s="234"/>
      <c r="AP648" s="234"/>
      <c r="AQ648" s="234"/>
      <c r="AR648" s="234"/>
      <c r="AS648" s="234"/>
      <c r="AT648" s="234"/>
      <c r="AU648" s="234"/>
      <c r="AV648" s="234"/>
      <c r="AW648" s="234"/>
      <c r="AX648" s="234"/>
      <c r="AY648" s="234"/>
    </row>
    <row r="649" spans="1:51" ht="24" customHeight="1" x14ac:dyDescent="0.25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  <c r="AB649" s="234"/>
      <c r="AC649" s="234"/>
      <c r="AD649" s="234"/>
      <c r="AE649" s="234"/>
      <c r="AF649" s="234"/>
      <c r="AG649" s="234"/>
      <c r="AH649" s="234"/>
      <c r="AI649" s="234"/>
      <c r="AJ649" s="234"/>
      <c r="AK649" s="234"/>
      <c r="AL649" s="234"/>
      <c r="AM649" s="234"/>
      <c r="AN649" s="234"/>
      <c r="AO649" s="234"/>
      <c r="AP649" s="234"/>
      <c r="AQ649" s="234"/>
      <c r="AR649" s="234"/>
      <c r="AS649" s="234"/>
      <c r="AT649" s="234"/>
      <c r="AU649" s="234"/>
      <c r="AV649" s="234"/>
      <c r="AW649" s="234"/>
      <c r="AX649" s="234"/>
      <c r="AY649" s="234"/>
    </row>
    <row r="650" spans="1:51" ht="24" customHeight="1" x14ac:dyDescent="0.25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  <c r="AB650" s="234"/>
      <c r="AC650" s="234"/>
      <c r="AD650" s="234"/>
      <c r="AE650" s="234"/>
      <c r="AF650" s="234"/>
      <c r="AG650" s="234"/>
      <c r="AH650" s="234"/>
      <c r="AI650" s="234"/>
      <c r="AJ650" s="234"/>
      <c r="AK650" s="234"/>
      <c r="AL650" s="234"/>
      <c r="AM650" s="234"/>
      <c r="AN650" s="234"/>
      <c r="AO650" s="234"/>
      <c r="AP650" s="234"/>
      <c r="AQ650" s="234"/>
      <c r="AR650" s="234"/>
      <c r="AS650" s="234"/>
      <c r="AT650" s="234"/>
      <c r="AU650" s="234"/>
      <c r="AV650" s="234"/>
      <c r="AW650" s="234"/>
      <c r="AX650" s="234"/>
      <c r="AY650" s="234"/>
    </row>
    <row r="651" spans="1:51" ht="24" customHeight="1" x14ac:dyDescent="0.25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  <c r="AB651" s="234"/>
      <c r="AC651" s="234"/>
      <c r="AD651" s="234"/>
      <c r="AE651" s="234"/>
      <c r="AF651" s="234"/>
      <c r="AG651" s="234"/>
      <c r="AH651" s="234"/>
      <c r="AI651" s="234"/>
      <c r="AJ651" s="234"/>
      <c r="AK651" s="234"/>
      <c r="AL651" s="234"/>
      <c r="AM651" s="234"/>
      <c r="AN651" s="234"/>
      <c r="AO651" s="234"/>
      <c r="AP651" s="234"/>
      <c r="AQ651" s="234"/>
      <c r="AR651" s="234"/>
      <c r="AS651" s="234"/>
      <c r="AT651" s="234"/>
      <c r="AU651" s="234"/>
      <c r="AV651" s="234"/>
      <c r="AW651" s="234"/>
      <c r="AX651" s="234"/>
      <c r="AY651" s="234"/>
    </row>
    <row r="652" spans="1:51" ht="24" customHeight="1" x14ac:dyDescent="0.25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  <c r="AB652" s="234"/>
      <c r="AC652" s="234"/>
      <c r="AD652" s="234"/>
      <c r="AE652" s="234"/>
      <c r="AF652" s="234"/>
      <c r="AG652" s="234"/>
      <c r="AH652" s="234"/>
      <c r="AI652" s="234"/>
      <c r="AJ652" s="234"/>
      <c r="AK652" s="234"/>
      <c r="AL652" s="234"/>
      <c r="AM652" s="234"/>
      <c r="AN652" s="234"/>
      <c r="AO652" s="234"/>
      <c r="AP652" s="234"/>
      <c r="AQ652" s="234"/>
      <c r="AR652" s="234"/>
      <c r="AS652" s="234"/>
      <c r="AT652" s="234"/>
      <c r="AU652" s="234"/>
      <c r="AV652" s="234"/>
      <c r="AW652" s="234"/>
      <c r="AX652" s="234"/>
      <c r="AY652" s="234"/>
    </row>
    <row r="653" spans="1:51" ht="24" customHeight="1" x14ac:dyDescent="0.25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  <c r="AB653" s="234"/>
      <c r="AC653" s="234"/>
      <c r="AD653" s="234"/>
      <c r="AE653" s="234"/>
      <c r="AF653" s="234"/>
      <c r="AG653" s="234"/>
      <c r="AH653" s="234"/>
      <c r="AI653" s="234"/>
      <c r="AJ653" s="234"/>
      <c r="AK653" s="234"/>
      <c r="AL653" s="234"/>
      <c r="AM653" s="234"/>
      <c r="AN653" s="234"/>
      <c r="AO653" s="234"/>
      <c r="AP653" s="234"/>
      <c r="AQ653" s="234"/>
      <c r="AR653" s="234"/>
      <c r="AS653" s="234"/>
      <c r="AT653" s="234"/>
      <c r="AU653" s="234"/>
      <c r="AV653" s="234"/>
      <c r="AW653" s="234"/>
      <c r="AX653" s="234"/>
      <c r="AY653" s="234"/>
    </row>
    <row r="654" spans="1:51" ht="24" customHeight="1" x14ac:dyDescent="0.25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  <c r="AB654" s="234"/>
      <c r="AC654" s="234"/>
      <c r="AD654" s="234"/>
      <c r="AE654" s="234"/>
      <c r="AF654" s="234"/>
      <c r="AG654" s="234"/>
      <c r="AH654" s="234"/>
      <c r="AI654" s="234"/>
      <c r="AJ654" s="234"/>
      <c r="AK654" s="234"/>
      <c r="AL654" s="234"/>
      <c r="AM654" s="234"/>
      <c r="AN654" s="234"/>
      <c r="AO654" s="234"/>
      <c r="AP654" s="234"/>
      <c r="AQ654" s="234"/>
      <c r="AR654" s="234"/>
      <c r="AS654" s="234"/>
      <c r="AT654" s="234"/>
      <c r="AU654" s="234"/>
      <c r="AV654" s="234"/>
      <c r="AW654" s="234"/>
      <c r="AX654" s="234"/>
      <c r="AY654" s="234"/>
    </row>
    <row r="655" spans="1:51" ht="24" customHeight="1" x14ac:dyDescent="0.2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  <c r="AB655" s="234"/>
      <c r="AC655" s="234"/>
      <c r="AD655" s="234"/>
      <c r="AE655" s="234"/>
      <c r="AF655" s="234"/>
      <c r="AG655" s="234"/>
      <c r="AH655" s="234"/>
      <c r="AI655" s="234"/>
      <c r="AJ655" s="234"/>
      <c r="AK655" s="234"/>
      <c r="AL655" s="234"/>
      <c r="AM655" s="234"/>
      <c r="AN655" s="234"/>
      <c r="AO655" s="234"/>
      <c r="AP655" s="234"/>
      <c r="AQ655" s="234"/>
      <c r="AR655" s="234"/>
      <c r="AS655" s="234"/>
      <c r="AT655" s="234"/>
      <c r="AU655" s="234"/>
      <c r="AV655" s="234"/>
      <c r="AW655" s="234"/>
      <c r="AX655" s="234"/>
      <c r="AY655" s="234"/>
    </row>
    <row r="656" spans="1:51" ht="24" customHeight="1" x14ac:dyDescent="0.25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  <c r="AB656" s="234"/>
      <c r="AC656" s="234"/>
      <c r="AD656" s="234"/>
      <c r="AE656" s="234"/>
      <c r="AF656" s="234"/>
      <c r="AG656" s="234"/>
      <c r="AH656" s="234"/>
      <c r="AI656" s="234"/>
      <c r="AJ656" s="234"/>
      <c r="AK656" s="234"/>
      <c r="AL656" s="234"/>
      <c r="AM656" s="234"/>
      <c r="AN656" s="234"/>
      <c r="AO656" s="234"/>
      <c r="AP656" s="234"/>
      <c r="AQ656" s="234"/>
      <c r="AR656" s="234"/>
      <c r="AS656" s="234"/>
      <c r="AT656" s="234"/>
      <c r="AU656" s="234"/>
      <c r="AV656" s="234"/>
      <c r="AW656" s="234"/>
      <c r="AX656" s="234"/>
      <c r="AY656" s="234"/>
    </row>
    <row r="657" spans="1:51" ht="24" customHeight="1" x14ac:dyDescent="0.25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  <c r="AB657" s="234"/>
      <c r="AC657" s="234"/>
      <c r="AD657" s="234"/>
      <c r="AE657" s="234"/>
      <c r="AF657" s="234"/>
      <c r="AG657" s="234"/>
      <c r="AH657" s="234"/>
      <c r="AI657" s="234"/>
      <c r="AJ657" s="234"/>
      <c r="AK657" s="234"/>
      <c r="AL657" s="234"/>
      <c r="AM657" s="234"/>
      <c r="AN657" s="234"/>
      <c r="AO657" s="234"/>
      <c r="AP657" s="234"/>
      <c r="AQ657" s="234"/>
      <c r="AR657" s="234"/>
      <c r="AS657" s="234"/>
      <c r="AT657" s="234"/>
      <c r="AU657" s="234"/>
      <c r="AV657" s="234"/>
      <c r="AW657" s="234"/>
      <c r="AX657" s="234"/>
      <c r="AY657" s="234"/>
    </row>
    <row r="658" spans="1:51" ht="24" customHeight="1" x14ac:dyDescent="0.25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  <c r="AB658" s="234"/>
      <c r="AC658" s="234"/>
      <c r="AD658" s="234"/>
      <c r="AE658" s="234"/>
      <c r="AF658" s="234"/>
      <c r="AG658" s="234"/>
      <c r="AH658" s="234"/>
      <c r="AI658" s="234"/>
      <c r="AJ658" s="234"/>
      <c r="AK658" s="234"/>
      <c r="AL658" s="234"/>
      <c r="AM658" s="234"/>
      <c r="AN658" s="234"/>
      <c r="AO658" s="234"/>
      <c r="AP658" s="234"/>
      <c r="AQ658" s="234"/>
      <c r="AR658" s="234"/>
      <c r="AS658" s="234"/>
      <c r="AT658" s="234"/>
      <c r="AU658" s="234"/>
      <c r="AV658" s="234"/>
      <c r="AW658" s="234"/>
      <c r="AX658" s="234"/>
      <c r="AY658" s="234"/>
    </row>
    <row r="659" spans="1:51" ht="24" customHeight="1" x14ac:dyDescent="0.25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  <c r="AB659" s="234"/>
      <c r="AC659" s="234"/>
      <c r="AD659" s="234"/>
      <c r="AE659" s="234"/>
      <c r="AF659" s="234"/>
      <c r="AG659" s="234"/>
      <c r="AH659" s="234"/>
      <c r="AI659" s="234"/>
      <c r="AJ659" s="234"/>
      <c r="AK659" s="234"/>
      <c r="AL659" s="234"/>
      <c r="AM659" s="234"/>
      <c r="AN659" s="234"/>
      <c r="AO659" s="234"/>
      <c r="AP659" s="234"/>
      <c r="AQ659" s="234"/>
      <c r="AR659" s="234"/>
      <c r="AS659" s="234"/>
      <c r="AT659" s="234"/>
      <c r="AU659" s="234"/>
      <c r="AV659" s="234"/>
      <c r="AW659" s="234"/>
      <c r="AX659" s="234"/>
      <c r="AY659" s="234"/>
    </row>
    <row r="660" spans="1:51" ht="24" customHeight="1" x14ac:dyDescent="0.25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  <c r="AB660" s="234"/>
      <c r="AC660" s="234"/>
      <c r="AD660" s="234"/>
      <c r="AE660" s="234"/>
      <c r="AF660" s="234"/>
      <c r="AG660" s="234"/>
      <c r="AH660" s="234"/>
      <c r="AI660" s="234"/>
      <c r="AJ660" s="234"/>
      <c r="AK660" s="234"/>
      <c r="AL660" s="234"/>
      <c r="AM660" s="234"/>
      <c r="AN660" s="234"/>
      <c r="AO660" s="234"/>
      <c r="AP660" s="234"/>
      <c r="AQ660" s="234"/>
      <c r="AR660" s="234"/>
      <c r="AS660" s="234"/>
      <c r="AT660" s="234"/>
      <c r="AU660" s="234"/>
      <c r="AV660" s="234"/>
      <c r="AW660" s="234"/>
      <c r="AX660" s="234"/>
      <c r="AY660" s="234"/>
    </row>
    <row r="661" spans="1:51" ht="24" customHeight="1" x14ac:dyDescent="0.25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  <c r="AB661" s="234"/>
      <c r="AC661" s="234"/>
      <c r="AD661" s="234"/>
      <c r="AE661" s="234"/>
      <c r="AF661" s="234"/>
      <c r="AG661" s="234"/>
      <c r="AH661" s="234"/>
      <c r="AI661" s="234"/>
      <c r="AJ661" s="234"/>
      <c r="AK661" s="234"/>
      <c r="AL661" s="234"/>
      <c r="AM661" s="234"/>
      <c r="AN661" s="234"/>
      <c r="AO661" s="234"/>
      <c r="AP661" s="234"/>
      <c r="AQ661" s="234"/>
      <c r="AR661" s="234"/>
      <c r="AS661" s="234"/>
      <c r="AT661" s="234"/>
      <c r="AU661" s="234"/>
      <c r="AV661" s="234"/>
      <c r="AW661" s="234"/>
      <c r="AX661" s="234"/>
      <c r="AY661" s="234"/>
    </row>
    <row r="662" spans="1:51" ht="24" customHeight="1" x14ac:dyDescent="0.25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  <c r="AB662" s="234"/>
      <c r="AC662" s="234"/>
      <c r="AD662" s="234"/>
      <c r="AE662" s="234"/>
      <c r="AF662" s="234"/>
      <c r="AG662" s="234"/>
      <c r="AH662" s="234"/>
      <c r="AI662" s="234"/>
      <c r="AJ662" s="234"/>
      <c r="AK662" s="234"/>
      <c r="AL662" s="234"/>
      <c r="AM662" s="234"/>
      <c r="AN662" s="234"/>
      <c r="AO662" s="234"/>
      <c r="AP662" s="234"/>
      <c r="AQ662" s="234"/>
      <c r="AR662" s="234"/>
      <c r="AS662" s="234"/>
      <c r="AT662" s="234"/>
      <c r="AU662" s="234"/>
      <c r="AV662" s="234"/>
      <c r="AW662" s="234"/>
      <c r="AX662" s="234"/>
      <c r="AY662" s="234"/>
    </row>
    <row r="663" spans="1:51" ht="24" customHeight="1" x14ac:dyDescent="0.25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  <c r="AB663" s="234"/>
      <c r="AC663" s="234"/>
      <c r="AD663" s="234"/>
      <c r="AE663" s="234"/>
      <c r="AF663" s="234"/>
      <c r="AG663" s="234"/>
      <c r="AH663" s="234"/>
      <c r="AI663" s="234"/>
      <c r="AJ663" s="234"/>
      <c r="AK663" s="234"/>
      <c r="AL663" s="234"/>
      <c r="AM663" s="234"/>
      <c r="AN663" s="234"/>
      <c r="AO663" s="234"/>
      <c r="AP663" s="234"/>
      <c r="AQ663" s="234"/>
      <c r="AR663" s="234"/>
      <c r="AS663" s="234"/>
      <c r="AT663" s="234"/>
      <c r="AU663" s="234"/>
      <c r="AV663" s="234"/>
      <c r="AW663" s="234"/>
      <c r="AX663" s="234"/>
      <c r="AY663" s="234"/>
    </row>
    <row r="664" spans="1:51" ht="24" customHeight="1" x14ac:dyDescent="0.25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  <c r="AB664" s="234"/>
      <c r="AC664" s="234"/>
      <c r="AD664" s="234"/>
      <c r="AE664" s="234"/>
      <c r="AF664" s="234"/>
      <c r="AG664" s="234"/>
      <c r="AH664" s="234"/>
      <c r="AI664" s="234"/>
      <c r="AJ664" s="234"/>
      <c r="AK664" s="234"/>
      <c r="AL664" s="234"/>
      <c r="AM664" s="234"/>
      <c r="AN664" s="234"/>
      <c r="AO664" s="234"/>
      <c r="AP664" s="234"/>
      <c r="AQ664" s="234"/>
      <c r="AR664" s="234"/>
      <c r="AS664" s="234"/>
      <c r="AT664" s="234"/>
      <c r="AU664" s="234"/>
      <c r="AV664" s="234"/>
      <c r="AW664" s="234"/>
      <c r="AX664" s="234"/>
      <c r="AY664" s="234"/>
    </row>
    <row r="665" spans="1:51" ht="24" customHeight="1" x14ac:dyDescent="0.2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  <c r="AB665" s="234"/>
      <c r="AC665" s="234"/>
      <c r="AD665" s="234"/>
      <c r="AE665" s="234"/>
      <c r="AF665" s="234"/>
      <c r="AG665" s="234"/>
      <c r="AH665" s="234"/>
      <c r="AI665" s="234"/>
      <c r="AJ665" s="234"/>
      <c r="AK665" s="234"/>
      <c r="AL665" s="234"/>
      <c r="AM665" s="234"/>
      <c r="AN665" s="234"/>
      <c r="AO665" s="234"/>
      <c r="AP665" s="234"/>
      <c r="AQ665" s="234"/>
      <c r="AR665" s="234"/>
      <c r="AS665" s="234"/>
      <c r="AT665" s="234"/>
      <c r="AU665" s="234"/>
      <c r="AV665" s="234"/>
      <c r="AW665" s="234"/>
      <c r="AX665" s="234"/>
      <c r="AY665" s="234"/>
    </row>
    <row r="666" spans="1:51" ht="24" customHeight="1" x14ac:dyDescent="0.25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  <c r="AB666" s="234"/>
      <c r="AC666" s="234"/>
      <c r="AD666" s="234"/>
      <c r="AE666" s="234"/>
      <c r="AF666" s="234"/>
      <c r="AG666" s="234"/>
      <c r="AH666" s="234"/>
      <c r="AI666" s="234"/>
      <c r="AJ666" s="234"/>
      <c r="AK666" s="234"/>
      <c r="AL666" s="234"/>
      <c r="AM666" s="234"/>
      <c r="AN666" s="234"/>
      <c r="AO666" s="234"/>
      <c r="AP666" s="234"/>
      <c r="AQ666" s="234"/>
      <c r="AR666" s="234"/>
      <c r="AS666" s="234"/>
      <c r="AT666" s="234"/>
      <c r="AU666" s="234"/>
      <c r="AV666" s="234"/>
      <c r="AW666" s="234"/>
      <c r="AX666" s="234"/>
      <c r="AY666" s="234"/>
    </row>
    <row r="667" spans="1:51" ht="24" customHeight="1" x14ac:dyDescent="0.25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  <c r="AB667" s="234"/>
      <c r="AC667" s="234"/>
      <c r="AD667" s="234"/>
      <c r="AE667" s="234"/>
      <c r="AF667" s="234"/>
      <c r="AG667" s="234"/>
      <c r="AH667" s="234"/>
      <c r="AI667" s="234"/>
      <c r="AJ667" s="234"/>
      <c r="AK667" s="234"/>
      <c r="AL667" s="234"/>
      <c r="AM667" s="234"/>
      <c r="AN667" s="234"/>
      <c r="AO667" s="234"/>
      <c r="AP667" s="234"/>
      <c r="AQ667" s="234"/>
      <c r="AR667" s="234"/>
      <c r="AS667" s="234"/>
      <c r="AT667" s="234"/>
      <c r="AU667" s="234"/>
      <c r="AV667" s="234"/>
      <c r="AW667" s="234"/>
      <c r="AX667" s="234"/>
      <c r="AY667" s="234"/>
    </row>
    <row r="668" spans="1:51" ht="24" customHeight="1" x14ac:dyDescent="0.25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  <c r="AB668" s="234"/>
      <c r="AC668" s="234"/>
      <c r="AD668" s="234"/>
      <c r="AE668" s="234"/>
      <c r="AF668" s="234"/>
      <c r="AG668" s="234"/>
      <c r="AH668" s="234"/>
      <c r="AI668" s="234"/>
      <c r="AJ668" s="234"/>
      <c r="AK668" s="234"/>
      <c r="AL668" s="234"/>
      <c r="AM668" s="234"/>
      <c r="AN668" s="234"/>
      <c r="AO668" s="234"/>
      <c r="AP668" s="234"/>
      <c r="AQ668" s="234"/>
      <c r="AR668" s="234"/>
      <c r="AS668" s="234"/>
      <c r="AT668" s="234"/>
      <c r="AU668" s="234"/>
      <c r="AV668" s="234"/>
      <c r="AW668" s="234"/>
      <c r="AX668" s="234"/>
      <c r="AY668" s="234"/>
    </row>
    <row r="669" spans="1:51" ht="24" customHeight="1" x14ac:dyDescent="0.25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  <c r="AB669" s="234"/>
      <c r="AC669" s="234"/>
      <c r="AD669" s="234"/>
      <c r="AE669" s="234"/>
      <c r="AF669" s="234"/>
      <c r="AG669" s="234"/>
      <c r="AH669" s="234"/>
      <c r="AI669" s="234"/>
      <c r="AJ669" s="234"/>
      <c r="AK669" s="234"/>
      <c r="AL669" s="234"/>
      <c r="AM669" s="234"/>
      <c r="AN669" s="234"/>
      <c r="AO669" s="234"/>
      <c r="AP669" s="234"/>
      <c r="AQ669" s="234"/>
      <c r="AR669" s="234"/>
      <c r="AS669" s="234"/>
      <c r="AT669" s="234"/>
      <c r="AU669" s="234"/>
      <c r="AV669" s="234"/>
      <c r="AW669" s="234"/>
      <c r="AX669" s="234"/>
      <c r="AY669" s="234"/>
    </row>
    <row r="670" spans="1:51" ht="24" customHeight="1" x14ac:dyDescent="0.25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  <c r="AB670" s="234"/>
      <c r="AC670" s="234"/>
      <c r="AD670" s="234"/>
      <c r="AE670" s="234"/>
      <c r="AF670" s="234"/>
      <c r="AG670" s="234"/>
      <c r="AH670" s="234"/>
      <c r="AI670" s="234"/>
      <c r="AJ670" s="234"/>
      <c r="AK670" s="234"/>
      <c r="AL670" s="234"/>
      <c r="AM670" s="234"/>
      <c r="AN670" s="234"/>
      <c r="AO670" s="234"/>
      <c r="AP670" s="234"/>
      <c r="AQ670" s="234"/>
      <c r="AR670" s="234"/>
      <c r="AS670" s="234"/>
      <c r="AT670" s="234"/>
      <c r="AU670" s="234"/>
      <c r="AV670" s="234"/>
      <c r="AW670" s="234"/>
      <c r="AX670" s="234"/>
      <c r="AY670" s="234"/>
    </row>
    <row r="671" spans="1:51" ht="24" customHeight="1" x14ac:dyDescent="0.25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  <c r="AB671" s="234"/>
      <c r="AC671" s="234"/>
      <c r="AD671" s="234"/>
      <c r="AE671" s="234"/>
      <c r="AF671" s="234"/>
      <c r="AG671" s="234"/>
      <c r="AH671" s="234"/>
      <c r="AI671" s="234"/>
      <c r="AJ671" s="234"/>
      <c r="AK671" s="234"/>
      <c r="AL671" s="234"/>
      <c r="AM671" s="234"/>
      <c r="AN671" s="234"/>
      <c r="AO671" s="234"/>
      <c r="AP671" s="234"/>
      <c r="AQ671" s="234"/>
      <c r="AR671" s="234"/>
      <c r="AS671" s="234"/>
      <c r="AT671" s="234"/>
      <c r="AU671" s="234"/>
      <c r="AV671" s="234"/>
      <c r="AW671" s="234"/>
      <c r="AX671" s="234"/>
      <c r="AY671" s="234"/>
    </row>
    <row r="672" spans="1:51" ht="24" customHeight="1" x14ac:dyDescent="0.25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  <c r="AB672" s="234"/>
      <c r="AC672" s="234"/>
      <c r="AD672" s="234"/>
      <c r="AE672" s="234"/>
      <c r="AF672" s="234"/>
      <c r="AG672" s="234"/>
      <c r="AH672" s="234"/>
      <c r="AI672" s="234"/>
      <c r="AJ672" s="234"/>
      <c r="AK672" s="234"/>
      <c r="AL672" s="234"/>
      <c r="AM672" s="234"/>
      <c r="AN672" s="234"/>
      <c r="AO672" s="234"/>
      <c r="AP672" s="234"/>
      <c r="AQ672" s="234"/>
      <c r="AR672" s="234"/>
      <c r="AS672" s="234"/>
      <c r="AT672" s="234"/>
      <c r="AU672" s="234"/>
      <c r="AV672" s="234"/>
      <c r="AW672" s="234"/>
      <c r="AX672" s="234"/>
      <c r="AY672" s="234"/>
    </row>
    <row r="673" spans="1:51" ht="24" customHeight="1" x14ac:dyDescent="0.25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  <c r="AB673" s="234"/>
      <c r="AC673" s="234"/>
      <c r="AD673" s="234"/>
      <c r="AE673" s="234"/>
      <c r="AF673" s="234"/>
      <c r="AG673" s="234"/>
      <c r="AH673" s="234"/>
      <c r="AI673" s="234"/>
      <c r="AJ673" s="234"/>
      <c r="AK673" s="234"/>
      <c r="AL673" s="234"/>
      <c r="AM673" s="234"/>
      <c r="AN673" s="234"/>
      <c r="AO673" s="234"/>
      <c r="AP673" s="234"/>
      <c r="AQ673" s="234"/>
      <c r="AR673" s="234"/>
      <c r="AS673" s="234"/>
      <c r="AT673" s="234"/>
      <c r="AU673" s="234"/>
      <c r="AV673" s="234"/>
      <c r="AW673" s="234"/>
      <c r="AX673" s="234"/>
      <c r="AY673" s="234"/>
    </row>
    <row r="674" spans="1:51" ht="24" customHeight="1" x14ac:dyDescent="0.25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  <c r="AB674" s="234"/>
      <c r="AC674" s="234"/>
      <c r="AD674" s="234"/>
      <c r="AE674" s="234"/>
      <c r="AF674" s="234"/>
      <c r="AG674" s="234"/>
      <c r="AH674" s="234"/>
      <c r="AI674" s="234"/>
      <c r="AJ674" s="234"/>
      <c r="AK674" s="234"/>
      <c r="AL674" s="234"/>
      <c r="AM674" s="234"/>
      <c r="AN674" s="234"/>
      <c r="AO674" s="234"/>
      <c r="AP674" s="234"/>
      <c r="AQ674" s="234"/>
      <c r="AR674" s="234"/>
      <c r="AS674" s="234"/>
      <c r="AT674" s="234"/>
      <c r="AU674" s="234"/>
      <c r="AV674" s="234"/>
      <c r="AW674" s="234"/>
      <c r="AX674" s="234"/>
      <c r="AY674" s="234"/>
    </row>
    <row r="675" spans="1:51" ht="24" customHeight="1" x14ac:dyDescent="0.2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  <c r="AB675" s="234"/>
      <c r="AC675" s="234"/>
      <c r="AD675" s="234"/>
      <c r="AE675" s="234"/>
      <c r="AF675" s="234"/>
      <c r="AG675" s="234"/>
      <c r="AH675" s="234"/>
      <c r="AI675" s="234"/>
      <c r="AJ675" s="234"/>
      <c r="AK675" s="234"/>
      <c r="AL675" s="234"/>
      <c r="AM675" s="234"/>
      <c r="AN675" s="234"/>
      <c r="AO675" s="234"/>
      <c r="AP675" s="234"/>
      <c r="AQ675" s="234"/>
      <c r="AR675" s="234"/>
      <c r="AS675" s="234"/>
      <c r="AT675" s="234"/>
      <c r="AU675" s="234"/>
      <c r="AV675" s="234"/>
      <c r="AW675" s="234"/>
      <c r="AX675" s="234"/>
      <c r="AY675" s="234"/>
    </row>
    <row r="676" spans="1:51" ht="24" customHeight="1" x14ac:dyDescent="0.25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  <c r="AB676" s="234"/>
      <c r="AC676" s="234"/>
      <c r="AD676" s="234"/>
      <c r="AE676" s="234"/>
      <c r="AF676" s="234"/>
      <c r="AG676" s="234"/>
      <c r="AH676" s="234"/>
      <c r="AI676" s="234"/>
      <c r="AJ676" s="234"/>
      <c r="AK676" s="234"/>
      <c r="AL676" s="234"/>
      <c r="AM676" s="234"/>
      <c r="AN676" s="234"/>
      <c r="AO676" s="234"/>
      <c r="AP676" s="234"/>
      <c r="AQ676" s="234"/>
      <c r="AR676" s="234"/>
      <c r="AS676" s="234"/>
      <c r="AT676" s="234"/>
      <c r="AU676" s="234"/>
      <c r="AV676" s="234"/>
      <c r="AW676" s="234"/>
      <c r="AX676" s="234"/>
      <c r="AY676" s="234"/>
    </row>
    <row r="677" spans="1:51" ht="24" customHeight="1" x14ac:dyDescent="0.25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  <c r="AB677" s="234"/>
      <c r="AC677" s="234"/>
      <c r="AD677" s="234"/>
      <c r="AE677" s="234"/>
      <c r="AF677" s="234"/>
      <c r="AG677" s="234"/>
      <c r="AH677" s="234"/>
      <c r="AI677" s="234"/>
      <c r="AJ677" s="234"/>
      <c r="AK677" s="234"/>
      <c r="AL677" s="234"/>
      <c r="AM677" s="234"/>
      <c r="AN677" s="234"/>
      <c r="AO677" s="234"/>
      <c r="AP677" s="234"/>
      <c r="AQ677" s="234"/>
      <c r="AR677" s="234"/>
      <c r="AS677" s="234"/>
      <c r="AT677" s="234"/>
      <c r="AU677" s="234"/>
      <c r="AV677" s="234"/>
      <c r="AW677" s="234"/>
      <c r="AX677" s="234"/>
      <c r="AY677" s="234"/>
    </row>
    <row r="678" spans="1:51" ht="24" customHeight="1" x14ac:dyDescent="0.25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  <c r="AB678" s="234"/>
      <c r="AC678" s="234"/>
      <c r="AD678" s="234"/>
      <c r="AE678" s="234"/>
      <c r="AF678" s="234"/>
      <c r="AG678" s="234"/>
      <c r="AH678" s="234"/>
      <c r="AI678" s="234"/>
      <c r="AJ678" s="234"/>
      <c r="AK678" s="234"/>
      <c r="AL678" s="234"/>
      <c r="AM678" s="234"/>
      <c r="AN678" s="234"/>
      <c r="AO678" s="234"/>
      <c r="AP678" s="234"/>
      <c r="AQ678" s="234"/>
      <c r="AR678" s="234"/>
      <c r="AS678" s="234"/>
      <c r="AT678" s="234"/>
      <c r="AU678" s="234"/>
      <c r="AV678" s="234"/>
      <c r="AW678" s="234"/>
      <c r="AX678" s="234"/>
      <c r="AY678" s="234"/>
    </row>
    <row r="679" spans="1:51" ht="24" customHeight="1" x14ac:dyDescent="0.25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  <c r="AB679" s="234"/>
      <c r="AC679" s="234"/>
      <c r="AD679" s="234"/>
      <c r="AE679" s="234"/>
      <c r="AF679" s="234"/>
      <c r="AG679" s="234"/>
      <c r="AH679" s="234"/>
      <c r="AI679" s="234"/>
      <c r="AJ679" s="234"/>
      <c r="AK679" s="234"/>
      <c r="AL679" s="234"/>
      <c r="AM679" s="234"/>
      <c r="AN679" s="234"/>
      <c r="AO679" s="234"/>
      <c r="AP679" s="234"/>
      <c r="AQ679" s="234"/>
      <c r="AR679" s="234"/>
      <c r="AS679" s="234"/>
      <c r="AT679" s="234"/>
      <c r="AU679" s="234"/>
      <c r="AV679" s="234"/>
      <c r="AW679" s="234"/>
      <c r="AX679" s="234"/>
      <c r="AY679" s="234"/>
    </row>
    <row r="680" spans="1:51" ht="24" customHeight="1" x14ac:dyDescent="0.25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  <c r="AB680" s="234"/>
      <c r="AC680" s="234"/>
      <c r="AD680" s="234"/>
      <c r="AE680" s="234"/>
      <c r="AF680" s="234"/>
      <c r="AG680" s="234"/>
      <c r="AH680" s="234"/>
      <c r="AI680" s="234"/>
      <c r="AJ680" s="234"/>
      <c r="AK680" s="234"/>
      <c r="AL680" s="234"/>
      <c r="AM680" s="234"/>
      <c r="AN680" s="234"/>
      <c r="AO680" s="234"/>
      <c r="AP680" s="234"/>
      <c r="AQ680" s="234"/>
      <c r="AR680" s="234"/>
      <c r="AS680" s="234"/>
      <c r="AT680" s="234"/>
      <c r="AU680" s="234"/>
      <c r="AV680" s="234"/>
      <c r="AW680" s="234"/>
      <c r="AX680" s="234"/>
      <c r="AY680" s="234"/>
    </row>
    <row r="681" spans="1:51" ht="24" customHeight="1" x14ac:dyDescent="0.25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  <c r="AB681" s="234"/>
      <c r="AC681" s="234"/>
      <c r="AD681" s="234"/>
      <c r="AE681" s="234"/>
      <c r="AF681" s="234"/>
      <c r="AG681" s="234"/>
      <c r="AH681" s="234"/>
      <c r="AI681" s="234"/>
      <c r="AJ681" s="234"/>
      <c r="AK681" s="234"/>
      <c r="AL681" s="234"/>
      <c r="AM681" s="234"/>
      <c r="AN681" s="234"/>
      <c r="AO681" s="234"/>
      <c r="AP681" s="234"/>
      <c r="AQ681" s="234"/>
      <c r="AR681" s="234"/>
      <c r="AS681" s="234"/>
      <c r="AT681" s="234"/>
      <c r="AU681" s="234"/>
      <c r="AV681" s="234"/>
      <c r="AW681" s="234"/>
      <c r="AX681" s="234"/>
      <c r="AY681" s="234"/>
    </row>
    <row r="682" spans="1:51" ht="24" customHeight="1" x14ac:dyDescent="0.25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  <c r="AB682" s="234"/>
      <c r="AC682" s="234"/>
      <c r="AD682" s="234"/>
      <c r="AE682" s="234"/>
      <c r="AF682" s="234"/>
      <c r="AG682" s="234"/>
      <c r="AH682" s="234"/>
      <c r="AI682" s="234"/>
      <c r="AJ682" s="234"/>
      <c r="AK682" s="234"/>
      <c r="AL682" s="234"/>
      <c r="AM682" s="234"/>
      <c r="AN682" s="234"/>
      <c r="AO682" s="234"/>
      <c r="AP682" s="234"/>
      <c r="AQ682" s="234"/>
      <c r="AR682" s="234"/>
      <c r="AS682" s="234"/>
      <c r="AT682" s="234"/>
      <c r="AU682" s="234"/>
      <c r="AV682" s="234"/>
      <c r="AW682" s="234"/>
      <c r="AX682" s="234"/>
      <c r="AY682" s="234"/>
    </row>
    <row r="683" spans="1:51" ht="24" customHeight="1" x14ac:dyDescent="0.25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  <c r="AB683" s="234"/>
      <c r="AC683" s="234"/>
      <c r="AD683" s="234"/>
      <c r="AE683" s="234"/>
      <c r="AF683" s="234"/>
      <c r="AG683" s="234"/>
      <c r="AH683" s="234"/>
      <c r="AI683" s="234"/>
      <c r="AJ683" s="234"/>
      <c r="AK683" s="234"/>
      <c r="AL683" s="234"/>
      <c r="AM683" s="234"/>
      <c r="AN683" s="234"/>
      <c r="AO683" s="234"/>
      <c r="AP683" s="234"/>
      <c r="AQ683" s="234"/>
      <c r="AR683" s="234"/>
      <c r="AS683" s="234"/>
      <c r="AT683" s="234"/>
      <c r="AU683" s="234"/>
      <c r="AV683" s="234"/>
      <c r="AW683" s="234"/>
      <c r="AX683" s="234"/>
      <c r="AY683" s="234"/>
    </row>
    <row r="684" spans="1:51" ht="24" customHeight="1" x14ac:dyDescent="0.25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  <c r="AB684" s="234"/>
      <c r="AC684" s="234"/>
      <c r="AD684" s="234"/>
      <c r="AE684" s="234"/>
      <c r="AF684" s="234"/>
      <c r="AG684" s="234"/>
      <c r="AH684" s="234"/>
      <c r="AI684" s="234"/>
      <c r="AJ684" s="234"/>
      <c r="AK684" s="234"/>
      <c r="AL684" s="234"/>
      <c r="AM684" s="234"/>
      <c r="AN684" s="234"/>
      <c r="AO684" s="234"/>
      <c r="AP684" s="234"/>
      <c r="AQ684" s="234"/>
      <c r="AR684" s="234"/>
      <c r="AS684" s="234"/>
      <c r="AT684" s="234"/>
      <c r="AU684" s="234"/>
      <c r="AV684" s="234"/>
      <c r="AW684" s="234"/>
      <c r="AX684" s="234"/>
      <c r="AY684" s="234"/>
    </row>
    <row r="685" spans="1:51" ht="24" customHeight="1" x14ac:dyDescent="0.2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  <c r="AB685" s="234"/>
      <c r="AC685" s="234"/>
      <c r="AD685" s="234"/>
      <c r="AE685" s="234"/>
      <c r="AF685" s="234"/>
      <c r="AG685" s="234"/>
      <c r="AH685" s="234"/>
      <c r="AI685" s="234"/>
      <c r="AJ685" s="234"/>
      <c r="AK685" s="234"/>
      <c r="AL685" s="234"/>
      <c r="AM685" s="234"/>
      <c r="AN685" s="234"/>
      <c r="AO685" s="234"/>
      <c r="AP685" s="234"/>
      <c r="AQ685" s="234"/>
      <c r="AR685" s="234"/>
      <c r="AS685" s="234"/>
      <c r="AT685" s="234"/>
      <c r="AU685" s="234"/>
      <c r="AV685" s="234"/>
      <c r="AW685" s="234"/>
      <c r="AX685" s="234"/>
      <c r="AY685" s="234"/>
    </row>
    <row r="686" spans="1:51" ht="24" customHeight="1" x14ac:dyDescent="0.25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  <c r="AB686" s="234"/>
      <c r="AC686" s="234"/>
      <c r="AD686" s="234"/>
      <c r="AE686" s="234"/>
      <c r="AF686" s="234"/>
      <c r="AG686" s="234"/>
      <c r="AH686" s="234"/>
      <c r="AI686" s="234"/>
      <c r="AJ686" s="234"/>
      <c r="AK686" s="234"/>
      <c r="AL686" s="234"/>
      <c r="AM686" s="234"/>
      <c r="AN686" s="234"/>
      <c r="AO686" s="234"/>
      <c r="AP686" s="234"/>
      <c r="AQ686" s="234"/>
      <c r="AR686" s="234"/>
      <c r="AS686" s="234"/>
      <c r="AT686" s="234"/>
      <c r="AU686" s="234"/>
      <c r="AV686" s="234"/>
      <c r="AW686" s="234"/>
      <c r="AX686" s="234"/>
      <c r="AY686" s="234"/>
    </row>
    <row r="687" spans="1:51" ht="24" customHeight="1" x14ac:dyDescent="0.25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  <c r="AB687" s="234"/>
      <c r="AC687" s="234"/>
      <c r="AD687" s="234"/>
      <c r="AE687" s="234"/>
      <c r="AF687" s="234"/>
      <c r="AG687" s="234"/>
      <c r="AH687" s="234"/>
      <c r="AI687" s="234"/>
      <c r="AJ687" s="234"/>
      <c r="AK687" s="234"/>
      <c r="AL687" s="234"/>
      <c r="AM687" s="234"/>
      <c r="AN687" s="234"/>
      <c r="AO687" s="234"/>
      <c r="AP687" s="234"/>
      <c r="AQ687" s="234"/>
      <c r="AR687" s="234"/>
      <c r="AS687" s="234"/>
      <c r="AT687" s="234"/>
      <c r="AU687" s="234"/>
      <c r="AV687" s="234"/>
      <c r="AW687" s="234"/>
      <c r="AX687" s="234"/>
      <c r="AY687" s="234"/>
    </row>
    <row r="688" spans="1:51" ht="24" customHeight="1" x14ac:dyDescent="0.25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  <c r="AB688" s="234"/>
      <c r="AC688" s="234"/>
      <c r="AD688" s="234"/>
      <c r="AE688" s="234"/>
      <c r="AF688" s="234"/>
      <c r="AG688" s="234"/>
      <c r="AH688" s="234"/>
      <c r="AI688" s="234"/>
      <c r="AJ688" s="234"/>
      <c r="AK688" s="234"/>
      <c r="AL688" s="234"/>
      <c r="AM688" s="234"/>
      <c r="AN688" s="234"/>
      <c r="AO688" s="234"/>
      <c r="AP688" s="234"/>
      <c r="AQ688" s="234"/>
      <c r="AR688" s="234"/>
      <c r="AS688" s="234"/>
      <c r="AT688" s="234"/>
      <c r="AU688" s="234"/>
      <c r="AV688" s="234"/>
      <c r="AW688" s="234"/>
      <c r="AX688" s="234"/>
      <c r="AY688" s="234"/>
    </row>
    <row r="689" spans="1:51" ht="24" customHeight="1" x14ac:dyDescent="0.25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  <c r="AB689" s="234"/>
      <c r="AC689" s="234"/>
      <c r="AD689" s="234"/>
      <c r="AE689" s="234"/>
      <c r="AF689" s="234"/>
      <c r="AG689" s="234"/>
      <c r="AH689" s="234"/>
      <c r="AI689" s="234"/>
      <c r="AJ689" s="234"/>
      <c r="AK689" s="234"/>
      <c r="AL689" s="234"/>
      <c r="AM689" s="234"/>
      <c r="AN689" s="234"/>
      <c r="AO689" s="234"/>
      <c r="AP689" s="234"/>
      <c r="AQ689" s="234"/>
      <c r="AR689" s="234"/>
      <c r="AS689" s="234"/>
      <c r="AT689" s="234"/>
      <c r="AU689" s="234"/>
      <c r="AV689" s="234"/>
      <c r="AW689" s="234"/>
      <c r="AX689" s="234"/>
      <c r="AY689" s="234"/>
    </row>
    <row r="690" spans="1:51" ht="24" customHeight="1" x14ac:dyDescent="0.25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  <c r="AB690" s="234"/>
      <c r="AC690" s="234"/>
      <c r="AD690" s="234"/>
      <c r="AE690" s="234"/>
      <c r="AF690" s="234"/>
      <c r="AG690" s="234"/>
      <c r="AH690" s="234"/>
      <c r="AI690" s="234"/>
      <c r="AJ690" s="234"/>
      <c r="AK690" s="234"/>
      <c r="AL690" s="234"/>
      <c r="AM690" s="234"/>
      <c r="AN690" s="234"/>
      <c r="AO690" s="234"/>
      <c r="AP690" s="234"/>
      <c r="AQ690" s="234"/>
      <c r="AR690" s="234"/>
      <c r="AS690" s="234"/>
      <c r="AT690" s="234"/>
      <c r="AU690" s="234"/>
      <c r="AV690" s="234"/>
      <c r="AW690" s="234"/>
      <c r="AX690" s="234"/>
      <c r="AY690" s="234"/>
    </row>
    <row r="691" spans="1:51" ht="24" customHeight="1" x14ac:dyDescent="0.25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  <c r="AB691" s="234"/>
      <c r="AC691" s="234"/>
      <c r="AD691" s="234"/>
      <c r="AE691" s="234"/>
      <c r="AF691" s="234"/>
      <c r="AG691" s="234"/>
      <c r="AH691" s="234"/>
      <c r="AI691" s="234"/>
      <c r="AJ691" s="234"/>
      <c r="AK691" s="234"/>
      <c r="AL691" s="234"/>
      <c r="AM691" s="234"/>
      <c r="AN691" s="234"/>
      <c r="AO691" s="234"/>
      <c r="AP691" s="234"/>
      <c r="AQ691" s="234"/>
      <c r="AR691" s="234"/>
      <c r="AS691" s="234"/>
      <c r="AT691" s="234"/>
      <c r="AU691" s="234"/>
      <c r="AV691" s="234"/>
      <c r="AW691" s="234"/>
      <c r="AX691" s="234"/>
      <c r="AY691" s="234"/>
    </row>
    <row r="692" spans="1:51" ht="24" customHeight="1" x14ac:dyDescent="0.25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  <c r="AB692" s="234"/>
      <c r="AC692" s="234"/>
      <c r="AD692" s="234"/>
      <c r="AE692" s="234"/>
      <c r="AF692" s="234"/>
      <c r="AG692" s="234"/>
      <c r="AH692" s="234"/>
      <c r="AI692" s="234"/>
      <c r="AJ692" s="234"/>
      <c r="AK692" s="234"/>
      <c r="AL692" s="234"/>
      <c r="AM692" s="234"/>
      <c r="AN692" s="234"/>
      <c r="AO692" s="234"/>
      <c r="AP692" s="234"/>
      <c r="AQ692" s="234"/>
      <c r="AR692" s="234"/>
      <c r="AS692" s="234"/>
      <c r="AT692" s="234"/>
      <c r="AU692" s="234"/>
      <c r="AV692" s="234"/>
      <c r="AW692" s="234"/>
      <c r="AX692" s="234"/>
      <c r="AY692" s="234"/>
    </row>
    <row r="693" spans="1:51" ht="24" customHeight="1" x14ac:dyDescent="0.25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  <c r="AB693" s="234"/>
      <c r="AC693" s="234"/>
      <c r="AD693" s="234"/>
      <c r="AE693" s="234"/>
      <c r="AF693" s="234"/>
      <c r="AG693" s="234"/>
      <c r="AH693" s="234"/>
      <c r="AI693" s="234"/>
      <c r="AJ693" s="234"/>
      <c r="AK693" s="234"/>
      <c r="AL693" s="234"/>
      <c r="AM693" s="234"/>
      <c r="AN693" s="234"/>
      <c r="AO693" s="234"/>
      <c r="AP693" s="234"/>
      <c r="AQ693" s="234"/>
      <c r="AR693" s="234"/>
      <c r="AS693" s="234"/>
      <c r="AT693" s="234"/>
      <c r="AU693" s="234"/>
      <c r="AV693" s="234"/>
      <c r="AW693" s="234"/>
      <c r="AX693" s="234"/>
      <c r="AY693" s="234"/>
    </row>
    <row r="694" spans="1:51" ht="24" customHeight="1" x14ac:dyDescent="0.25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  <c r="AB694" s="234"/>
      <c r="AC694" s="234"/>
      <c r="AD694" s="234"/>
      <c r="AE694" s="234"/>
      <c r="AF694" s="234"/>
      <c r="AG694" s="234"/>
      <c r="AH694" s="234"/>
      <c r="AI694" s="234"/>
      <c r="AJ694" s="234"/>
      <c r="AK694" s="234"/>
      <c r="AL694" s="234"/>
      <c r="AM694" s="234"/>
      <c r="AN694" s="234"/>
      <c r="AO694" s="234"/>
      <c r="AP694" s="234"/>
      <c r="AQ694" s="234"/>
      <c r="AR694" s="234"/>
      <c r="AS694" s="234"/>
      <c r="AT694" s="234"/>
      <c r="AU694" s="234"/>
      <c r="AV694" s="234"/>
      <c r="AW694" s="234"/>
      <c r="AX694" s="234"/>
      <c r="AY694" s="234"/>
    </row>
    <row r="695" spans="1:51" ht="24" customHeight="1" x14ac:dyDescent="0.2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  <c r="AB695" s="234"/>
      <c r="AC695" s="234"/>
      <c r="AD695" s="234"/>
      <c r="AE695" s="234"/>
      <c r="AF695" s="234"/>
      <c r="AG695" s="234"/>
      <c r="AH695" s="234"/>
      <c r="AI695" s="234"/>
      <c r="AJ695" s="234"/>
      <c r="AK695" s="234"/>
      <c r="AL695" s="234"/>
      <c r="AM695" s="234"/>
      <c r="AN695" s="234"/>
      <c r="AO695" s="234"/>
      <c r="AP695" s="234"/>
      <c r="AQ695" s="234"/>
      <c r="AR695" s="234"/>
      <c r="AS695" s="234"/>
      <c r="AT695" s="234"/>
      <c r="AU695" s="234"/>
      <c r="AV695" s="234"/>
      <c r="AW695" s="234"/>
      <c r="AX695" s="234"/>
      <c r="AY695" s="234"/>
    </row>
    <row r="696" spans="1:51" ht="24" customHeight="1" x14ac:dyDescent="0.25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  <c r="AB696" s="234"/>
      <c r="AC696" s="234"/>
      <c r="AD696" s="234"/>
      <c r="AE696" s="234"/>
      <c r="AF696" s="234"/>
      <c r="AG696" s="234"/>
      <c r="AH696" s="234"/>
      <c r="AI696" s="234"/>
      <c r="AJ696" s="234"/>
      <c r="AK696" s="234"/>
      <c r="AL696" s="234"/>
      <c r="AM696" s="234"/>
      <c r="AN696" s="234"/>
      <c r="AO696" s="234"/>
      <c r="AP696" s="234"/>
      <c r="AQ696" s="234"/>
      <c r="AR696" s="234"/>
      <c r="AS696" s="234"/>
      <c r="AT696" s="234"/>
      <c r="AU696" s="234"/>
      <c r="AV696" s="234"/>
      <c r="AW696" s="234"/>
      <c r="AX696" s="234"/>
      <c r="AY696" s="234"/>
    </row>
    <row r="697" spans="1:51" ht="24" customHeight="1" x14ac:dyDescent="0.25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  <c r="AB697" s="234"/>
      <c r="AC697" s="234"/>
      <c r="AD697" s="234"/>
      <c r="AE697" s="234"/>
      <c r="AF697" s="234"/>
      <c r="AG697" s="234"/>
      <c r="AH697" s="234"/>
      <c r="AI697" s="234"/>
      <c r="AJ697" s="234"/>
      <c r="AK697" s="234"/>
      <c r="AL697" s="234"/>
      <c r="AM697" s="234"/>
      <c r="AN697" s="234"/>
      <c r="AO697" s="234"/>
      <c r="AP697" s="234"/>
      <c r="AQ697" s="234"/>
      <c r="AR697" s="234"/>
      <c r="AS697" s="234"/>
      <c r="AT697" s="234"/>
      <c r="AU697" s="234"/>
      <c r="AV697" s="234"/>
      <c r="AW697" s="234"/>
      <c r="AX697" s="234"/>
      <c r="AY697" s="234"/>
    </row>
    <row r="698" spans="1:51" ht="24" customHeight="1" x14ac:dyDescent="0.25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  <c r="AB698" s="234"/>
      <c r="AC698" s="234"/>
      <c r="AD698" s="234"/>
      <c r="AE698" s="234"/>
      <c r="AF698" s="234"/>
      <c r="AG698" s="234"/>
      <c r="AH698" s="234"/>
      <c r="AI698" s="234"/>
      <c r="AJ698" s="234"/>
      <c r="AK698" s="234"/>
      <c r="AL698" s="234"/>
      <c r="AM698" s="234"/>
      <c r="AN698" s="234"/>
      <c r="AO698" s="234"/>
      <c r="AP698" s="234"/>
      <c r="AQ698" s="234"/>
      <c r="AR698" s="234"/>
      <c r="AS698" s="234"/>
      <c r="AT698" s="234"/>
      <c r="AU698" s="234"/>
      <c r="AV698" s="234"/>
      <c r="AW698" s="234"/>
      <c r="AX698" s="234"/>
      <c r="AY698" s="234"/>
    </row>
    <row r="699" spans="1:51" ht="24" customHeight="1" x14ac:dyDescent="0.25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  <c r="AB699" s="234"/>
      <c r="AC699" s="234"/>
      <c r="AD699" s="234"/>
      <c r="AE699" s="234"/>
      <c r="AF699" s="234"/>
      <c r="AG699" s="234"/>
      <c r="AH699" s="234"/>
      <c r="AI699" s="234"/>
      <c r="AJ699" s="234"/>
      <c r="AK699" s="234"/>
      <c r="AL699" s="234"/>
      <c r="AM699" s="234"/>
      <c r="AN699" s="234"/>
      <c r="AO699" s="234"/>
      <c r="AP699" s="234"/>
      <c r="AQ699" s="234"/>
      <c r="AR699" s="234"/>
      <c r="AS699" s="234"/>
      <c r="AT699" s="234"/>
      <c r="AU699" s="234"/>
      <c r="AV699" s="234"/>
      <c r="AW699" s="234"/>
      <c r="AX699" s="234"/>
      <c r="AY699" s="234"/>
    </row>
    <row r="700" spans="1:51" ht="24" customHeight="1" x14ac:dyDescent="0.25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  <c r="AB700" s="234"/>
      <c r="AC700" s="234"/>
      <c r="AD700" s="234"/>
      <c r="AE700" s="234"/>
      <c r="AF700" s="234"/>
      <c r="AG700" s="234"/>
      <c r="AH700" s="234"/>
      <c r="AI700" s="234"/>
      <c r="AJ700" s="234"/>
      <c r="AK700" s="234"/>
      <c r="AL700" s="234"/>
      <c r="AM700" s="234"/>
      <c r="AN700" s="234"/>
      <c r="AO700" s="234"/>
      <c r="AP700" s="234"/>
      <c r="AQ700" s="234"/>
      <c r="AR700" s="234"/>
      <c r="AS700" s="234"/>
      <c r="AT700" s="234"/>
      <c r="AU700" s="234"/>
      <c r="AV700" s="234"/>
      <c r="AW700" s="234"/>
      <c r="AX700" s="234"/>
      <c r="AY700" s="234"/>
    </row>
    <row r="701" spans="1:51" ht="24" customHeight="1" x14ac:dyDescent="0.25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  <c r="AB701" s="234"/>
      <c r="AC701" s="234"/>
      <c r="AD701" s="234"/>
      <c r="AE701" s="234"/>
      <c r="AF701" s="234"/>
      <c r="AG701" s="234"/>
      <c r="AH701" s="234"/>
      <c r="AI701" s="234"/>
      <c r="AJ701" s="234"/>
      <c r="AK701" s="234"/>
      <c r="AL701" s="234"/>
      <c r="AM701" s="234"/>
      <c r="AN701" s="234"/>
      <c r="AO701" s="234"/>
      <c r="AP701" s="234"/>
      <c r="AQ701" s="234"/>
      <c r="AR701" s="234"/>
      <c r="AS701" s="234"/>
      <c r="AT701" s="234"/>
      <c r="AU701" s="234"/>
      <c r="AV701" s="234"/>
      <c r="AW701" s="234"/>
      <c r="AX701" s="234"/>
      <c r="AY701" s="234"/>
    </row>
    <row r="702" spans="1:51" ht="24" customHeight="1" x14ac:dyDescent="0.25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  <c r="AB702" s="234"/>
      <c r="AC702" s="234"/>
      <c r="AD702" s="234"/>
      <c r="AE702" s="234"/>
      <c r="AF702" s="234"/>
      <c r="AG702" s="234"/>
      <c r="AH702" s="234"/>
      <c r="AI702" s="234"/>
      <c r="AJ702" s="234"/>
      <c r="AK702" s="234"/>
      <c r="AL702" s="234"/>
      <c r="AM702" s="234"/>
      <c r="AN702" s="234"/>
      <c r="AO702" s="234"/>
      <c r="AP702" s="234"/>
      <c r="AQ702" s="234"/>
      <c r="AR702" s="234"/>
      <c r="AS702" s="234"/>
      <c r="AT702" s="234"/>
      <c r="AU702" s="234"/>
      <c r="AV702" s="234"/>
      <c r="AW702" s="234"/>
      <c r="AX702" s="234"/>
      <c r="AY702" s="234"/>
    </row>
    <row r="703" spans="1:51" ht="24" customHeight="1" x14ac:dyDescent="0.25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  <c r="AB703" s="234"/>
      <c r="AC703" s="234"/>
      <c r="AD703" s="234"/>
      <c r="AE703" s="234"/>
      <c r="AF703" s="234"/>
      <c r="AG703" s="234"/>
      <c r="AH703" s="234"/>
      <c r="AI703" s="234"/>
      <c r="AJ703" s="234"/>
      <c r="AK703" s="234"/>
      <c r="AL703" s="234"/>
      <c r="AM703" s="234"/>
      <c r="AN703" s="234"/>
      <c r="AO703" s="234"/>
      <c r="AP703" s="234"/>
      <c r="AQ703" s="234"/>
      <c r="AR703" s="234"/>
      <c r="AS703" s="234"/>
      <c r="AT703" s="234"/>
      <c r="AU703" s="234"/>
      <c r="AV703" s="234"/>
      <c r="AW703" s="234"/>
      <c r="AX703" s="234"/>
      <c r="AY703" s="234"/>
    </row>
    <row r="704" spans="1:51" ht="24" customHeight="1" x14ac:dyDescent="0.25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  <c r="AB704" s="234"/>
      <c r="AC704" s="234"/>
      <c r="AD704" s="234"/>
      <c r="AE704" s="234"/>
      <c r="AF704" s="234"/>
      <c r="AG704" s="234"/>
      <c r="AH704" s="234"/>
      <c r="AI704" s="234"/>
      <c r="AJ704" s="234"/>
      <c r="AK704" s="234"/>
      <c r="AL704" s="234"/>
      <c r="AM704" s="234"/>
      <c r="AN704" s="234"/>
      <c r="AO704" s="234"/>
      <c r="AP704" s="234"/>
      <c r="AQ704" s="234"/>
      <c r="AR704" s="234"/>
      <c r="AS704" s="234"/>
      <c r="AT704" s="234"/>
      <c r="AU704" s="234"/>
      <c r="AV704" s="234"/>
      <c r="AW704" s="234"/>
      <c r="AX704" s="234"/>
      <c r="AY704" s="234"/>
    </row>
    <row r="705" spans="1:51" ht="24" customHeight="1" x14ac:dyDescent="0.2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  <c r="AB705" s="234"/>
      <c r="AC705" s="234"/>
      <c r="AD705" s="234"/>
      <c r="AE705" s="234"/>
      <c r="AF705" s="234"/>
      <c r="AG705" s="234"/>
      <c r="AH705" s="234"/>
      <c r="AI705" s="234"/>
      <c r="AJ705" s="234"/>
      <c r="AK705" s="234"/>
      <c r="AL705" s="234"/>
      <c r="AM705" s="234"/>
      <c r="AN705" s="234"/>
      <c r="AO705" s="234"/>
      <c r="AP705" s="234"/>
      <c r="AQ705" s="234"/>
      <c r="AR705" s="234"/>
      <c r="AS705" s="234"/>
      <c r="AT705" s="234"/>
      <c r="AU705" s="234"/>
      <c r="AV705" s="234"/>
      <c r="AW705" s="234"/>
      <c r="AX705" s="234"/>
      <c r="AY705" s="234"/>
    </row>
    <row r="706" spans="1:51" ht="24" customHeight="1" x14ac:dyDescent="0.25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  <c r="AB706" s="234"/>
      <c r="AC706" s="234"/>
      <c r="AD706" s="234"/>
      <c r="AE706" s="234"/>
      <c r="AF706" s="234"/>
      <c r="AG706" s="234"/>
      <c r="AH706" s="234"/>
      <c r="AI706" s="234"/>
      <c r="AJ706" s="234"/>
      <c r="AK706" s="234"/>
      <c r="AL706" s="234"/>
      <c r="AM706" s="234"/>
      <c r="AN706" s="234"/>
      <c r="AO706" s="234"/>
      <c r="AP706" s="234"/>
      <c r="AQ706" s="234"/>
      <c r="AR706" s="234"/>
      <c r="AS706" s="234"/>
      <c r="AT706" s="234"/>
      <c r="AU706" s="234"/>
      <c r="AV706" s="234"/>
      <c r="AW706" s="234"/>
      <c r="AX706" s="234"/>
      <c r="AY706" s="234"/>
    </row>
    <row r="707" spans="1:51" ht="24" customHeight="1" x14ac:dyDescent="0.25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  <c r="AB707" s="234"/>
      <c r="AC707" s="234"/>
      <c r="AD707" s="234"/>
      <c r="AE707" s="234"/>
      <c r="AF707" s="234"/>
      <c r="AG707" s="234"/>
      <c r="AH707" s="234"/>
      <c r="AI707" s="234"/>
      <c r="AJ707" s="234"/>
      <c r="AK707" s="234"/>
      <c r="AL707" s="234"/>
      <c r="AM707" s="234"/>
      <c r="AN707" s="234"/>
      <c r="AO707" s="234"/>
      <c r="AP707" s="234"/>
      <c r="AQ707" s="234"/>
      <c r="AR707" s="234"/>
      <c r="AS707" s="234"/>
      <c r="AT707" s="234"/>
      <c r="AU707" s="234"/>
      <c r="AV707" s="234"/>
      <c r="AW707" s="234"/>
      <c r="AX707" s="234"/>
      <c r="AY707" s="234"/>
    </row>
    <row r="708" spans="1:51" ht="24" customHeight="1" x14ac:dyDescent="0.25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  <c r="AB708" s="234"/>
      <c r="AC708" s="234"/>
      <c r="AD708" s="234"/>
      <c r="AE708" s="234"/>
      <c r="AF708" s="234"/>
      <c r="AG708" s="234"/>
      <c r="AH708" s="234"/>
      <c r="AI708" s="234"/>
      <c r="AJ708" s="234"/>
      <c r="AK708" s="234"/>
      <c r="AL708" s="234"/>
      <c r="AM708" s="234"/>
      <c r="AN708" s="234"/>
      <c r="AO708" s="234"/>
      <c r="AP708" s="234"/>
      <c r="AQ708" s="234"/>
      <c r="AR708" s="234"/>
      <c r="AS708" s="234"/>
      <c r="AT708" s="234"/>
      <c r="AU708" s="234"/>
      <c r="AV708" s="234"/>
      <c r="AW708" s="234"/>
      <c r="AX708" s="234"/>
      <c r="AY708" s="234"/>
    </row>
    <row r="709" spans="1:51" ht="24" customHeight="1" x14ac:dyDescent="0.25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  <c r="AB709" s="234"/>
      <c r="AC709" s="234"/>
      <c r="AD709" s="234"/>
      <c r="AE709" s="234"/>
      <c r="AF709" s="234"/>
      <c r="AG709" s="234"/>
      <c r="AH709" s="234"/>
      <c r="AI709" s="234"/>
      <c r="AJ709" s="234"/>
      <c r="AK709" s="234"/>
      <c r="AL709" s="234"/>
      <c r="AM709" s="234"/>
      <c r="AN709" s="234"/>
      <c r="AO709" s="234"/>
      <c r="AP709" s="234"/>
      <c r="AQ709" s="234"/>
      <c r="AR709" s="234"/>
      <c r="AS709" s="234"/>
      <c r="AT709" s="234"/>
      <c r="AU709" s="234"/>
      <c r="AV709" s="234"/>
      <c r="AW709" s="234"/>
      <c r="AX709" s="234"/>
      <c r="AY709" s="234"/>
    </row>
    <row r="710" spans="1:51" ht="24" customHeight="1" x14ac:dyDescent="0.25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  <c r="AB710" s="234"/>
      <c r="AC710" s="234"/>
      <c r="AD710" s="234"/>
      <c r="AE710" s="234"/>
      <c r="AF710" s="234"/>
      <c r="AG710" s="234"/>
      <c r="AH710" s="234"/>
      <c r="AI710" s="234"/>
      <c r="AJ710" s="234"/>
      <c r="AK710" s="234"/>
      <c r="AL710" s="234"/>
      <c r="AM710" s="234"/>
      <c r="AN710" s="234"/>
      <c r="AO710" s="234"/>
      <c r="AP710" s="234"/>
      <c r="AQ710" s="234"/>
      <c r="AR710" s="234"/>
      <c r="AS710" s="234"/>
      <c r="AT710" s="234"/>
      <c r="AU710" s="234"/>
      <c r="AV710" s="234"/>
      <c r="AW710" s="234"/>
      <c r="AX710" s="234"/>
      <c r="AY710" s="234"/>
    </row>
    <row r="711" spans="1:51" ht="24" customHeight="1" x14ac:dyDescent="0.25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  <c r="AB711" s="234"/>
      <c r="AC711" s="234"/>
      <c r="AD711" s="234"/>
      <c r="AE711" s="234"/>
      <c r="AF711" s="234"/>
      <c r="AG711" s="234"/>
      <c r="AH711" s="234"/>
      <c r="AI711" s="234"/>
      <c r="AJ711" s="234"/>
      <c r="AK711" s="234"/>
      <c r="AL711" s="234"/>
      <c r="AM711" s="234"/>
      <c r="AN711" s="234"/>
      <c r="AO711" s="234"/>
      <c r="AP711" s="234"/>
      <c r="AQ711" s="234"/>
      <c r="AR711" s="234"/>
      <c r="AS711" s="234"/>
      <c r="AT711" s="234"/>
      <c r="AU711" s="234"/>
      <c r="AV711" s="234"/>
      <c r="AW711" s="234"/>
      <c r="AX711" s="234"/>
      <c r="AY711" s="234"/>
    </row>
    <row r="712" spans="1:51" ht="24" customHeight="1" x14ac:dyDescent="0.25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  <c r="AB712" s="234"/>
      <c r="AC712" s="234"/>
      <c r="AD712" s="234"/>
      <c r="AE712" s="234"/>
      <c r="AF712" s="234"/>
      <c r="AG712" s="234"/>
      <c r="AH712" s="234"/>
      <c r="AI712" s="234"/>
      <c r="AJ712" s="234"/>
      <c r="AK712" s="234"/>
      <c r="AL712" s="234"/>
      <c r="AM712" s="234"/>
      <c r="AN712" s="234"/>
      <c r="AO712" s="234"/>
      <c r="AP712" s="234"/>
      <c r="AQ712" s="234"/>
      <c r="AR712" s="234"/>
      <c r="AS712" s="234"/>
      <c r="AT712" s="234"/>
      <c r="AU712" s="234"/>
      <c r="AV712" s="234"/>
      <c r="AW712" s="234"/>
      <c r="AX712" s="234"/>
      <c r="AY712" s="234"/>
    </row>
    <row r="713" spans="1:51" ht="24" customHeight="1" x14ac:dyDescent="0.25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  <c r="AB713" s="234"/>
      <c r="AC713" s="234"/>
      <c r="AD713" s="234"/>
      <c r="AE713" s="234"/>
      <c r="AF713" s="234"/>
      <c r="AG713" s="234"/>
      <c r="AH713" s="234"/>
      <c r="AI713" s="234"/>
      <c r="AJ713" s="234"/>
      <c r="AK713" s="234"/>
      <c r="AL713" s="234"/>
      <c r="AM713" s="234"/>
      <c r="AN713" s="234"/>
      <c r="AO713" s="234"/>
      <c r="AP713" s="234"/>
      <c r="AQ713" s="234"/>
      <c r="AR713" s="234"/>
      <c r="AS713" s="234"/>
      <c r="AT713" s="234"/>
      <c r="AU713" s="234"/>
      <c r="AV713" s="234"/>
      <c r="AW713" s="234"/>
      <c r="AX713" s="234"/>
      <c r="AY713" s="234"/>
    </row>
    <row r="714" spans="1:51" ht="24" customHeight="1" x14ac:dyDescent="0.25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  <c r="AB714" s="234"/>
      <c r="AC714" s="234"/>
      <c r="AD714" s="234"/>
      <c r="AE714" s="234"/>
      <c r="AF714" s="234"/>
      <c r="AG714" s="234"/>
      <c r="AH714" s="234"/>
      <c r="AI714" s="234"/>
      <c r="AJ714" s="234"/>
      <c r="AK714" s="234"/>
      <c r="AL714" s="234"/>
      <c r="AM714" s="234"/>
      <c r="AN714" s="234"/>
      <c r="AO714" s="234"/>
      <c r="AP714" s="234"/>
      <c r="AQ714" s="234"/>
      <c r="AR714" s="234"/>
      <c r="AS714" s="234"/>
      <c r="AT714" s="234"/>
      <c r="AU714" s="234"/>
      <c r="AV714" s="234"/>
      <c r="AW714" s="234"/>
      <c r="AX714" s="234"/>
      <c r="AY714" s="234"/>
    </row>
    <row r="715" spans="1:51" ht="24" customHeight="1" x14ac:dyDescent="0.2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  <c r="AB715" s="234"/>
      <c r="AC715" s="234"/>
      <c r="AD715" s="234"/>
      <c r="AE715" s="234"/>
      <c r="AF715" s="234"/>
      <c r="AG715" s="234"/>
      <c r="AH715" s="234"/>
      <c r="AI715" s="234"/>
      <c r="AJ715" s="234"/>
      <c r="AK715" s="234"/>
      <c r="AL715" s="234"/>
      <c r="AM715" s="234"/>
      <c r="AN715" s="234"/>
      <c r="AO715" s="234"/>
      <c r="AP715" s="234"/>
      <c r="AQ715" s="234"/>
      <c r="AR715" s="234"/>
      <c r="AS715" s="234"/>
      <c r="AT715" s="234"/>
      <c r="AU715" s="234"/>
      <c r="AV715" s="234"/>
      <c r="AW715" s="234"/>
      <c r="AX715" s="234"/>
      <c r="AY715" s="234"/>
    </row>
    <row r="716" spans="1:51" ht="24" customHeight="1" x14ac:dyDescent="0.25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  <c r="AB716" s="234"/>
      <c r="AC716" s="234"/>
      <c r="AD716" s="234"/>
      <c r="AE716" s="234"/>
      <c r="AF716" s="234"/>
      <c r="AG716" s="234"/>
      <c r="AH716" s="234"/>
      <c r="AI716" s="234"/>
      <c r="AJ716" s="234"/>
      <c r="AK716" s="234"/>
      <c r="AL716" s="234"/>
      <c r="AM716" s="234"/>
      <c r="AN716" s="234"/>
      <c r="AO716" s="234"/>
      <c r="AP716" s="234"/>
      <c r="AQ716" s="234"/>
      <c r="AR716" s="234"/>
      <c r="AS716" s="234"/>
      <c r="AT716" s="234"/>
      <c r="AU716" s="234"/>
      <c r="AV716" s="234"/>
      <c r="AW716" s="234"/>
      <c r="AX716" s="234"/>
      <c r="AY716" s="234"/>
    </row>
    <row r="717" spans="1:51" ht="24" customHeight="1" x14ac:dyDescent="0.25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  <c r="AB717" s="234"/>
      <c r="AC717" s="234"/>
      <c r="AD717" s="234"/>
      <c r="AE717" s="234"/>
      <c r="AF717" s="234"/>
      <c r="AG717" s="234"/>
      <c r="AH717" s="234"/>
      <c r="AI717" s="234"/>
      <c r="AJ717" s="234"/>
      <c r="AK717" s="234"/>
      <c r="AL717" s="234"/>
      <c r="AM717" s="234"/>
      <c r="AN717" s="234"/>
      <c r="AO717" s="234"/>
      <c r="AP717" s="234"/>
      <c r="AQ717" s="234"/>
      <c r="AR717" s="234"/>
      <c r="AS717" s="234"/>
      <c r="AT717" s="234"/>
      <c r="AU717" s="234"/>
      <c r="AV717" s="234"/>
      <c r="AW717" s="234"/>
      <c r="AX717" s="234"/>
      <c r="AY717" s="234"/>
    </row>
    <row r="718" spans="1:51" ht="24" customHeight="1" x14ac:dyDescent="0.25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  <c r="AB718" s="234"/>
      <c r="AC718" s="234"/>
      <c r="AD718" s="234"/>
      <c r="AE718" s="234"/>
      <c r="AF718" s="234"/>
      <c r="AG718" s="234"/>
      <c r="AH718" s="234"/>
      <c r="AI718" s="234"/>
      <c r="AJ718" s="234"/>
      <c r="AK718" s="234"/>
      <c r="AL718" s="234"/>
      <c r="AM718" s="234"/>
      <c r="AN718" s="234"/>
      <c r="AO718" s="234"/>
      <c r="AP718" s="234"/>
      <c r="AQ718" s="234"/>
      <c r="AR718" s="234"/>
      <c r="AS718" s="234"/>
      <c r="AT718" s="234"/>
      <c r="AU718" s="234"/>
      <c r="AV718" s="234"/>
      <c r="AW718" s="234"/>
      <c r="AX718" s="234"/>
      <c r="AY718" s="234"/>
    </row>
    <row r="719" spans="1:51" ht="24" customHeight="1" x14ac:dyDescent="0.25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  <c r="AB719" s="234"/>
      <c r="AC719" s="234"/>
      <c r="AD719" s="234"/>
      <c r="AE719" s="234"/>
      <c r="AF719" s="234"/>
      <c r="AG719" s="234"/>
      <c r="AH719" s="234"/>
      <c r="AI719" s="234"/>
      <c r="AJ719" s="234"/>
      <c r="AK719" s="234"/>
      <c r="AL719" s="234"/>
      <c r="AM719" s="234"/>
      <c r="AN719" s="234"/>
      <c r="AO719" s="234"/>
      <c r="AP719" s="234"/>
      <c r="AQ719" s="234"/>
      <c r="AR719" s="234"/>
      <c r="AS719" s="234"/>
      <c r="AT719" s="234"/>
      <c r="AU719" s="234"/>
      <c r="AV719" s="234"/>
      <c r="AW719" s="234"/>
      <c r="AX719" s="234"/>
      <c r="AY719" s="234"/>
    </row>
    <row r="720" spans="1:51" ht="24" customHeight="1" x14ac:dyDescent="0.25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  <c r="AB720" s="234"/>
      <c r="AC720" s="234"/>
      <c r="AD720" s="234"/>
      <c r="AE720" s="234"/>
      <c r="AF720" s="234"/>
      <c r="AG720" s="234"/>
      <c r="AH720" s="234"/>
      <c r="AI720" s="234"/>
      <c r="AJ720" s="234"/>
      <c r="AK720" s="234"/>
      <c r="AL720" s="234"/>
      <c r="AM720" s="234"/>
      <c r="AN720" s="234"/>
      <c r="AO720" s="234"/>
      <c r="AP720" s="234"/>
      <c r="AQ720" s="234"/>
      <c r="AR720" s="234"/>
      <c r="AS720" s="234"/>
      <c r="AT720" s="234"/>
      <c r="AU720" s="234"/>
      <c r="AV720" s="234"/>
      <c r="AW720" s="234"/>
      <c r="AX720" s="234"/>
      <c r="AY720" s="234"/>
    </row>
    <row r="721" spans="1:51" ht="24" customHeight="1" x14ac:dyDescent="0.25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  <c r="AB721" s="234"/>
      <c r="AC721" s="234"/>
      <c r="AD721" s="234"/>
      <c r="AE721" s="234"/>
      <c r="AF721" s="234"/>
      <c r="AG721" s="234"/>
      <c r="AH721" s="234"/>
      <c r="AI721" s="234"/>
      <c r="AJ721" s="234"/>
      <c r="AK721" s="234"/>
      <c r="AL721" s="234"/>
      <c r="AM721" s="234"/>
      <c r="AN721" s="234"/>
      <c r="AO721" s="234"/>
      <c r="AP721" s="234"/>
      <c r="AQ721" s="234"/>
      <c r="AR721" s="234"/>
      <c r="AS721" s="234"/>
      <c r="AT721" s="234"/>
      <c r="AU721" s="234"/>
      <c r="AV721" s="234"/>
      <c r="AW721" s="234"/>
      <c r="AX721" s="234"/>
      <c r="AY721" s="234"/>
    </row>
    <row r="722" spans="1:51" ht="24" customHeight="1" x14ac:dyDescent="0.25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  <c r="AB722" s="234"/>
      <c r="AC722" s="234"/>
      <c r="AD722" s="234"/>
      <c r="AE722" s="234"/>
      <c r="AF722" s="234"/>
      <c r="AG722" s="234"/>
      <c r="AH722" s="234"/>
      <c r="AI722" s="234"/>
      <c r="AJ722" s="234"/>
      <c r="AK722" s="234"/>
      <c r="AL722" s="234"/>
      <c r="AM722" s="234"/>
      <c r="AN722" s="234"/>
      <c r="AO722" s="234"/>
      <c r="AP722" s="234"/>
      <c r="AQ722" s="234"/>
      <c r="AR722" s="234"/>
      <c r="AS722" s="234"/>
      <c r="AT722" s="234"/>
      <c r="AU722" s="234"/>
      <c r="AV722" s="234"/>
      <c r="AW722" s="234"/>
      <c r="AX722" s="234"/>
      <c r="AY722" s="234"/>
    </row>
    <row r="723" spans="1:51" ht="24" customHeight="1" x14ac:dyDescent="0.25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  <c r="AB723" s="234"/>
      <c r="AC723" s="234"/>
      <c r="AD723" s="234"/>
      <c r="AE723" s="234"/>
      <c r="AF723" s="234"/>
      <c r="AG723" s="234"/>
      <c r="AH723" s="234"/>
      <c r="AI723" s="234"/>
      <c r="AJ723" s="234"/>
      <c r="AK723" s="234"/>
      <c r="AL723" s="234"/>
      <c r="AM723" s="234"/>
      <c r="AN723" s="234"/>
      <c r="AO723" s="234"/>
      <c r="AP723" s="234"/>
      <c r="AQ723" s="234"/>
      <c r="AR723" s="234"/>
      <c r="AS723" s="234"/>
      <c r="AT723" s="234"/>
      <c r="AU723" s="234"/>
      <c r="AV723" s="234"/>
      <c r="AW723" s="234"/>
      <c r="AX723" s="234"/>
      <c r="AY723" s="234"/>
    </row>
    <row r="724" spans="1:51" ht="24" customHeight="1" x14ac:dyDescent="0.25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  <c r="AB724" s="234"/>
      <c r="AC724" s="234"/>
      <c r="AD724" s="234"/>
      <c r="AE724" s="234"/>
      <c r="AF724" s="234"/>
      <c r="AG724" s="234"/>
      <c r="AH724" s="234"/>
      <c r="AI724" s="234"/>
      <c r="AJ724" s="234"/>
      <c r="AK724" s="234"/>
      <c r="AL724" s="234"/>
      <c r="AM724" s="234"/>
      <c r="AN724" s="234"/>
      <c r="AO724" s="234"/>
      <c r="AP724" s="234"/>
      <c r="AQ724" s="234"/>
      <c r="AR724" s="234"/>
      <c r="AS724" s="234"/>
      <c r="AT724" s="234"/>
      <c r="AU724" s="234"/>
      <c r="AV724" s="234"/>
      <c r="AW724" s="234"/>
      <c r="AX724" s="234"/>
      <c r="AY724" s="234"/>
    </row>
    <row r="725" spans="1:51" ht="24" customHeight="1" x14ac:dyDescent="0.2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  <c r="AB725" s="234"/>
      <c r="AC725" s="234"/>
      <c r="AD725" s="234"/>
      <c r="AE725" s="234"/>
      <c r="AF725" s="234"/>
      <c r="AG725" s="234"/>
      <c r="AH725" s="234"/>
      <c r="AI725" s="234"/>
      <c r="AJ725" s="234"/>
      <c r="AK725" s="234"/>
      <c r="AL725" s="234"/>
      <c r="AM725" s="234"/>
      <c r="AN725" s="234"/>
      <c r="AO725" s="234"/>
      <c r="AP725" s="234"/>
      <c r="AQ725" s="234"/>
      <c r="AR725" s="234"/>
      <c r="AS725" s="234"/>
      <c r="AT725" s="234"/>
      <c r="AU725" s="234"/>
      <c r="AV725" s="234"/>
      <c r="AW725" s="234"/>
      <c r="AX725" s="234"/>
      <c r="AY725" s="234"/>
    </row>
    <row r="726" spans="1:51" ht="24" customHeight="1" x14ac:dyDescent="0.25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  <c r="AB726" s="234"/>
      <c r="AC726" s="234"/>
      <c r="AD726" s="234"/>
      <c r="AE726" s="234"/>
      <c r="AF726" s="234"/>
      <c r="AG726" s="234"/>
      <c r="AH726" s="234"/>
      <c r="AI726" s="234"/>
      <c r="AJ726" s="234"/>
      <c r="AK726" s="234"/>
      <c r="AL726" s="234"/>
      <c r="AM726" s="234"/>
      <c r="AN726" s="234"/>
      <c r="AO726" s="234"/>
      <c r="AP726" s="234"/>
      <c r="AQ726" s="234"/>
      <c r="AR726" s="234"/>
      <c r="AS726" s="234"/>
      <c r="AT726" s="234"/>
      <c r="AU726" s="234"/>
      <c r="AV726" s="234"/>
      <c r="AW726" s="234"/>
      <c r="AX726" s="234"/>
      <c r="AY726" s="234"/>
    </row>
    <row r="727" spans="1:51" ht="24" customHeight="1" x14ac:dyDescent="0.25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  <c r="AB727" s="234"/>
      <c r="AC727" s="234"/>
      <c r="AD727" s="234"/>
      <c r="AE727" s="234"/>
      <c r="AF727" s="234"/>
      <c r="AG727" s="234"/>
      <c r="AH727" s="234"/>
      <c r="AI727" s="234"/>
      <c r="AJ727" s="234"/>
      <c r="AK727" s="234"/>
      <c r="AL727" s="234"/>
      <c r="AM727" s="234"/>
      <c r="AN727" s="234"/>
      <c r="AO727" s="234"/>
      <c r="AP727" s="234"/>
      <c r="AQ727" s="234"/>
      <c r="AR727" s="234"/>
      <c r="AS727" s="234"/>
      <c r="AT727" s="234"/>
      <c r="AU727" s="234"/>
      <c r="AV727" s="234"/>
      <c r="AW727" s="234"/>
      <c r="AX727" s="234"/>
      <c r="AY727" s="234"/>
    </row>
    <row r="728" spans="1:51" ht="24" customHeight="1" x14ac:dyDescent="0.25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  <c r="AB728" s="234"/>
      <c r="AC728" s="234"/>
      <c r="AD728" s="234"/>
      <c r="AE728" s="234"/>
      <c r="AF728" s="234"/>
      <c r="AG728" s="234"/>
      <c r="AH728" s="234"/>
      <c r="AI728" s="234"/>
      <c r="AJ728" s="234"/>
      <c r="AK728" s="234"/>
      <c r="AL728" s="234"/>
      <c r="AM728" s="234"/>
      <c r="AN728" s="234"/>
      <c r="AO728" s="234"/>
      <c r="AP728" s="234"/>
      <c r="AQ728" s="234"/>
      <c r="AR728" s="234"/>
      <c r="AS728" s="234"/>
      <c r="AT728" s="234"/>
      <c r="AU728" s="234"/>
      <c r="AV728" s="234"/>
      <c r="AW728" s="234"/>
      <c r="AX728" s="234"/>
      <c r="AY728" s="234"/>
    </row>
    <row r="729" spans="1:51" ht="24" customHeight="1" x14ac:dyDescent="0.25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  <c r="AB729" s="234"/>
      <c r="AC729" s="234"/>
      <c r="AD729" s="234"/>
      <c r="AE729" s="234"/>
      <c r="AF729" s="234"/>
      <c r="AG729" s="234"/>
      <c r="AH729" s="234"/>
      <c r="AI729" s="234"/>
      <c r="AJ729" s="234"/>
      <c r="AK729" s="234"/>
      <c r="AL729" s="234"/>
      <c r="AM729" s="234"/>
      <c r="AN729" s="234"/>
      <c r="AO729" s="234"/>
      <c r="AP729" s="234"/>
      <c r="AQ729" s="234"/>
      <c r="AR729" s="234"/>
      <c r="AS729" s="234"/>
      <c r="AT729" s="234"/>
      <c r="AU729" s="234"/>
      <c r="AV729" s="234"/>
      <c r="AW729" s="234"/>
      <c r="AX729" s="234"/>
      <c r="AY729" s="234"/>
    </row>
    <row r="730" spans="1:51" ht="24" customHeight="1" x14ac:dyDescent="0.25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  <c r="AB730" s="234"/>
      <c r="AC730" s="234"/>
      <c r="AD730" s="234"/>
      <c r="AE730" s="234"/>
      <c r="AF730" s="234"/>
      <c r="AG730" s="234"/>
      <c r="AH730" s="234"/>
      <c r="AI730" s="234"/>
      <c r="AJ730" s="234"/>
      <c r="AK730" s="234"/>
      <c r="AL730" s="234"/>
      <c r="AM730" s="234"/>
      <c r="AN730" s="234"/>
      <c r="AO730" s="234"/>
      <c r="AP730" s="234"/>
      <c r="AQ730" s="234"/>
      <c r="AR730" s="234"/>
      <c r="AS730" s="234"/>
      <c r="AT730" s="234"/>
      <c r="AU730" s="234"/>
      <c r="AV730" s="234"/>
      <c r="AW730" s="234"/>
      <c r="AX730" s="234"/>
      <c r="AY730" s="234"/>
    </row>
    <row r="731" spans="1:51" ht="24" customHeight="1" x14ac:dyDescent="0.25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  <c r="AB731" s="234"/>
      <c r="AC731" s="234"/>
      <c r="AD731" s="234"/>
      <c r="AE731" s="234"/>
      <c r="AF731" s="234"/>
      <c r="AG731" s="234"/>
      <c r="AH731" s="234"/>
      <c r="AI731" s="234"/>
      <c r="AJ731" s="234"/>
      <c r="AK731" s="234"/>
      <c r="AL731" s="234"/>
      <c r="AM731" s="234"/>
      <c r="AN731" s="234"/>
      <c r="AO731" s="234"/>
      <c r="AP731" s="234"/>
      <c r="AQ731" s="234"/>
      <c r="AR731" s="234"/>
      <c r="AS731" s="234"/>
      <c r="AT731" s="234"/>
      <c r="AU731" s="234"/>
      <c r="AV731" s="234"/>
      <c r="AW731" s="234"/>
      <c r="AX731" s="234"/>
      <c r="AY731" s="234"/>
    </row>
    <row r="732" spans="1:51" ht="24" customHeight="1" x14ac:dyDescent="0.25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  <c r="AB732" s="234"/>
      <c r="AC732" s="234"/>
      <c r="AD732" s="234"/>
      <c r="AE732" s="234"/>
      <c r="AF732" s="234"/>
      <c r="AG732" s="234"/>
      <c r="AH732" s="234"/>
      <c r="AI732" s="234"/>
      <c r="AJ732" s="234"/>
      <c r="AK732" s="234"/>
      <c r="AL732" s="234"/>
      <c r="AM732" s="234"/>
      <c r="AN732" s="234"/>
      <c r="AO732" s="234"/>
      <c r="AP732" s="234"/>
      <c r="AQ732" s="234"/>
      <c r="AR732" s="234"/>
      <c r="AS732" s="234"/>
      <c r="AT732" s="234"/>
      <c r="AU732" s="234"/>
      <c r="AV732" s="234"/>
      <c r="AW732" s="234"/>
      <c r="AX732" s="234"/>
      <c r="AY732" s="234"/>
    </row>
    <row r="733" spans="1:51" ht="24" customHeight="1" x14ac:dyDescent="0.25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  <c r="AB733" s="234"/>
      <c r="AC733" s="234"/>
      <c r="AD733" s="234"/>
      <c r="AE733" s="234"/>
      <c r="AF733" s="234"/>
      <c r="AG733" s="234"/>
      <c r="AH733" s="234"/>
      <c r="AI733" s="234"/>
      <c r="AJ733" s="234"/>
      <c r="AK733" s="234"/>
      <c r="AL733" s="234"/>
      <c r="AM733" s="234"/>
      <c r="AN733" s="234"/>
      <c r="AO733" s="234"/>
      <c r="AP733" s="234"/>
      <c r="AQ733" s="234"/>
      <c r="AR733" s="234"/>
      <c r="AS733" s="234"/>
      <c r="AT733" s="234"/>
      <c r="AU733" s="234"/>
      <c r="AV733" s="234"/>
      <c r="AW733" s="234"/>
      <c r="AX733" s="234"/>
      <c r="AY733" s="234"/>
    </row>
    <row r="734" spans="1:51" ht="24" customHeight="1" x14ac:dyDescent="0.25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  <c r="AB734" s="234"/>
      <c r="AC734" s="234"/>
      <c r="AD734" s="234"/>
      <c r="AE734" s="234"/>
      <c r="AF734" s="234"/>
      <c r="AG734" s="234"/>
      <c r="AH734" s="234"/>
      <c r="AI734" s="234"/>
      <c r="AJ734" s="234"/>
      <c r="AK734" s="234"/>
      <c r="AL734" s="234"/>
      <c r="AM734" s="234"/>
      <c r="AN734" s="234"/>
      <c r="AO734" s="234"/>
      <c r="AP734" s="234"/>
      <c r="AQ734" s="234"/>
      <c r="AR734" s="234"/>
      <c r="AS734" s="234"/>
      <c r="AT734" s="234"/>
      <c r="AU734" s="234"/>
      <c r="AV734" s="234"/>
      <c r="AW734" s="234"/>
      <c r="AX734" s="234"/>
      <c r="AY734" s="234"/>
    </row>
    <row r="735" spans="1:51" ht="24" customHeight="1" x14ac:dyDescent="0.2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  <c r="AB735" s="234"/>
      <c r="AC735" s="234"/>
      <c r="AD735" s="234"/>
      <c r="AE735" s="234"/>
      <c r="AF735" s="234"/>
      <c r="AG735" s="234"/>
      <c r="AH735" s="234"/>
      <c r="AI735" s="234"/>
      <c r="AJ735" s="234"/>
      <c r="AK735" s="234"/>
      <c r="AL735" s="234"/>
      <c r="AM735" s="234"/>
      <c r="AN735" s="234"/>
      <c r="AO735" s="234"/>
      <c r="AP735" s="234"/>
      <c r="AQ735" s="234"/>
      <c r="AR735" s="234"/>
      <c r="AS735" s="234"/>
      <c r="AT735" s="234"/>
      <c r="AU735" s="234"/>
      <c r="AV735" s="234"/>
      <c r="AW735" s="234"/>
      <c r="AX735" s="234"/>
      <c r="AY735" s="234"/>
    </row>
    <row r="736" spans="1:51" ht="24" customHeight="1" x14ac:dyDescent="0.25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  <c r="AB736" s="234"/>
      <c r="AC736" s="234"/>
      <c r="AD736" s="234"/>
      <c r="AE736" s="234"/>
      <c r="AF736" s="234"/>
      <c r="AG736" s="234"/>
      <c r="AH736" s="234"/>
      <c r="AI736" s="234"/>
      <c r="AJ736" s="234"/>
      <c r="AK736" s="234"/>
      <c r="AL736" s="234"/>
      <c r="AM736" s="234"/>
      <c r="AN736" s="234"/>
      <c r="AO736" s="234"/>
      <c r="AP736" s="234"/>
      <c r="AQ736" s="234"/>
      <c r="AR736" s="234"/>
      <c r="AS736" s="234"/>
      <c r="AT736" s="234"/>
      <c r="AU736" s="234"/>
      <c r="AV736" s="234"/>
      <c r="AW736" s="234"/>
      <c r="AX736" s="234"/>
      <c r="AY736" s="234"/>
    </row>
    <row r="737" spans="1:51" ht="24" customHeight="1" x14ac:dyDescent="0.25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  <c r="AB737" s="234"/>
      <c r="AC737" s="234"/>
      <c r="AD737" s="234"/>
      <c r="AE737" s="234"/>
      <c r="AF737" s="234"/>
      <c r="AG737" s="234"/>
      <c r="AH737" s="234"/>
      <c r="AI737" s="234"/>
      <c r="AJ737" s="234"/>
      <c r="AK737" s="234"/>
      <c r="AL737" s="234"/>
      <c r="AM737" s="234"/>
      <c r="AN737" s="234"/>
      <c r="AO737" s="234"/>
      <c r="AP737" s="234"/>
      <c r="AQ737" s="234"/>
      <c r="AR737" s="234"/>
      <c r="AS737" s="234"/>
      <c r="AT737" s="234"/>
      <c r="AU737" s="234"/>
      <c r="AV737" s="234"/>
      <c r="AW737" s="234"/>
      <c r="AX737" s="234"/>
      <c r="AY737" s="234"/>
    </row>
    <row r="738" spans="1:51" ht="24" customHeight="1" x14ac:dyDescent="0.25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  <c r="AB738" s="234"/>
      <c r="AC738" s="234"/>
      <c r="AD738" s="234"/>
      <c r="AE738" s="234"/>
      <c r="AF738" s="234"/>
      <c r="AG738" s="234"/>
      <c r="AH738" s="234"/>
      <c r="AI738" s="234"/>
      <c r="AJ738" s="234"/>
      <c r="AK738" s="234"/>
      <c r="AL738" s="234"/>
      <c r="AM738" s="234"/>
      <c r="AN738" s="234"/>
      <c r="AO738" s="234"/>
      <c r="AP738" s="234"/>
      <c r="AQ738" s="234"/>
      <c r="AR738" s="234"/>
      <c r="AS738" s="234"/>
      <c r="AT738" s="234"/>
      <c r="AU738" s="234"/>
      <c r="AV738" s="234"/>
      <c r="AW738" s="234"/>
      <c r="AX738" s="234"/>
      <c r="AY738" s="234"/>
    </row>
    <row r="739" spans="1:51" ht="24" customHeight="1" x14ac:dyDescent="0.25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  <c r="AB739" s="234"/>
      <c r="AC739" s="234"/>
      <c r="AD739" s="234"/>
      <c r="AE739" s="234"/>
      <c r="AF739" s="234"/>
      <c r="AG739" s="234"/>
      <c r="AH739" s="234"/>
      <c r="AI739" s="234"/>
      <c r="AJ739" s="234"/>
      <c r="AK739" s="234"/>
      <c r="AL739" s="234"/>
      <c r="AM739" s="234"/>
      <c r="AN739" s="234"/>
      <c r="AO739" s="234"/>
      <c r="AP739" s="234"/>
      <c r="AQ739" s="234"/>
      <c r="AR739" s="234"/>
      <c r="AS739" s="234"/>
      <c r="AT739" s="234"/>
      <c r="AU739" s="234"/>
      <c r="AV739" s="234"/>
      <c r="AW739" s="234"/>
      <c r="AX739" s="234"/>
      <c r="AY739" s="234"/>
    </row>
    <row r="740" spans="1:51" ht="24" customHeight="1" x14ac:dyDescent="0.25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  <c r="AB740" s="234"/>
      <c r="AC740" s="234"/>
      <c r="AD740" s="234"/>
      <c r="AE740" s="234"/>
      <c r="AF740" s="234"/>
      <c r="AG740" s="234"/>
      <c r="AH740" s="234"/>
      <c r="AI740" s="234"/>
      <c r="AJ740" s="234"/>
      <c r="AK740" s="234"/>
      <c r="AL740" s="234"/>
      <c r="AM740" s="234"/>
      <c r="AN740" s="234"/>
      <c r="AO740" s="234"/>
      <c r="AP740" s="234"/>
      <c r="AQ740" s="234"/>
      <c r="AR740" s="234"/>
      <c r="AS740" s="234"/>
      <c r="AT740" s="234"/>
      <c r="AU740" s="234"/>
      <c r="AV740" s="234"/>
      <c r="AW740" s="234"/>
      <c r="AX740" s="234"/>
      <c r="AY740" s="234"/>
    </row>
    <row r="741" spans="1:51" ht="24" customHeight="1" x14ac:dyDescent="0.25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  <c r="AB741" s="234"/>
      <c r="AC741" s="234"/>
      <c r="AD741" s="234"/>
      <c r="AE741" s="234"/>
      <c r="AF741" s="234"/>
      <c r="AG741" s="234"/>
      <c r="AH741" s="234"/>
      <c r="AI741" s="234"/>
      <c r="AJ741" s="234"/>
      <c r="AK741" s="234"/>
      <c r="AL741" s="234"/>
      <c r="AM741" s="234"/>
      <c r="AN741" s="234"/>
      <c r="AO741" s="234"/>
      <c r="AP741" s="234"/>
      <c r="AQ741" s="234"/>
      <c r="AR741" s="234"/>
      <c r="AS741" s="234"/>
      <c r="AT741" s="234"/>
      <c r="AU741" s="234"/>
      <c r="AV741" s="234"/>
      <c r="AW741" s="234"/>
      <c r="AX741" s="234"/>
      <c r="AY741" s="234"/>
    </row>
    <row r="742" spans="1:51" ht="24" customHeight="1" x14ac:dyDescent="0.25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  <c r="AB742" s="234"/>
      <c r="AC742" s="234"/>
      <c r="AD742" s="234"/>
      <c r="AE742" s="234"/>
      <c r="AF742" s="234"/>
      <c r="AG742" s="234"/>
      <c r="AH742" s="234"/>
      <c r="AI742" s="234"/>
      <c r="AJ742" s="234"/>
      <c r="AK742" s="234"/>
      <c r="AL742" s="234"/>
      <c r="AM742" s="234"/>
      <c r="AN742" s="234"/>
      <c r="AO742" s="234"/>
      <c r="AP742" s="234"/>
      <c r="AQ742" s="234"/>
      <c r="AR742" s="234"/>
      <c r="AS742" s="234"/>
      <c r="AT742" s="234"/>
      <c r="AU742" s="234"/>
      <c r="AV742" s="234"/>
      <c r="AW742" s="234"/>
      <c r="AX742" s="234"/>
      <c r="AY742" s="234"/>
    </row>
    <row r="743" spans="1:51" ht="24" customHeight="1" x14ac:dyDescent="0.25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  <c r="AB743" s="234"/>
      <c r="AC743" s="234"/>
      <c r="AD743" s="234"/>
      <c r="AE743" s="234"/>
      <c r="AF743" s="234"/>
      <c r="AG743" s="234"/>
      <c r="AH743" s="234"/>
      <c r="AI743" s="234"/>
      <c r="AJ743" s="234"/>
      <c r="AK743" s="234"/>
      <c r="AL743" s="234"/>
      <c r="AM743" s="234"/>
      <c r="AN743" s="234"/>
      <c r="AO743" s="234"/>
      <c r="AP743" s="234"/>
      <c r="AQ743" s="234"/>
      <c r="AR743" s="234"/>
      <c r="AS743" s="234"/>
      <c r="AT743" s="234"/>
      <c r="AU743" s="234"/>
      <c r="AV743" s="234"/>
      <c r="AW743" s="234"/>
      <c r="AX743" s="234"/>
      <c r="AY743" s="234"/>
    </row>
    <row r="744" spans="1:51" ht="24" customHeight="1" x14ac:dyDescent="0.25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  <c r="AB744" s="234"/>
      <c r="AC744" s="234"/>
      <c r="AD744" s="234"/>
      <c r="AE744" s="234"/>
      <c r="AF744" s="234"/>
      <c r="AG744" s="234"/>
      <c r="AH744" s="234"/>
      <c r="AI744" s="234"/>
      <c r="AJ744" s="234"/>
      <c r="AK744" s="234"/>
      <c r="AL744" s="234"/>
      <c r="AM744" s="234"/>
      <c r="AN744" s="234"/>
      <c r="AO744" s="234"/>
      <c r="AP744" s="234"/>
      <c r="AQ744" s="234"/>
      <c r="AR744" s="234"/>
      <c r="AS744" s="234"/>
      <c r="AT744" s="234"/>
      <c r="AU744" s="234"/>
      <c r="AV744" s="234"/>
      <c r="AW744" s="234"/>
      <c r="AX744" s="234"/>
      <c r="AY744" s="234"/>
    </row>
    <row r="745" spans="1:51" ht="24" customHeight="1" x14ac:dyDescent="0.2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  <c r="AB745" s="234"/>
      <c r="AC745" s="234"/>
      <c r="AD745" s="234"/>
      <c r="AE745" s="234"/>
      <c r="AF745" s="234"/>
      <c r="AG745" s="234"/>
      <c r="AH745" s="234"/>
      <c r="AI745" s="234"/>
      <c r="AJ745" s="234"/>
      <c r="AK745" s="234"/>
      <c r="AL745" s="234"/>
      <c r="AM745" s="234"/>
      <c r="AN745" s="234"/>
      <c r="AO745" s="234"/>
      <c r="AP745" s="234"/>
      <c r="AQ745" s="234"/>
      <c r="AR745" s="234"/>
      <c r="AS745" s="234"/>
      <c r="AT745" s="234"/>
      <c r="AU745" s="234"/>
      <c r="AV745" s="234"/>
      <c r="AW745" s="234"/>
      <c r="AX745" s="234"/>
      <c r="AY745" s="234"/>
    </row>
    <row r="746" spans="1:51" ht="24" customHeight="1" x14ac:dyDescent="0.25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  <c r="AB746" s="234"/>
      <c r="AC746" s="234"/>
      <c r="AD746" s="234"/>
      <c r="AE746" s="234"/>
      <c r="AF746" s="234"/>
      <c r="AG746" s="234"/>
      <c r="AH746" s="234"/>
      <c r="AI746" s="234"/>
      <c r="AJ746" s="234"/>
      <c r="AK746" s="234"/>
      <c r="AL746" s="234"/>
      <c r="AM746" s="234"/>
      <c r="AN746" s="234"/>
      <c r="AO746" s="234"/>
      <c r="AP746" s="234"/>
      <c r="AQ746" s="234"/>
      <c r="AR746" s="234"/>
      <c r="AS746" s="234"/>
      <c r="AT746" s="234"/>
      <c r="AU746" s="234"/>
      <c r="AV746" s="234"/>
      <c r="AW746" s="234"/>
      <c r="AX746" s="234"/>
      <c r="AY746" s="234"/>
    </row>
    <row r="747" spans="1:51" ht="24" customHeight="1" x14ac:dyDescent="0.25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  <c r="AB747" s="234"/>
      <c r="AC747" s="234"/>
      <c r="AD747" s="234"/>
      <c r="AE747" s="234"/>
      <c r="AF747" s="234"/>
      <c r="AG747" s="234"/>
      <c r="AH747" s="234"/>
      <c r="AI747" s="234"/>
      <c r="AJ747" s="234"/>
      <c r="AK747" s="234"/>
      <c r="AL747" s="234"/>
      <c r="AM747" s="234"/>
      <c r="AN747" s="234"/>
      <c r="AO747" s="234"/>
      <c r="AP747" s="234"/>
      <c r="AQ747" s="234"/>
      <c r="AR747" s="234"/>
      <c r="AS747" s="234"/>
      <c r="AT747" s="234"/>
      <c r="AU747" s="234"/>
      <c r="AV747" s="234"/>
      <c r="AW747" s="234"/>
      <c r="AX747" s="234"/>
      <c r="AY747" s="234"/>
    </row>
    <row r="748" spans="1:51" ht="24" customHeight="1" x14ac:dyDescent="0.25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  <c r="AB748" s="234"/>
      <c r="AC748" s="234"/>
      <c r="AD748" s="234"/>
      <c r="AE748" s="234"/>
      <c r="AF748" s="234"/>
      <c r="AG748" s="234"/>
      <c r="AH748" s="234"/>
      <c r="AI748" s="234"/>
      <c r="AJ748" s="234"/>
      <c r="AK748" s="234"/>
      <c r="AL748" s="234"/>
      <c r="AM748" s="234"/>
      <c r="AN748" s="234"/>
      <c r="AO748" s="234"/>
      <c r="AP748" s="234"/>
      <c r="AQ748" s="234"/>
      <c r="AR748" s="234"/>
      <c r="AS748" s="234"/>
      <c r="AT748" s="234"/>
      <c r="AU748" s="234"/>
      <c r="AV748" s="234"/>
      <c r="AW748" s="234"/>
      <c r="AX748" s="234"/>
      <c r="AY748" s="234"/>
    </row>
    <row r="749" spans="1:51" ht="24" customHeight="1" x14ac:dyDescent="0.25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  <c r="AB749" s="234"/>
      <c r="AC749" s="234"/>
      <c r="AD749" s="234"/>
      <c r="AE749" s="234"/>
      <c r="AF749" s="234"/>
      <c r="AG749" s="234"/>
      <c r="AH749" s="234"/>
      <c r="AI749" s="234"/>
      <c r="AJ749" s="234"/>
      <c r="AK749" s="234"/>
      <c r="AL749" s="234"/>
      <c r="AM749" s="234"/>
      <c r="AN749" s="234"/>
      <c r="AO749" s="234"/>
      <c r="AP749" s="234"/>
      <c r="AQ749" s="234"/>
      <c r="AR749" s="234"/>
      <c r="AS749" s="234"/>
      <c r="AT749" s="234"/>
      <c r="AU749" s="234"/>
      <c r="AV749" s="234"/>
      <c r="AW749" s="234"/>
      <c r="AX749" s="234"/>
      <c r="AY749" s="234"/>
    </row>
    <row r="750" spans="1:51" ht="24" customHeight="1" x14ac:dyDescent="0.25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  <c r="AB750" s="234"/>
      <c r="AC750" s="234"/>
      <c r="AD750" s="234"/>
      <c r="AE750" s="234"/>
      <c r="AF750" s="234"/>
      <c r="AG750" s="234"/>
      <c r="AH750" s="234"/>
      <c r="AI750" s="234"/>
      <c r="AJ750" s="234"/>
      <c r="AK750" s="234"/>
      <c r="AL750" s="234"/>
      <c r="AM750" s="234"/>
      <c r="AN750" s="234"/>
      <c r="AO750" s="234"/>
      <c r="AP750" s="234"/>
      <c r="AQ750" s="234"/>
      <c r="AR750" s="234"/>
      <c r="AS750" s="234"/>
      <c r="AT750" s="234"/>
      <c r="AU750" s="234"/>
      <c r="AV750" s="234"/>
      <c r="AW750" s="234"/>
      <c r="AX750" s="234"/>
      <c r="AY750" s="234"/>
    </row>
    <row r="751" spans="1:51" ht="24" customHeight="1" x14ac:dyDescent="0.25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  <c r="AB751" s="234"/>
      <c r="AC751" s="234"/>
      <c r="AD751" s="234"/>
      <c r="AE751" s="234"/>
      <c r="AF751" s="234"/>
      <c r="AG751" s="234"/>
      <c r="AH751" s="234"/>
      <c r="AI751" s="234"/>
      <c r="AJ751" s="234"/>
      <c r="AK751" s="234"/>
      <c r="AL751" s="234"/>
      <c r="AM751" s="234"/>
      <c r="AN751" s="234"/>
      <c r="AO751" s="234"/>
      <c r="AP751" s="234"/>
      <c r="AQ751" s="234"/>
      <c r="AR751" s="234"/>
      <c r="AS751" s="234"/>
      <c r="AT751" s="234"/>
      <c r="AU751" s="234"/>
      <c r="AV751" s="234"/>
      <c r="AW751" s="234"/>
      <c r="AX751" s="234"/>
      <c r="AY751" s="234"/>
    </row>
    <row r="752" spans="1:51" ht="24" customHeight="1" x14ac:dyDescent="0.25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  <c r="AB752" s="234"/>
      <c r="AC752" s="234"/>
      <c r="AD752" s="234"/>
      <c r="AE752" s="234"/>
      <c r="AF752" s="234"/>
      <c r="AG752" s="234"/>
      <c r="AH752" s="234"/>
      <c r="AI752" s="234"/>
      <c r="AJ752" s="234"/>
      <c r="AK752" s="234"/>
      <c r="AL752" s="234"/>
      <c r="AM752" s="234"/>
      <c r="AN752" s="234"/>
      <c r="AO752" s="234"/>
      <c r="AP752" s="234"/>
      <c r="AQ752" s="234"/>
      <c r="AR752" s="234"/>
      <c r="AS752" s="234"/>
      <c r="AT752" s="234"/>
      <c r="AU752" s="234"/>
      <c r="AV752" s="234"/>
      <c r="AW752" s="234"/>
      <c r="AX752" s="234"/>
      <c r="AY752" s="234"/>
    </row>
    <row r="753" spans="1:51" ht="24" customHeight="1" x14ac:dyDescent="0.25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  <c r="AB753" s="234"/>
      <c r="AC753" s="234"/>
      <c r="AD753" s="234"/>
      <c r="AE753" s="234"/>
      <c r="AF753" s="234"/>
      <c r="AG753" s="234"/>
      <c r="AH753" s="234"/>
      <c r="AI753" s="234"/>
      <c r="AJ753" s="234"/>
      <c r="AK753" s="234"/>
      <c r="AL753" s="234"/>
      <c r="AM753" s="234"/>
      <c r="AN753" s="234"/>
      <c r="AO753" s="234"/>
      <c r="AP753" s="234"/>
      <c r="AQ753" s="234"/>
      <c r="AR753" s="234"/>
      <c r="AS753" s="234"/>
      <c r="AT753" s="234"/>
      <c r="AU753" s="234"/>
      <c r="AV753" s="234"/>
      <c r="AW753" s="234"/>
      <c r="AX753" s="234"/>
      <c r="AY753" s="234"/>
    </row>
    <row r="754" spans="1:51" ht="24" customHeight="1" x14ac:dyDescent="0.25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  <c r="AB754" s="234"/>
      <c r="AC754" s="234"/>
      <c r="AD754" s="234"/>
      <c r="AE754" s="234"/>
      <c r="AF754" s="234"/>
      <c r="AG754" s="234"/>
      <c r="AH754" s="234"/>
      <c r="AI754" s="234"/>
      <c r="AJ754" s="234"/>
      <c r="AK754" s="234"/>
      <c r="AL754" s="234"/>
      <c r="AM754" s="234"/>
      <c r="AN754" s="234"/>
      <c r="AO754" s="234"/>
      <c r="AP754" s="234"/>
      <c r="AQ754" s="234"/>
      <c r="AR754" s="234"/>
      <c r="AS754" s="234"/>
      <c r="AT754" s="234"/>
      <c r="AU754" s="234"/>
      <c r="AV754" s="234"/>
      <c r="AW754" s="234"/>
      <c r="AX754" s="234"/>
      <c r="AY754" s="234"/>
    </row>
    <row r="755" spans="1:51" ht="24" customHeight="1" x14ac:dyDescent="0.2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  <c r="AB755" s="234"/>
      <c r="AC755" s="234"/>
      <c r="AD755" s="234"/>
      <c r="AE755" s="234"/>
      <c r="AF755" s="234"/>
      <c r="AG755" s="234"/>
      <c r="AH755" s="234"/>
      <c r="AI755" s="234"/>
      <c r="AJ755" s="234"/>
      <c r="AK755" s="234"/>
      <c r="AL755" s="234"/>
      <c r="AM755" s="234"/>
      <c r="AN755" s="234"/>
      <c r="AO755" s="234"/>
      <c r="AP755" s="234"/>
      <c r="AQ755" s="234"/>
      <c r="AR755" s="234"/>
      <c r="AS755" s="234"/>
      <c r="AT755" s="234"/>
      <c r="AU755" s="234"/>
      <c r="AV755" s="234"/>
      <c r="AW755" s="234"/>
      <c r="AX755" s="234"/>
      <c r="AY755" s="234"/>
    </row>
    <row r="756" spans="1:51" ht="24" customHeight="1" x14ac:dyDescent="0.25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  <c r="AB756" s="234"/>
      <c r="AC756" s="234"/>
      <c r="AD756" s="234"/>
      <c r="AE756" s="234"/>
      <c r="AF756" s="234"/>
      <c r="AG756" s="234"/>
      <c r="AH756" s="234"/>
      <c r="AI756" s="234"/>
      <c r="AJ756" s="234"/>
      <c r="AK756" s="234"/>
      <c r="AL756" s="234"/>
      <c r="AM756" s="234"/>
      <c r="AN756" s="234"/>
      <c r="AO756" s="234"/>
      <c r="AP756" s="234"/>
      <c r="AQ756" s="234"/>
      <c r="AR756" s="234"/>
      <c r="AS756" s="234"/>
      <c r="AT756" s="234"/>
      <c r="AU756" s="234"/>
      <c r="AV756" s="234"/>
      <c r="AW756" s="234"/>
      <c r="AX756" s="234"/>
      <c r="AY756" s="234"/>
    </row>
    <row r="757" spans="1:51" ht="24" customHeight="1" x14ac:dyDescent="0.25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  <c r="AB757" s="234"/>
      <c r="AC757" s="234"/>
      <c r="AD757" s="234"/>
      <c r="AE757" s="234"/>
      <c r="AF757" s="234"/>
      <c r="AG757" s="234"/>
      <c r="AH757" s="234"/>
      <c r="AI757" s="234"/>
      <c r="AJ757" s="234"/>
      <c r="AK757" s="234"/>
      <c r="AL757" s="234"/>
      <c r="AM757" s="234"/>
      <c r="AN757" s="234"/>
      <c r="AO757" s="234"/>
      <c r="AP757" s="234"/>
      <c r="AQ757" s="234"/>
      <c r="AR757" s="234"/>
      <c r="AS757" s="234"/>
      <c r="AT757" s="234"/>
      <c r="AU757" s="234"/>
      <c r="AV757" s="234"/>
      <c r="AW757" s="234"/>
      <c r="AX757" s="234"/>
      <c r="AY757" s="234"/>
    </row>
    <row r="758" spans="1:51" ht="24" customHeight="1" x14ac:dyDescent="0.25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  <c r="AB758" s="234"/>
      <c r="AC758" s="234"/>
      <c r="AD758" s="234"/>
      <c r="AE758" s="234"/>
      <c r="AF758" s="234"/>
      <c r="AG758" s="234"/>
      <c r="AH758" s="234"/>
      <c r="AI758" s="234"/>
      <c r="AJ758" s="234"/>
      <c r="AK758" s="234"/>
      <c r="AL758" s="234"/>
      <c r="AM758" s="234"/>
      <c r="AN758" s="234"/>
      <c r="AO758" s="234"/>
      <c r="AP758" s="234"/>
      <c r="AQ758" s="234"/>
      <c r="AR758" s="234"/>
      <c r="AS758" s="234"/>
      <c r="AT758" s="234"/>
      <c r="AU758" s="234"/>
      <c r="AV758" s="234"/>
      <c r="AW758" s="234"/>
      <c r="AX758" s="234"/>
      <c r="AY758" s="234"/>
    </row>
    <row r="759" spans="1:51" ht="24" customHeight="1" x14ac:dyDescent="0.25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  <c r="AB759" s="234"/>
      <c r="AC759" s="234"/>
      <c r="AD759" s="234"/>
      <c r="AE759" s="234"/>
      <c r="AF759" s="234"/>
      <c r="AG759" s="234"/>
      <c r="AH759" s="234"/>
      <c r="AI759" s="234"/>
      <c r="AJ759" s="234"/>
      <c r="AK759" s="234"/>
      <c r="AL759" s="234"/>
      <c r="AM759" s="234"/>
      <c r="AN759" s="234"/>
      <c r="AO759" s="234"/>
      <c r="AP759" s="234"/>
      <c r="AQ759" s="234"/>
      <c r="AR759" s="234"/>
      <c r="AS759" s="234"/>
      <c r="AT759" s="234"/>
      <c r="AU759" s="234"/>
      <c r="AV759" s="234"/>
      <c r="AW759" s="234"/>
      <c r="AX759" s="234"/>
      <c r="AY759" s="234"/>
    </row>
    <row r="760" spans="1:51" ht="24" customHeight="1" x14ac:dyDescent="0.25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  <c r="AB760" s="234"/>
      <c r="AC760" s="234"/>
      <c r="AD760" s="234"/>
      <c r="AE760" s="234"/>
      <c r="AF760" s="234"/>
      <c r="AG760" s="234"/>
      <c r="AH760" s="234"/>
      <c r="AI760" s="234"/>
      <c r="AJ760" s="234"/>
      <c r="AK760" s="234"/>
      <c r="AL760" s="234"/>
      <c r="AM760" s="234"/>
      <c r="AN760" s="234"/>
      <c r="AO760" s="234"/>
      <c r="AP760" s="234"/>
      <c r="AQ760" s="234"/>
      <c r="AR760" s="234"/>
      <c r="AS760" s="234"/>
      <c r="AT760" s="234"/>
      <c r="AU760" s="234"/>
      <c r="AV760" s="234"/>
      <c r="AW760" s="234"/>
      <c r="AX760" s="234"/>
      <c r="AY760" s="234"/>
    </row>
    <row r="761" spans="1:51" ht="24" customHeight="1" x14ac:dyDescent="0.25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  <c r="AB761" s="234"/>
      <c r="AC761" s="234"/>
      <c r="AD761" s="234"/>
      <c r="AE761" s="234"/>
      <c r="AF761" s="234"/>
      <c r="AG761" s="234"/>
      <c r="AH761" s="234"/>
      <c r="AI761" s="234"/>
      <c r="AJ761" s="234"/>
      <c r="AK761" s="234"/>
      <c r="AL761" s="234"/>
      <c r="AM761" s="234"/>
      <c r="AN761" s="234"/>
      <c r="AO761" s="234"/>
      <c r="AP761" s="234"/>
      <c r="AQ761" s="234"/>
      <c r="AR761" s="234"/>
      <c r="AS761" s="234"/>
      <c r="AT761" s="234"/>
      <c r="AU761" s="234"/>
      <c r="AV761" s="234"/>
      <c r="AW761" s="234"/>
      <c r="AX761" s="234"/>
      <c r="AY761" s="234"/>
    </row>
    <row r="762" spans="1:51" ht="24" customHeight="1" x14ac:dyDescent="0.25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  <c r="AB762" s="234"/>
      <c r="AC762" s="234"/>
      <c r="AD762" s="234"/>
      <c r="AE762" s="234"/>
      <c r="AF762" s="234"/>
      <c r="AG762" s="234"/>
      <c r="AH762" s="234"/>
      <c r="AI762" s="234"/>
      <c r="AJ762" s="234"/>
      <c r="AK762" s="234"/>
      <c r="AL762" s="234"/>
      <c r="AM762" s="234"/>
      <c r="AN762" s="234"/>
      <c r="AO762" s="234"/>
      <c r="AP762" s="234"/>
      <c r="AQ762" s="234"/>
      <c r="AR762" s="234"/>
      <c r="AS762" s="234"/>
      <c r="AT762" s="234"/>
      <c r="AU762" s="234"/>
      <c r="AV762" s="234"/>
      <c r="AW762" s="234"/>
      <c r="AX762" s="234"/>
      <c r="AY762" s="234"/>
    </row>
    <row r="763" spans="1:51" ht="24" customHeight="1" x14ac:dyDescent="0.25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  <c r="AB763" s="234"/>
      <c r="AC763" s="234"/>
      <c r="AD763" s="234"/>
      <c r="AE763" s="234"/>
      <c r="AF763" s="234"/>
      <c r="AG763" s="234"/>
      <c r="AH763" s="234"/>
      <c r="AI763" s="234"/>
      <c r="AJ763" s="234"/>
      <c r="AK763" s="234"/>
      <c r="AL763" s="234"/>
      <c r="AM763" s="234"/>
      <c r="AN763" s="234"/>
      <c r="AO763" s="234"/>
      <c r="AP763" s="234"/>
      <c r="AQ763" s="234"/>
      <c r="AR763" s="234"/>
      <c r="AS763" s="234"/>
      <c r="AT763" s="234"/>
      <c r="AU763" s="234"/>
      <c r="AV763" s="234"/>
      <c r="AW763" s="234"/>
      <c r="AX763" s="234"/>
      <c r="AY763" s="234"/>
    </row>
    <row r="764" spans="1:51" ht="24" customHeight="1" x14ac:dyDescent="0.25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  <c r="AB764" s="234"/>
      <c r="AC764" s="234"/>
      <c r="AD764" s="234"/>
      <c r="AE764" s="234"/>
      <c r="AF764" s="234"/>
      <c r="AG764" s="234"/>
      <c r="AH764" s="234"/>
      <c r="AI764" s="234"/>
      <c r="AJ764" s="234"/>
      <c r="AK764" s="234"/>
      <c r="AL764" s="234"/>
      <c r="AM764" s="234"/>
      <c r="AN764" s="234"/>
      <c r="AO764" s="234"/>
      <c r="AP764" s="234"/>
      <c r="AQ764" s="234"/>
      <c r="AR764" s="234"/>
      <c r="AS764" s="234"/>
      <c r="AT764" s="234"/>
      <c r="AU764" s="234"/>
      <c r="AV764" s="234"/>
      <c r="AW764" s="234"/>
      <c r="AX764" s="234"/>
      <c r="AY764" s="234"/>
    </row>
    <row r="765" spans="1:51" ht="24" customHeight="1" x14ac:dyDescent="0.2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  <c r="AB765" s="234"/>
      <c r="AC765" s="234"/>
      <c r="AD765" s="234"/>
      <c r="AE765" s="234"/>
      <c r="AF765" s="234"/>
      <c r="AG765" s="234"/>
      <c r="AH765" s="234"/>
      <c r="AI765" s="234"/>
      <c r="AJ765" s="234"/>
      <c r="AK765" s="234"/>
      <c r="AL765" s="234"/>
      <c r="AM765" s="234"/>
      <c r="AN765" s="234"/>
      <c r="AO765" s="234"/>
      <c r="AP765" s="234"/>
      <c r="AQ765" s="234"/>
      <c r="AR765" s="234"/>
      <c r="AS765" s="234"/>
      <c r="AT765" s="234"/>
      <c r="AU765" s="234"/>
      <c r="AV765" s="234"/>
      <c r="AW765" s="234"/>
      <c r="AX765" s="234"/>
      <c r="AY765" s="234"/>
    </row>
    <row r="766" spans="1:51" ht="24" customHeight="1" x14ac:dyDescent="0.25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  <c r="AB766" s="234"/>
      <c r="AC766" s="234"/>
      <c r="AD766" s="234"/>
      <c r="AE766" s="234"/>
      <c r="AF766" s="234"/>
      <c r="AG766" s="234"/>
      <c r="AH766" s="234"/>
      <c r="AI766" s="234"/>
      <c r="AJ766" s="234"/>
      <c r="AK766" s="234"/>
      <c r="AL766" s="234"/>
      <c r="AM766" s="234"/>
      <c r="AN766" s="234"/>
      <c r="AO766" s="234"/>
      <c r="AP766" s="234"/>
      <c r="AQ766" s="234"/>
      <c r="AR766" s="234"/>
      <c r="AS766" s="234"/>
      <c r="AT766" s="234"/>
      <c r="AU766" s="234"/>
      <c r="AV766" s="234"/>
      <c r="AW766" s="234"/>
      <c r="AX766" s="234"/>
      <c r="AY766" s="234"/>
    </row>
    <row r="767" spans="1:51" ht="24" customHeight="1" x14ac:dyDescent="0.25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  <c r="AB767" s="234"/>
      <c r="AC767" s="234"/>
      <c r="AD767" s="234"/>
      <c r="AE767" s="234"/>
      <c r="AF767" s="234"/>
      <c r="AG767" s="234"/>
      <c r="AH767" s="234"/>
      <c r="AI767" s="234"/>
      <c r="AJ767" s="234"/>
      <c r="AK767" s="234"/>
      <c r="AL767" s="234"/>
      <c r="AM767" s="234"/>
      <c r="AN767" s="234"/>
      <c r="AO767" s="234"/>
      <c r="AP767" s="234"/>
      <c r="AQ767" s="234"/>
      <c r="AR767" s="234"/>
      <c r="AS767" s="234"/>
      <c r="AT767" s="234"/>
      <c r="AU767" s="234"/>
      <c r="AV767" s="234"/>
      <c r="AW767" s="234"/>
      <c r="AX767" s="234"/>
      <c r="AY767" s="234"/>
    </row>
    <row r="768" spans="1:51" ht="24" customHeight="1" x14ac:dyDescent="0.25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  <c r="AB768" s="234"/>
      <c r="AC768" s="234"/>
      <c r="AD768" s="234"/>
      <c r="AE768" s="234"/>
      <c r="AF768" s="234"/>
      <c r="AG768" s="234"/>
      <c r="AH768" s="234"/>
      <c r="AI768" s="234"/>
      <c r="AJ768" s="234"/>
      <c r="AK768" s="234"/>
      <c r="AL768" s="234"/>
      <c r="AM768" s="234"/>
      <c r="AN768" s="234"/>
      <c r="AO768" s="234"/>
      <c r="AP768" s="234"/>
      <c r="AQ768" s="234"/>
      <c r="AR768" s="234"/>
      <c r="AS768" s="234"/>
      <c r="AT768" s="234"/>
      <c r="AU768" s="234"/>
      <c r="AV768" s="234"/>
      <c r="AW768" s="234"/>
      <c r="AX768" s="234"/>
      <c r="AY768" s="234"/>
    </row>
    <row r="769" spans="1:51" ht="24" customHeight="1" x14ac:dyDescent="0.25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  <c r="AB769" s="234"/>
      <c r="AC769" s="234"/>
      <c r="AD769" s="234"/>
      <c r="AE769" s="234"/>
      <c r="AF769" s="234"/>
      <c r="AG769" s="234"/>
      <c r="AH769" s="234"/>
      <c r="AI769" s="234"/>
      <c r="AJ769" s="234"/>
      <c r="AK769" s="234"/>
      <c r="AL769" s="234"/>
      <c r="AM769" s="234"/>
      <c r="AN769" s="234"/>
      <c r="AO769" s="234"/>
      <c r="AP769" s="234"/>
      <c r="AQ769" s="234"/>
      <c r="AR769" s="234"/>
      <c r="AS769" s="234"/>
      <c r="AT769" s="234"/>
      <c r="AU769" s="234"/>
      <c r="AV769" s="234"/>
      <c r="AW769" s="234"/>
      <c r="AX769" s="234"/>
      <c r="AY769" s="234"/>
    </row>
    <row r="770" spans="1:51" ht="24" customHeight="1" x14ac:dyDescent="0.25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  <c r="AB770" s="234"/>
      <c r="AC770" s="234"/>
      <c r="AD770" s="234"/>
      <c r="AE770" s="234"/>
      <c r="AF770" s="234"/>
      <c r="AG770" s="234"/>
      <c r="AH770" s="234"/>
      <c r="AI770" s="234"/>
      <c r="AJ770" s="234"/>
      <c r="AK770" s="234"/>
      <c r="AL770" s="234"/>
      <c r="AM770" s="234"/>
      <c r="AN770" s="234"/>
      <c r="AO770" s="234"/>
      <c r="AP770" s="234"/>
      <c r="AQ770" s="234"/>
      <c r="AR770" s="234"/>
      <c r="AS770" s="234"/>
      <c r="AT770" s="234"/>
      <c r="AU770" s="234"/>
      <c r="AV770" s="234"/>
      <c r="AW770" s="234"/>
      <c r="AX770" s="234"/>
      <c r="AY770" s="234"/>
    </row>
    <row r="771" spans="1:51" ht="24" customHeight="1" x14ac:dyDescent="0.25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  <c r="AB771" s="234"/>
      <c r="AC771" s="234"/>
      <c r="AD771" s="234"/>
      <c r="AE771" s="234"/>
      <c r="AF771" s="234"/>
      <c r="AG771" s="234"/>
      <c r="AH771" s="234"/>
      <c r="AI771" s="234"/>
      <c r="AJ771" s="234"/>
      <c r="AK771" s="234"/>
      <c r="AL771" s="234"/>
      <c r="AM771" s="234"/>
      <c r="AN771" s="234"/>
      <c r="AO771" s="234"/>
      <c r="AP771" s="234"/>
      <c r="AQ771" s="234"/>
      <c r="AR771" s="234"/>
      <c r="AS771" s="234"/>
      <c r="AT771" s="234"/>
      <c r="AU771" s="234"/>
      <c r="AV771" s="234"/>
      <c r="AW771" s="234"/>
      <c r="AX771" s="234"/>
      <c r="AY771" s="234"/>
    </row>
    <row r="772" spans="1:51" ht="24" customHeight="1" x14ac:dyDescent="0.25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  <c r="AB772" s="234"/>
      <c r="AC772" s="234"/>
      <c r="AD772" s="234"/>
      <c r="AE772" s="234"/>
      <c r="AF772" s="234"/>
      <c r="AG772" s="234"/>
      <c r="AH772" s="234"/>
      <c r="AI772" s="234"/>
      <c r="AJ772" s="234"/>
      <c r="AK772" s="234"/>
      <c r="AL772" s="234"/>
      <c r="AM772" s="234"/>
      <c r="AN772" s="234"/>
      <c r="AO772" s="234"/>
      <c r="AP772" s="234"/>
      <c r="AQ772" s="234"/>
      <c r="AR772" s="234"/>
      <c r="AS772" s="234"/>
      <c r="AT772" s="234"/>
      <c r="AU772" s="234"/>
      <c r="AV772" s="234"/>
      <c r="AW772" s="234"/>
      <c r="AX772" s="234"/>
      <c r="AY772" s="234"/>
    </row>
    <row r="773" spans="1:51" ht="24" customHeight="1" x14ac:dyDescent="0.25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  <c r="AB773" s="234"/>
      <c r="AC773" s="234"/>
      <c r="AD773" s="234"/>
      <c r="AE773" s="234"/>
      <c r="AF773" s="234"/>
      <c r="AG773" s="234"/>
      <c r="AH773" s="234"/>
      <c r="AI773" s="234"/>
      <c r="AJ773" s="234"/>
      <c r="AK773" s="234"/>
      <c r="AL773" s="234"/>
      <c r="AM773" s="234"/>
      <c r="AN773" s="234"/>
      <c r="AO773" s="234"/>
      <c r="AP773" s="234"/>
      <c r="AQ773" s="234"/>
      <c r="AR773" s="234"/>
      <c r="AS773" s="234"/>
      <c r="AT773" s="234"/>
      <c r="AU773" s="234"/>
      <c r="AV773" s="234"/>
      <c r="AW773" s="234"/>
      <c r="AX773" s="234"/>
      <c r="AY773" s="234"/>
    </row>
    <row r="774" spans="1:51" ht="24" customHeight="1" x14ac:dyDescent="0.25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  <c r="AB774" s="234"/>
      <c r="AC774" s="234"/>
      <c r="AD774" s="234"/>
      <c r="AE774" s="234"/>
      <c r="AF774" s="234"/>
      <c r="AG774" s="234"/>
      <c r="AH774" s="234"/>
      <c r="AI774" s="234"/>
      <c r="AJ774" s="234"/>
      <c r="AK774" s="234"/>
      <c r="AL774" s="234"/>
      <c r="AM774" s="234"/>
      <c r="AN774" s="234"/>
      <c r="AO774" s="234"/>
      <c r="AP774" s="234"/>
      <c r="AQ774" s="234"/>
      <c r="AR774" s="234"/>
      <c r="AS774" s="234"/>
      <c r="AT774" s="234"/>
      <c r="AU774" s="234"/>
      <c r="AV774" s="234"/>
      <c r="AW774" s="234"/>
      <c r="AX774" s="234"/>
      <c r="AY774" s="234"/>
    </row>
    <row r="775" spans="1:51" ht="24" customHeight="1" x14ac:dyDescent="0.2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  <c r="AB775" s="234"/>
      <c r="AC775" s="234"/>
      <c r="AD775" s="234"/>
      <c r="AE775" s="234"/>
      <c r="AF775" s="234"/>
      <c r="AG775" s="234"/>
      <c r="AH775" s="234"/>
      <c r="AI775" s="234"/>
      <c r="AJ775" s="234"/>
      <c r="AK775" s="234"/>
      <c r="AL775" s="234"/>
      <c r="AM775" s="234"/>
      <c r="AN775" s="234"/>
      <c r="AO775" s="234"/>
      <c r="AP775" s="234"/>
      <c r="AQ775" s="234"/>
      <c r="AR775" s="234"/>
      <c r="AS775" s="234"/>
      <c r="AT775" s="234"/>
      <c r="AU775" s="234"/>
      <c r="AV775" s="234"/>
      <c r="AW775" s="234"/>
      <c r="AX775" s="234"/>
      <c r="AY775" s="234"/>
    </row>
    <row r="776" spans="1:51" ht="24" customHeight="1" x14ac:dyDescent="0.25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  <c r="AB776" s="234"/>
      <c r="AC776" s="234"/>
      <c r="AD776" s="234"/>
      <c r="AE776" s="234"/>
      <c r="AF776" s="234"/>
      <c r="AG776" s="234"/>
      <c r="AH776" s="234"/>
      <c r="AI776" s="234"/>
      <c r="AJ776" s="234"/>
      <c r="AK776" s="234"/>
      <c r="AL776" s="234"/>
      <c r="AM776" s="234"/>
      <c r="AN776" s="234"/>
      <c r="AO776" s="234"/>
      <c r="AP776" s="234"/>
      <c r="AQ776" s="234"/>
      <c r="AR776" s="234"/>
      <c r="AS776" s="234"/>
      <c r="AT776" s="234"/>
      <c r="AU776" s="234"/>
      <c r="AV776" s="234"/>
      <c r="AW776" s="234"/>
      <c r="AX776" s="234"/>
      <c r="AY776" s="234"/>
    </row>
    <row r="777" spans="1:51" ht="24" customHeight="1" x14ac:dyDescent="0.25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  <c r="AB777" s="234"/>
      <c r="AC777" s="234"/>
      <c r="AD777" s="234"/>
      <c r="AE777" s="234"/>
      <c r="AF777" s="234"/>
      <c r="AG777" s="234"/>
      <c r="AH777" s="234"/>
      <c r="AI777" s="234"/>
      <c r="AJ777" s="234"/>
      <c r="AK777" s="234"/>
      <c r="AL777" s="234"/>
      <c r="AM777" s="234"/>
      <c r="AN777" s="234"/>
      <c r="AO777" s="234"/>
      <c r="AP777" s="234"/>
      <c r="AQ777" s="234"/>
      <c r="AR777" s="234"/>
      <c r="AS777" s="234"/>
      <c r="AT777" s="234"/>
      <c r="AU777" s="234"/>
      <c r="AV777" s="234"/>
      <c r="AW777" s="234"/>
      <c r="AX777" s="234"/>
      <c r="AY777" s="234"/>
    </row>
    <row r="778" spans="1:51" ht="24" customHeight="1" x14ac:dyDescent="0.25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  <c r="AB778" s="234"/>
      <c r="AC778" s="234"/>
      <c r="AD778" s="234"/>
      <c r="AE778" s="234"/>
      <c r="AF778" s="234"/>
      <c r="AG778" s="234"/>
      <c r="AH778" s="234"/>
      <c r="AI778" s="234"/>
      <c r="AJ778" s="234"/>
      <c r="AK778" s="234"/>
      <c r="AL778" s="234"/>
      <c r="AM778" s="234"/>
      <c r="AN778" s="234"/>
      <c r="AO778" s="234"/>
      <c r="AP778" s="234"/>
      <c r="AQ778" s="234"/>
      <c r="AR778" s="234"/>
      <c r="AS778" s="234"/>
      <c r="AT778" s="234"/>
      <c r="AU778" s="234"/>
      <c r="AV778" s="234"/>
      <c r="AW778" s="234"/>
      <c r="AX778" s="234"/>
      <c r="AY778" s="234"/>
    </row>
    <row r="779" spans="1:51" ht="24" customHeight="1" x14ac:dyDescent="0.25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  <c r="AB779" s="234"/>
      <c r="AC779" s="234"/>
      <c r="AD779" s="234"/>
      <c r="AE779" s="234"/>
      <c r="AF779" s="234"/>
      <c r="AG779" s="234"/>
      <c r="AH779" s="234"/>
      <c r="AI779" s="234"/>
      <c r="AJ779" s="234"/>
      <c r="AK779" s="234"/>
      <c r="AL779" s="234"/>
      <c r="AM779" s="234"/>
      <c r="AN779" s="234"/>
      <c r="AO779" s="234"/>
      <c r="AP779" s="234"/>
      <c r="AQ779" s="234"/>
      <c r="AR779" s="234"/>
      <c r="AS779" s="234"/>
      <c r="AT779" s="234"/>
      <c r="AU779" s="234"/>
      <c r="AV779" s="234"/>
      <c r="AW779" s="234"/>
      <c r="AX779" s="234"/>
      <c r="AY779" s="234"/>
    </row>
    <row r="780" spans="1:51" ht="24" customHeight="1" x14ac:dyDescent="0.25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  <c r="AB780" s="234"/>
      <c r="AC780" s="234"/>
      <c r="AD780" s="234"/>
      <c r="AE780" s="234"/>
      <c r="AF780" s="234"/>
      <c r="AG780" s="234"/>
      <c r="AH780" s="234"/>
      <c r="AI780" s="234"/>
      <c r="AJ780" s="234"/>
      <c r="AK780" s="234"/>
      <c r="AL780" s="234"/>
      <c r="AM780" s="234"/>
      <c r="AN780" s="234"/>
      <c r="AO780" s="234"/>
      <c r="AP780" s="234"/>
      <c r="AQ780" s="234"/>
      <c r="AR780" s="234"/>
      <c r="AS780" s="234"/>
      <c r="AT780" s="234"/>
      <c r="AU780" s="234"/>
      <c r="AV780" s="234"/>
      <c r="AW780" s="234"/>
      <c r="AX780" s="234"/>
      <c r="AY780" s="234"/>
    </row>
    <row r="781" spans="1:51" ht="24" customHeight="1" x14ac:dyDescent="0.25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  <c r="AB781" s="234"/>
      <c r="AC781" s="234"/>
      <c r="AD781" s="234"/>
      <c r="AE781" s="234"/>
      <c r="AF781" s="234"/>
      <c r="AG781" s="234"/>
      <c r="AH781" s="234"/>
      <c r="AI781" s="234"/>
      <c r="AJ781" s="234"/>
      <c r="AK781" s="234"/>
      <c r="AL781" s="234"/>
      <c r="AM781" s="234"/>
      <c r="AN781" s="234"/>
      <c r="AO781" s="234"/>
      <c r="AP781" s="234"/>
      <c r="AQ781" s="234"/>
      <c r="AR781" s="234"/>
      <c r="AS781" s="234"/>
      <c r="AT781" s="234"/>
      <c r="AU781" s="234"/>
      <c r="AV781" s="234"/>
      <c r="AW781" s="234"/>
      <c r="AX781" s="234"/>
      <c r="AY781" s="234"/>
    </row>
    <row r="782" spans="1:51" ht="24" customHeight="1" x14ac:dyDescent="0.25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  <c r="AB782" s="234"/>
      <c r="AC782" s="234"/>
      <c r="AD782" s="234"/>
      <c r="AE782" s="234"/>
      <c r="AF782" s="234"/>
      <c r="AG782" s="234"/>
      <c r="AH782" s="234"/>
      <c r="AI782" s="234"/>
      <c r="AJ782" s="234"/>
      <c r="AK782" s="234"/>
      <c r="AL782" s="234"/>
      <c r="AM782" s="234"/>
      <c r="AN782" s="234"/>
      <c r="AO782" s="234"/>
      <c r="AP782" s="234"/>
      <c r="AQ782" s="234"/>
      <c r="AR782" s="234"/>
      <c r="AS782" s="234"/>
      <c r="AT782" s="234"/>
      <c r="AU782" s="234"/>
      <c r="AV782" s="234"/>
      <c r="AW782" s="234"/>
      <c r="AX782" s="234"/>
      <c r="AY782" s="234"/>
    </row>
    <row r="783" spans="1:51" ht="24" customHeight="1" x14ac:dyDescent="0.25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  <c r="AB783" s="234"/>
      <c r="AC783" s="234"/>
      <c r="AD783" s="234"/>
      <c r="AE783" s="234"/>
      <c r="AF783" s="234"/>
      <c r="AG783" s="234"/>
      <c r="AH783" s="234"/>
      <c r="AI783" s="234"/>
      <c r="AJ783" s="234"/>
      <c r="AK783" s="234"/>
      <c r="AL783" s="234"/>
      <c r="AM783" s="234"/>
      <c r="AN783" s="234"/>
      <c r="AO783" s="234"/>
      <c r="AP783" s="234"/>
      <c r="AQ783" s="234"/>
      <c r="AR783" s="234"/>
      <c r="AS783" s="234"/>
      <c r="AT783" s="234"/>
      <c r="AU783" s="234"/>
      <c r="AV783" s="234"/>
      <c r="AW783" s="234"/>
      <c r="AX783" s="234"/>
      <c r="AY783" s="234"/>
    </row>
    <row r="784" spans="1:51" ht="24" customHeight="1" x14ac:dyDescent="0.25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  <c r="AB784" s="234"/>
      <c r="AC784" s="234"/>
      <c r="AD784" s="234"/>
      <c r="AE784" s="234"/>
      <c r="AF784" s="234"/>
      <c r="AG784" s="234"/>
      <c r="AH784" s="234"/>
      <c r="AI784" s="234"/>
      <c r="AJ784" s="234"/>
      <c r="AK784" s="234"/>
      <c r="AL784" s="234"/>
      <c r="AM784" s="234"/>
      <c r="AN784" s="234"/>
      <c r="AO784" s="234"/>
      <c r="AP784" s="234"/>
      <c r="AQ784" s="234"/>
      <c r="AR784" s="234"/>
      <c r="AS784" s="234"/>
      <c r="AT784" s="234"/>
      <c r="AU784" s="234"/>
      <c r="AV784" s="234"/>
      <c r="AW784" s="234"/>
      <c r="AX784" s="234"/>
      <c r="AY784" s="234"/>
    </row>
    <row r="785" spans="1:51" ht="24" customHeight="1" x14ac:dyDescent="0.2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  <c r="AB785" s="234"/>
      <c r="AC785" s="234"/>
      <c r="AD785" s="234"/>
      <c r="AE785" s="234"/>
      <c r="AF785" s="234"/>
      <c r="AG785" s="234"/>
      <c r="AH785" s="234"/>
      <c r="AI785" s="234"/>
      <c r="AJ785" s="234"/>
      <c r="AK785" s="234"/>
      <c r="AL785" s="234"/>
      <c r="AM785" s="234"/>
      <c r="AN785" s="234"/>
      <c r="AO785" s="234"/>
      <c r="AP785" s="234"/>
      <c r="AQ785" s="234"/>
      <c r="AR785" s="234"/>
      <c r="AS785" s="234"/>
      <c r="AT785" s="234"/>
      <c r="AU785" s="234"/>
      <c r="AV785" s="234"/>
      <c r="AW785" s="234"/>
      <c r="AX785" s="234"/>
      <c r="AY785" s="234"/>
    </row>
    <row r="786" spans="1:51" ht="24" customHeight="1" x14ac:dyDescent="0.25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  <c r="AB786" s="234"/>
      <c r="AC786" s="234"/>
      <c r="AD786" s="234"/>
      <c r="AE786" s="234"/>
      <c r="AF786" s="234"/>
      <c r="AG786" s="234"/>
      <c r="AH786" s="234"/>
      <c r="AI786" s="234"/>
      <c r="AJ786" s="234"/>
      <c r="AK786" s="234"/>
      <c r="AL786" s="234"/>
      <c r="AM786" s="234"/>
      <c r="AN786" s="234"/>
      <c r="AO786" s="234"/>
      <c r="AP786" s="234"/>
      <c r="AQ786" s="234"/>
      <c r="AR786" s="234"/>
      <c r="AS786" s="234"/>
      <c r="AT786" s="234"/>
      <c r="AU786" s="234"/>
      <c r="AV786" s="234"/>
      <c r="AW786" s="234"/>
      <c r="AX786" s="234"/>
      <c r="AY786" s="234"/>
    </row>
    <row r="787" spans="1:51" ht="24" customHeight="1" x14ac:dyDescent="0.25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  <c r="AB787" s="234"/>
      <c r="AC787" s="234"/>
      <c r="AD787" s="234"/>
      <c r="AE787" s="234"/>
      <c r="AF787" s="234"/>
      <c r="AG787" s="234"/>
      <c r="AH787" s="234"/>
      <c r="AI787" s="234"/>
      <c r="AJ787" s="234"/>
      <c r="AK787" s="234"/>
      <c r="AL787" s="234"/>
      <c r="AM787" s="234"/>
      <c r="AN787" s="234"/>
      <c r="AO787" s="234"/>
      <c r="AP787" s="234"/>
      <c r="AQ787" s="234"/>
      <c r="AR787" s="234"/>
      <c r="AS787" s="234"/>
      <c r="AT787" s="234"/>
      <c r="AU787" s="234"/>
      <c r="AV787" s="234"/>
      <c r="AW787" s="234"/>
      <c r="AX787" s="234"/>
      <c r="AY787" s="234"/>
    </row>
    <row r="788" spans="1:51" ht="24" customHeight="1" x14ac:dyDescent="0.25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  <c r="AB788" s="234"/>
      <c r="AC788" s="234"/>
      <c r="AD788" s="234"/>
      <c r="AE788" s="234"/>
      <c r="AF788" s="234"/>
      <c r="AG788" s="234"/>
      <c r="AH788" s="234"/>
      <c r="AI788" s="234"/>
      <c r="AJ788" s="234"/>
      <c r="AK788" s="234"/>
      <c r="AL788" s="234"/>
      <c r="AM788" s="234"/>
      <c r="AN788" s="234"/>
      <c r="AO788" s="234"/>
      <c r="AP788" s="234"/>
      <c r="AQ788" s="234"/>
      <c r="AR788" s="234"/>
      <c r="AS788" s="234"/>
      <c r="AT788" s="234"/>
      <c r="AU788" s="234"/>
      <c r="AV788" s="234"/>
      <c r="AW788" s="234"/>
      <c r="AX788" s="234"/>
      <c r="AY788" s="234"/>
    </row>
    <row r="789" spans="1:51" ht="24" customHeight="1" x14ac:dyDescent="0.25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  <c r="AB789" s="234"/>
      <c r="AC789" s="234"/>
      <c r="AD789" s="234"/>
      <c r="AE789" s="234"/>
      <c r="AF789" s="234"/>
      <c r="AG789" s="234"/>
      <c r="AH789" s="234"/>
      <c r="AI789" s="234"/>
      <c r="AJ789" s="234"/>
      <c r="AK789" s="234"/>
      <c r="AL789" s="234"/>
      <c r="AM789" s="234"/>
      <c r="AN789" s="234"/>
      <c r="AO789" s="234"/>
      <c r="AP789" s="234"/>
      <c r="AQ789" s="234"/>
      <c r="AR789" s="234"/>
      <c r="AS789" s="234"/>
      <c r="AT789" s="234"/>
      <c r="AU789" s="234"/>
      <c r="AV789" s="234"/>
      <c r="AW789" s="234"/>
      <c r="AX789" s="234"/>
      <c r="AY789" s="234"/>
    </row>
    <row r="790" spans="1:51" ht="24" customHeight="1" x14ac:dyDescent="0.25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  <c r="AB790" s="234"/>
      <c r="AC790" s="234"/>
      <c r="AD790" s="234"/>
      <c r="AE790" s="234"/>
      <c r="AF790" s="234"/>
      <c r="AG790" s="234"/>
      <c r="AH790" s="234"/>
      <c r="AI790" s="234"/>
      <c r="AJ790" s="234"/>
      <c r="AK790" s="234"/>
      <c r="AL790" s="234"/>
      <c r="AM790" s="234"/>
      <c r="AN790" s="234"/>
      <c r="AO790" s="234"/>
      <c r="AP790" s="234"/>
      <c r="AQ790" s="234"/>
      <c r="AR790" s="234"/>
      <c r="AS790" s="234"/>
      <c r="AT790" s="234"/>
      <c r="AU790" s="234"/>
      <c r="AV790" s="234"/>
      <c r="AW790" s="234"/>
      <c r="AX790" s="234"/>
      <c r="AY790" s="234"/>
    </row>
    <row r="791" spans="1:51" ht="24" customHeight="1" x14ac:dyDescent="0.25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  <c r="AB791" s="234"/>
      <c r="AC791" s="234"/>
      <c r="AD791" s="234"/>
      <c r="AE791" s="234"/>
      <c r="AF791" s="234"/>
      <c r="AG791" s="234"/>
      <c r="AH791" s="234"/>
      <c r="AI791" s="234"/>
      <c r="AJ791" s="234"/>
      <c r="AK791" s="234"/>
      <c r="AL791" s="234"/>
      <c r="AM791" s="234"/>
      <c r="AN791" s="234"/>
      <c r="AO791" s="234"/>
      <c r="AP791" s="234"/>
      <c r="AQ791" s="234"/>
      <c r="AR791" s="234"/>
      <c r="AS791" s="234"/>
      <c r="AT791" s="234"/>
      <c r="AU791" s="234"/>
      <c r="AV791" s="234"/>
      <c r="AW791" s="234"/>
      <c r="AX791" s="234"/>
      <c r="AY791" s="234"/>
    </row>
    <row r="792" spans="1:51" ht="24" customHeight="1" x14ac:dyDescent="0.25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  <c r="AB792" s="234"/>
      <c r="AC792" s="234"/>
      <c r="AD792" s="234"/>
      <c r="AE792" s="234"/>
      <c r="AF792" s="234"/>
      <c r="AG792" s="234"/>
      <c r="AH792" s="234"/>
      <c r="AI792" s="234"/>
      <c r="AJ792" s="234"/>
      <c r="AK792" s="234"/>
      <c r="AL792" s="234"/>
      <c r="AM792" s="234"/>
      <c r="AN792" s="234"/>
      <c r="AO792" s="234"/>
      <c r="AP792" s="234"/>
      <c r="AQ792" s="234"/>
      <c r="AR792" s="234"/>
      <c r="AS792" s="234"/>
      <c r="AT792" s="234"/>
      <c r="AU792" s="234"/>
      <c r="AV792" s="234"/>
      <c r="AW792" s="234"/>
      <c r="AX792" s="234"/>
      <c r="AY792" s="234"/>
    </row>
    <row r="793" spans="1:51" ht="24" customHeight="1" x14ac:dyDescent="0.25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  <c r="AB793" s="234"/>
      <c r="AC793" s="234"/>
      <c r="AD793" s="234"/>
      <c r="AE793" s="234"/>
      <c r="AF793" s="234"/>
      <c r="AG793" s="234"/>
      <c r="AH793" s="234"/>
      <c r="AI793" s="234"/>
      <c r="AJ793" s="234"/>
      <c r="AK793" s="234"/>
      <c r="AL793" s="234"/>
      <c r="AM793" s="234"/>
      <c r="AN793" s="234"/>
      <c r="AO793" s="234"/>
      <c r="AP793" s="234"/>
      <c r="AQ793" s="234"/>
      <c r="AR793" s="234"/>
      <c r="AS793" s="234"/>
      <c r="AT793" s="234"/>
      <c r="AU793" s="234"/>
      <c r="AV793" s="234"/>
      <c r="AW793" s="234"/>
      <c r="AX793" s="234"/>
      <c r="AY793" s="234"/>
    </row>
    <row r="794" spans="1:51" ht="24" customHeight="1" x14ac:dyDescent="0.25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  <c r="AB794" s="234"/>
      <c r="AC794" s="234"/>
      <c r="AD794" s="234"/>
      <c r="AE794" s="234"/>
      <c r="AF794" s="234"/>
      <c r="AG794" s="234"/>
      <c r="AH794" s="234"/>
      <c r="AI794" s="234"/>
      <c r="AJ794" s="234"/>
      <c r="AK794" s="234"/>
      <c r="AL794" s="234"/>
      <c r="AM794" s="234"/>
      <c r="AN794" s="234"/>
      <c r="AO794" s="234"/>
      <c r="AP794" s="234"/>
      <c r="AQ794" s="234"/>
      <c r="AR794" s="234"/>
      <c r="AS794" s="234"/>
      <c r="AT794" s="234"/>
      <c r="AU794" s="234"/>
      <c r="AV794" s="234"/>
      <c r="AW794" s="234"/>
      <c r="AX794" s="234"/>
      <c r="AY794" s="234"/>
    </row>
    <row r="795" spans="1:51" ht="24" customHeight="1" x14ac:dyDescent="0.2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  <c r="AB795" s="234"/>
      <c r="AC795" s="234"/>
      <c r="AD795" s="234"/>
      <c r="AE795" s="234"/>
      <c r="AF795" s="234"/>
      <c r="AG795" s="234"/>
      <c r="AH795" s="234"/>
      <c r="AI795" s="234"/>
      <c r="AJ795" s="234"/>
      <c r="AK795" s="234"/>
      <c r="AL795" s="234"/>
      <c r="AM795" s="234"/>
      <c r="AN795" s="234"/>
      <c r="AO795" s="234"/>
      <c r="AP795" s="234"/>
      <c r="AQ795" s="234"/>
      <c r="AR795" s="234"/>
      <c r="AS795" s="234"/>
      <c r="AT795" s="234"/>
      <c r="AU795" s="234"/>
      <c r="AV795" s="234"/>
      <c r="AW795" s="234"/>
      <c r="AX795" s="234"/>
      <c r="AY795" s="234"/>
    </row>
    <row r="796" spans="1:51" ht="24" customHeight="1" x14ac:dyDescent="0.25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  <c r="AB796" s="234"/>
      <c r="AC796" s="234"/>
      <c r="AD796" s="234"/>
      <c r="AE796" s="234"/>
      <c r="AF796" s="234"/>
      <c r="AG796" s="234"/>
      <c r="AH796" s="234"/>
      <c r="AI796" s="234"/>
      <c r="AJ796" s="234"/>
      <c r="AK796" s="234"/>
      <c r="AL796" s="234"/>
      <c r="AM796" s="234"/>
      <c r="AN796" s="234"/>
      <c r="AO796" s="234"/>
      <c r="AP796" s="234"/>
      <c r="AQ796" s="234"/>
      <c r="AR796" s="234"/>
      <c r="AS796" s="234"/>
      <c r="AT796" s="234"/>
      <c r="AU796" s="234"/>
      <c r="AV796" s="234"/>
      <c r="AW796" s="234"/>
      <c r="AX796" s="234"/>
      <c r="AY796" s="234"/>
    </row>
    <row r="797" spans="1:51" ht="24" customHeight="1" x14ac:dyDescent="0.25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  <c r="AB797" s="234"/>
      <c r="AC797" s="234"/>
      <c r="AD797" s="234"/>
      <c r="AE797" s="234"/>
      <c r="AF797" s="234"/>
      <c r="AG797" s="234"/>
      <c r="AH797" s="234"/>
      <c r="AI797" s="234"/>
      <c r="AJ797" s="234"/>
      <c r="AK797" s="234"/>
      <c r="AL797" s="234"/>
      <c r="AM797" s="234"/>
      <c r="AN797" s="234"/>
      <c r="AO797" s="234"/>
      <c r="AP797" s="234"/>
      <c r="AQ797" s="234"/>
      <c r="AR797" s="234"/>
      <c r="AS797" s="234"/>
      <c r="AT797" s="234"/>
      <c r="AU797" s="234"/>
      <c r="AV797" s="234"/>
      <c r="AW797" s="234"/>
      <c r="AX797" s="234"/>
      <c r="AY797" s="234"/>
    </row>
    <row r="798" spans="1:51" ht="24" customHeight="1" x14ac:dyDescent="0.25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  <c r="AB798" s="234"/>
      <c r="AC798" s="234"/>
      <c r="AD798" s="234"/>
      <c r="AE798" s="234"/>
      <c r="AF798" s="234"/>
      <c r="AG798" s="234"/>
      <c r="AH798" s="234"/>
      <c r="AI798" s="234"/>
      <c r="AJ798" s="234"/>
      <c r="AK798" s="234"/>
      <c r="AL798" s="234"/>
      <c r="AM798" s="234"/>
      <c r="AN798" s="234"/>
      <c r="AO798" s="234"/>
      <c r="AP798" s="234"/>
      <c r="AQ798" s="234"/>
      <c r="AR798" s="234"/>
      <c r="AS798" s="234"/>
      <c r="AT798" s="234"/>
      <c r="AU798" s="234"/>
      <c r="AV798" s="234"/>
      <c r="AW798" s="234"/>
      <c r="AX798" s="234"/>
      <c r="AY798" s="234"/>
    </row>
    <row r="799" spans="1:51" ht="24" customHeight="1" x14ac:dyDescent="0.25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  <c r="AB799" s="234"/>
      <c r="AC799" s="234"/>
      <c r="AD799" s="234"/>
      <c r="AE799" s="234"/>
      <c r="AF799" s="234"/>
      <c r="AG799" s="234"/>
      <c r="AH799" s="234"/>
      <c r="AI799" s="234"/>
      <c r="AJ799" s="234"/>
      <c r="AK799" s="234"/>
      <c r="AL799" s="234"/>
      <c r="AM799" s="234"/>
      <c r="AN799" s="234"/>
      <c r="AO799" s="234"/>
      <c r="AP799" s="234"/>
      <c r="AQ799" s="234"/>
      <c r="AR799" s="234"/>
      <c r="AS799" s="234"/>
      <c r="AT799" s="234"/>
      <c r="AU799" s="234"/>
      <c r="AV799" s="234"/>
      <c r="AW799" s="234"/>
      <c r="AX799" s="234"/>
      <c r="AY799" s="234"/>
    </row>
    <row r="800" spans="1:51" ht="24" customHeight="1" x14ac:dyDescent="0.25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  <c r="AB800" s="234"/>
      <c r="AC800" s="234"/>
      <c r="AD800" s="234"/>
      <c r="AE800" s="234"/>
      <c r="AF800" s="234"/>
      <c r="AG800" s="234"/>
      <c r="AH800" s="234"/>
      <c r="AI800" s="234"/>
      <c r="AJ800" s="234"/>
      <c r="AK800" s="234"/>
      <c r="AL800" s="234"/>
      <c r="AM800" s="234"/>
      <c r="AN800" s="234"/>
      <c r="AO800" s="234"/>
      <c r="AP800" s="234"/>
      <c r="AQ800" s="234"/>
      <c r="AR800" s="234"/>
      <c r="AS800" s="234"/>
      <c r="AT800" s="234"/>
      <c r="AU800" s="234"/>
      <c r="AV800" s="234"/>
      <c r="AW800" s="234"/>
      <c r="AX800" s="234"/>
      <c r="AY800" s="234"/>
    </row>
    <row r="801" spans="1:51" ht="24" customHeight="1" x14ac:dyDescent="0.25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  <c r="AB801" s="234"/>
      <c r="AC801" s="234"/>
      <c r="AD801" s="234"/>
      <c r="AE801" s="234"/>
      <c r="AF801" s="234"/>
      <c r="AG801" s="234"/>
      <c r="AH801" s="234"/>
      <c r="AI801" s="234"/>
      <c r="AJ801" s="234"/>
      <c r="AK801" s="234"/>
      <c r="AL801" s="234"/>
      <c r="AM801" s="234"/>
      <c r="AN801" s="234"/>
      <c r="AO801" s="234"/>
      <c r="AP801" s="234"/>
      <c r="AQ801" s="234"/>
      <c r="AR801" s="234"/>
      <c r="AS801" s="234"/>
      <c r="AT801" s="234"/>
      <c r="AU801" s="234"/>
      <c r="AV801" s="234"/>
      <c r="AW801" s="234"/>
      <c r="AX801" s="234"/>
      <c r="AY801" s="234"/>
    </row>
    <row r="802" spans="1:51" ht="24" customHeight="1" x14ac:dyDescent="0.25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  <c r="AB802" s="234"/>
      <c r="AC802" s="234"/>
      <c r="AD802" s="234"/>
      <c r="AE802" s="234"/>
      <c r="AF802" s="234"/>
      <c r="AG802" s="234"/>
      <c r="AH802" s="234"/>
      <c r="AI802" s="234"/>
      <c r="AJ802" s="234"/>
      <c r="AK802" s="234"/>
      <c r="AL802" s="234"/>
      <c r="AM802" s="234"/>
      <c r="AN802" s="234"/>
      <c r="AO802" s="234"/>
      <c r="AP802" s="234"/>
      <c r="AQ802" s="234"/>
      <c r="AR802" s="234"/>
      <c r="AS802" s="234"/>
      <c r="AT802" s="234"/>
      <c r="AU802" s="234"/>
      <c r="AV802" s="234"/>
      <c r="AW802" s="234"/>
      <c r="AX802" s="234"/>
      <c r="AY802" s="234"/>
    </row>
    <row r="803" spans="1:51" ht="24" customHeight="1" x14ac:dyDescent="0.25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  <c r="AB803" s="234"/>
      <c r="AC803" s="234"/>
      <c r="AD803" s="234"/>
      <c r="AE803" s="234"/>
      <c r="AF803" s="234"/>
      <c r="AG803" s="234"/>
      <c r="AH803" s="234"/>
      <c r="AI803" s="234"/>
      <c r="AJ803" s="234"/>
      <c r="AK803" s="234"/>
      <c r="AL803" s="234"/>
      <c r="AM803" s="234"/>
      <c r="AN803" s="234"/>
      <c r="AO803" s="234"/>
      <c r="AP803" s="234"/>
      <c r="AQ803" s="234"/>
      <c r="AR803" s="234"/>
      <c r="AS803" s="234"/>
      <c r="AT803" s="234"/>
      <c r="AU803" s="234"/>
      <c r="AV803" s="234"/>
      <c r="AW803" s="234"/>
      <c r="AX803" s="234"/>
      <c r="AY803" s="234"/>
    </row>
    <row r="804" spans="1:51" ht="24" customHeight="1" x14ac:dyDescent="0.25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  <c r="AB804" s="234"/>
      <c r="AC804" s="234"/>
      <c r="AD804" s="234"/>
      <c r="AE804" s="234"/>
      <c r="AF804" s="234"/>
      <c r="AG804" s="234"/>
      <c r="AH804" s="234"/>
      <c r="AI804" s="234"/>
      <c r="AJ804" s="234"/>
      <c r="AK804" s="234"/>
      <c r="AL804" s="234"/>
      <c r="AM804" s="234"/>
      <c r="AN804" s="234"/>
      <c r="AO804" s="234"/>
      <c r="AP804" s="234"/>
      <c r="AQ804" s="234"/>
      <c r="AR804" s="234"/>
      <c r="AS804" s="234"/>
      <c r="AT804" s="234"/>
      <c r="AU804" s="234"/>
      <c r="AV804" s="234"/>
      <c r="AW804" s="234"/>
      <c r="AX804" s="234"/>
      <c r="AY804" s="234"/>
    </row>
    <row r="805" spans="1:51" ht="24" customHeight="1" x14ac:dyDescent="0.2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  <c r="AB805" s="234"/>
      <c r="AC805" s="234"/>
      <c r="AD805" s="234"/>
      <c r="AE805" s="234"/>
      <c r="AF805" s="234"/>
      <c r="AG805" s="234"/>
      <c r="AH805" s="234"/>
      <c r="AI805" s="234"/>
      <c r="AJ805" s="234"/>
      <c r="AK805" s="234"/>
      <c r="AL805" s="234"/>
      <c r="AM805" s="234"/>
      <c r="AN805" s="234"/>
      <c r="AO805" s="234"/>
      <c r="AP805" s="234"/>
      <c r="AQ805" s="234"/>
      <c r="AR805" s="234"/>
      <c r="AS805" s="234"/>
      <c r="AT805" s="234"/>
      <c r="AU805" s="234"/>
      <c r="AV805" s="234"/>
      <c r="AW805" s="234"/>
      <c r="AX805" s="234"/>
      <c r="AY805" s="234"/>
    </row>
    <row r="806" spans="1:51" ht="24" customHeight="1" x14ac:dyDescent="0.25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  <c r="AB806" s="234"/>
      <c r="AC806" s="234"/>
      <c r="AD806" s="234"/>
      <c r="AE806" s="234"/>
      <c r="AF806" s="234"/>
      <c r="AG806" s="234"/>
      <c r="AH806" s="234"/>
      <c r="AI806" s="234"/>
      <c r="AJ806" s="234"/>
      <c r="AK806" s="234"/>
      <c r="AL806" s="234"/>
      <c r="AM806" s="234"/>
      <c r="AN806" s="234"/>
      <c r="AO806" s="234"/>
      <c r="AP806" s="234"/>
      <c r="AQ806" s="234"/>
      <c r="AR806" s="234"/>
      <c r="AS806" s="234"/>
      <c r="AT806" s="234"/>
      <c r="AU806" s="234"/>
      <c r="AV806" s="234"/>
      <c r="AW806" s="234"/>
      <c r="AX806" s="234"/>
      <c r="AY806" s="234"/>
    </row>
    <row r="807" spans="1:51" ht="24" customHeight="1" x14ac:dyDescent="0.25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  <c r="AB807" s="234"/>
      <c r="AC807" s="234"/>
      <c r="AD807" s="234"/>
      <c r="AE807" s="234"/>
      <c r="AF807" s="234"/>
      <c r="AG807" s="234"/>
      <c r="AH807" s="234"/>
      <c r="AI807" s="234"/>
      <c r="AJ807" s="234"/>
      <c r="AK807" s="234"/>
      <c r="AL807" s="234"/>
      <c r="AM807" s="234"/>
      <c r="AN807" s="234"/>
      <c r="AO807" s="234"/>
      <c r="AP807" s="234"/>
      <c r="AQ807" s="234"/>
      <c r="AR807" s="234"/>
      <c r="AS807" s="234"/>
      <c r="AT807" s="234"/>
      <c r="AU807" s="234"/>
      <c r="AV807" s="234"/>
      <c r="AW807" s="234"/>
      <c r="AX807" s="234"/>
      <c r="AY807" s="234"/>
    </row>
    <row r="808" spans="1:51" ht="24" customHeight="1" x14ac:dyDescent="0.25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  <c r="AB808" s="234"/>
      <c r="AC808" s="234"/>
      <c r="AD808" s="234"/>
      <c r="AE808" s="234"/>
      <c r="AF808" s="234"/>
      <c r="AG808" s="234"/>
      <c r="AH808" s="234"/>
      <c r="AI808" s="234"/>
      <c r="AJ808" s="234"/>
      <c r="AK808" s="234"/>
      <c r="AL808" s="234"/>
      <c r="AM808" s="234"/>
      <c r="AN808" s="234"/>
      <c r="AO808" s="234"/>
      <c r="AP808" s="234"/>
      <c r="AQ808" s="234"/>
      <c r="AR808" s="234"/>
      <c r="AS808" s="234"/>
      <c r="AT808" s="234"/>
      <c r="AU808" s="234"/>
      <c r="AV808" s="234"/>
      <c r="AW808" s="234"/>
      <c r="AX808" s="234"/>
      <c r="AY808" s="234"/>
    </row>
    <row r="809" spans="1:51" ht="24" customHeight="1" x14ac:dyDescent="0.25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  <c r="AB809" s="234"/>
      <c r="AC809" s="234"/>
      <c r="AD809" s="234"/>
      <c r="AE809" s="234"/>
      <c r="AF809" s="234"/>
      <c r="AG809" s="234"/>
      <c r="AH809" s="234"/>
      <c r="AI809" s="234"/>
      <c r="AJ809" s="234"/>
      <c r="AK809" s="234"/>
      <c r="AL809" s="234"/>
      <c r="AM809" s="234"/>
      <c r="AN809" s="234"/>
      <c r="AO809" s="234"/>
      <c r="AP809" s="234"/>
      <c r="AQ809" s="234"/>
      <c r="AR809" s="234"/>
      <c r="AS809" s="234"/>
      <c r="AT809" s="234"/>
      <c r="AU809" s="234"/>
      <c r="AV809" s="234"/>
      <c r="AW809" s="234"/>
      <c r="AX809" s="234"/>
      <c r="AY809" s="234"/>
    </row>
    <row r="810" spans="1:51" ht="24" customHeight="1" x14ac:dyDescent="0.25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  <c r="AB810" s="234"/>
      <c r="AC810" s="234"/>
      <c r="AD810" s="234"/>
      <c r="AE810" s="234"/>
      <c r="AF810" s="234"/>
      <c r="AG810" s="234"/>
      <c r="AH810" s="234"/>
      <c r="AI810" s="234"/>
      <c r="AJ810" s="234"/>
      <c r="AK810" s="234"/>
      <c r="AL810" s="234"/>
      <c r="AM810" s="234"/>
      <c r="AN810" s="234"/>
      <c r="AO810" s="234"/>
      <c r="AP810" s="234"/>
      <c r="AQ810" s="234"/>
      <c r="AR810" s="234"/>
      <c r="AS810" s="234"/>
      <c r="AT810" s="234"/>
      <c r="AU810" s="234"/>
      <c r="AV810" s="234"/>
      <c r="AW810" s="234"/>
      <c r="AX810" s="234"/>
      <c r="AY810" s="234"/>
    </row>
    <row r="811" spans="1:51" ht="24" customHeight="1" x14ac:dyDescent="0.25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  <c r="AB811" s="234"/>
      <c r="AC811" s="234"/>
      <c r="AD811" s="234"/>
      <c r="AE811" s="234"/>
      <c r="AF811" s="234"/>
      <c r="AG811" s="234"/>
      <c r="AH811" s="234"/>
      <c r="AI811" s="234"/>
      <c r="AJ811" s="234"/>
      <c r="AK811" s="234"/>
      <c r="AL811" s="234"/>
      <c r="AM811" s="234"/>
      <c r="AN811" s="234"/>
      <c r="AO811" s="234"/>
      <c r="AP811" s="234"/>
      <c r="AQ811" s="234"/>
      <c r="AR811" s="234"/>
      <c r="AS811" s="234"/>
      <c r="AT811" s="234"/>
      <c r="AU811" s="234"/>
      <c r="AV811" s="234"/>
      <c r="AW811" s="234"/>
      <c r="AX811" s="234"/>
      <c r="AY811" s="234"/>
    </row>
    <row r="812" spans="1:51" ht="24" customHeight="1" x14ac:dyDescent="0.25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  <c r="AB812" s="234"/>
      <c r="AC812" s="234"/>
      <c r="AD812" s="234"/>
      <c r="AE812" s="234"/>
      <c r="AF812" s="234"/>
      <c r="AG812" s="234"/>
      <c r="AH812" s="234"/>
      <c r="AI812" s="234"/>
      <c r="AJ812" s="234"/>
      <c r="AK812" s="234"/>
      <c r="AL812" s="234"/>
      <c r="AM812" s="234"/>
      <c r="AN812" s="234"/>
      <c r="AO812" s="234"/>
      <c r="AP812" s="234"/>
      <c r="AQ812" s="234"/>
      <c r="AR812" s="234"/>
      <c r="AS812" s="234"/>
      <c r="AT812" s="234"/>
      <c r="AU812" s="234"/>
      <c r="AV812" s="234"/>
      <c r="AW812" s="234"/>
      <c r="AX812" s="234"/>
      <c r="AY812" s="234"/>
    </row>
    <row r="813" spans="1:51" ht="24" customHeight="1" x14ac:dyDescent="0.25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  <c r="AB813" s="234"/>
      <c r="AC813" s="234"/>
      <c r="AD813" s="234"/>
      <c r="AE813" s="234"/>
      <c r="AF813" s="234"/>
      <c r="AG813" s="234"/>
      <c r="AH813" s="234"/>
      <c r="AI813" s="234"/>
      <c r="AJ813" s="234"/>
      <c r="AK813" s="234"/>
      <c r="AL813" s="234"/>
      <c r="AM813" s="234"/>
      <c r="AN813" s="234"/>
      <c r="AO813" s="234"/>
      <c r="AP813" s="234"/>
      <c r="AQ813" s="234"/>
      <c r="AR813" s="234"/>
      <c r="AS813" s="234"/>
      <c r="AT813" s="234"/>
      <c r="AU813" s="234"/>
      <c r="AV813" s="234"/>
      <c r="AW813" s="234"/>
      <c r="AX813" s="234"/>
      <c r="AY813" s="234"/>
    </row>
    <row r="814" spans="1:51" ht="24" customHeight="1" x14ac:dyDescent="0.25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  <c r="AB814" s="234"/>
      <c r="AC814" s="234"/>
      <c r="AD814" s="234"/>
      <c r="AE814" s="234"/>
      <c r="AF814" s="234"/>
      <c r="AG814" s="234"/>
      <c r="AH814" s="234"/>
      <c r="AI814" s="234"/>
      <c r="AJ814" s="234"/>
      <c r="AK814" s="234"/>
      <c r="AL814" s="234"/>
      <c r="AM814" s="234"/>
      <c r="AN814" s="234"/>
      <c r="AO814" s="234"/>
      <c r="AP814" s="234"/>
      <c r="AQ814" s="234"/>
      <c r="AR814" s="234"/>
      <c r="AS814" s="234"/>
      <c r="AT814" s="234"/>
      <c r="AU814" s="234"/>
      <c r="AV814" s="234"/>
      <c r="AW814" s="234"/>
      <c r="AX814" s="234"/>
      <c r="AY814" s="234"/>
    </row>
    <row r="815" spans="1:51" ht="24" customHeight="1" x14ac:dyDescent="0.2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  <c r="AB815" s="234"/>
      <c r="AC815" s="234"/>
      <c r="AD815" s="234"/>
      <c r="AE815" s="234"/>
      <c r="AF815" s="234"/>
      <c r="AG815" s="234"/>
      <c r="AH815" s="234"/>
      <c r="AI815" s="234"/>
      <c r="AJ815" s="234"/>
      <c r="AK815" s="234"/>
      <c r="AL815" s="234"/>
      <c r="AM815" s="234"/>
      <c r="AN815" s="234"/>
      <c r="AO815" s="234"/>
      <c r="AP815" s="234"/>
      <c r="AQ815" s="234"/>
      <c r="AR815" s="234"/>
      <c r="AS815" s="234"/>
      <c r="AT815" s="234"/>
      <c r="AU815" s="234"/>
      <c r="AV815" s="234"/>
      <c r="AW815" s="234"/>
      <c r="AX815" s="234"/>
      <c r="AY815" s="234"/>
    </row>
    <row r="816" spans="1:51" ht="24" customHeight="1" x14ac:dyDescent="0.25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  <c r="AB816" s="234"/>
      <c r="AC816" s="234"/>
      <c r="AD816" s="234"/>
      <c r="AE816" s="234"/>
      <c r="AF816" s="234"/>
      <c r="AG816" s="234"/>
      <c r="AH816" s="234"/>
      <c r="AI816" s="234"/>
      <c r="AJ816" s="234"/>
      <c r="AK816" s="234"/>
      <c r="AL816" s="234"/>
      <c r="AM816" s="234"/>
      <c r="AN816" s="234"/>
      <c r="AO816" s="234"/>
      <c r="AP816" s="234"/>
      <c r="AQ816" s="234"/>
      <c r="AR816" s="234"/>
      <c r="AS816" s="234"/>
      <c r="AT816" s="234"/>
      <c r="AU816" s="234"/>
      <c r="AV816" s="234"/>
      <c r="AW816" s="234"/>
      <c r="AX816" s="234"/>
      <c r="AY816" s="234"/>
    </row>
    <row r="817" spans="1:51" ht="24" customHeight="1" x14ac:dyDescent="0.25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  <c r="AB817" s="234"/>
      <c r="AC817" s="234"/>
      <c r="AD817" s="234"/>
      <c r="AE817" s="234"/>
      <c r="AF817" s="234"/>
      <c r="AG817" s="234"/>
      <c r="AH817" s="234"/>
      <c r="AI817" s="234"/>
      <c r="AJ817" s="234"/>
      <c r="AK817" s="234"/>
      <c r="AL817" s="234"/>
      <c r="AM817" s="234"/>
      <c r="AN817" s="234"/>
      <c r="AO817" s="234"/>
      <c r="AP817" s="234"/>
      <c r="AQ817" s="234"/>
      <c r="AR817" s="234"/>
      <c r="AS817" s="234"/>
      <c r="AT817" s="234"/>
      <c r="AU817" s="234"/>
      <c r="AV817" s="234"/>
      <c r="AW817" s="234"/>
      <c r="AX817" s="234"/>
      <c r="AY817" s="234"/>
    </row>
    <row r="818" spans="1:51" ht="24" customHeight="1" x14ac:dyDescent="0.25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  <c r="AB818" s="234"/>
      <c r="AC818" s="234"/>
      <c r="AD818" s="234"/>
      <c r="AE818" s="234"/>
      <c r="AF818" s="234"/>
      <c r="AG818" s="234"/>
      <c r="AH818" s="234"/>
      <c r="AI818" s="234"/>
      <c r="AJ818" s="234"/>
      <c r="AK818" s="234"/>
      <c r="AL818" s="234"/>
      <c r="AM818" s="234"/>
      <c r="AN818" s="234"/>
      <c r="AO818" s="234"/>
      <c r="AP818" s="234"/>
      <c r="AQ818" s="234"/>
      <c r="AR818" s="234"/>
      <c r="AS818" s="234"/>
      <c r="AT818" s="234"/>
      <c r="AU818" s="234"/>
      <c r="AV818" s="234"/>
      <c r="AW818" s="234"/>
      <c r="AX818" s="234"/>
      <c r="AY818" s="234"/>
    </row>
    <row r="819" spans="1:51" ht="24" customHeight="1" x14ac:dyDescent="0.25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  <c r="AB819" s="234"/>
      <c r="AC819" s="234"/>
      <c r="AD819" s="234"/>
      <c r="AE819" s="234"/>
      <c r="AF819" s="234"/>
      <c r="AG819" s="234"/>
      <c r="AH819" s="234"/>
      <c r="AI819" s="234"/>
      <c r="AJ819" s="234"/>
      <c r="AK819" s="234"/>
      <c r="AL819" s="234"/>
      <c r="AM819" s="234"/>
      <c r="AN819" s="234"/>
      <c r="AO819" s="234"/>
      <c r="AP819" s="234"/>
      <c r="AQ819" s="234"/>
      <c r="AR819" s="234"/>
      <c r="AS819" s="234"/>
      <c r="AT819" s="234"/>
      <c r="AU819" s="234"/>
      <c r="AV819" s="234"/>
      <c r="AW819" s="234"/>
      <c r="AX819" s="234"/>
      <c r="AY819" s="234"/>
    </row>
    <row r="820" spans="1:51" ht="24" customHeight="1" x14ac:dyDescent="0.25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  <c r="AB820" s="234"/>
      <c r="AC820" s="234"/>
      <c r="AD820" s="234"/>
      <c r="AE820" s="234"/>
      <c r="AF820" s="234"/>
      <c r="AG820" s="234"/>
      <c r="AH820" s="234"/>
      <c r="AI820" s="234"/>
      <c r="AJ820" s="234"/>
      <c r="AK820" s="234"/>
      <c r="AL820" s="234"/>
      <c r="AM820" s="234"/>
      <c r="AN820" s="234"/>
      <c r="AO820" s="234"/>
      <c r="AP820" s="234"/>
      <c r="AQ820" s="234"/>
      <c r="AR820" s="234"/>
      <c r="AS820" s="234"/>
      <c r="AT820" s="234"/>
      <c r="AU820" s="234"/>
      <c r="AV820" s="234"/>
      <c r="AW820" s="234"/>
      <c r="AX820" s="234"/>
      <c r="AY820" s="234"/>
    </row>
    <row r="821" spans="1:51" ht="24" customHeight="1" x14ac:dyDescent="0.25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  <c r="AB821" s="234"/>
      <c r="AC821" s="234"/>
      <c r="AD821" s="234"/>
      <c r="AE821" s="234"/>
      <c r="AF821" s="234"/>
      <c r="AG821" s="234"/>
      <c r="AH821" s="234"/>
      <c r="AI821" s="234"/>
      <c r="AJ821" s="234"/>
      <c r="AK821" s="234"/>
      <c r="AL821" s="234"/>
      <c r="AM821" s="234"/>
      <c r="AN821" s="234"/>
      <c r="AO821" s="234"/>
      <c r="AP821" s="234"/>
      <c r="AQ821" s="234"/>
      <c r="AR821" s="234"/>
      <c r="AS821" s="234"/>
      <c r="AT821" s="234"/>
      <c r="AU821" s="234"/>
      <c r="AV821" s="234"/>
      <c r="AW821" s="234"/>
      <c r="AX821" s="234"/>
      <c r="AY821" s="234"/>
    </row>
    <row r="822" spans="1:51" ht="24" customHeight="1" x14ac:dyDescent="0.25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  <c r="AB822" s="234"/>
      <c r="AC822" s="234"/>
      <c r="AD822" s="234"/>
      <c r="AE822" s="234"/>
      <c r="AF822" s="234"/>
      <c r="AG822" s="234"/>
      <c r="AH822" s="234"/>
      <c r="AI822" s="234"/>
      <c r="AJ822" s="234"/>
      <c r="AK822" s="234"/>
      <c r="AL822" s="234"/>
      <c r="AM822" s="234"/>
      <c r="AN822" s="234"/>
      <c r="AO822" s="234"/>
      <c r="AP822" s="234"/>
      <c r="AQ822" s="234"/>
      <c r="AR822" s="234"/>
      <c r="AS822" s="234"/>
      <c r="AT822" s="234"/>
      <c r="AU822" s="234"/>
      <c r="AV822" s="234"/>
      <c r="AW822" s="234"/>
      <c r="AX822" s="234"/>
      <c r="AY822" s="234"/>
    </row>
    <row r="823" spans="1:51" ht="24" customHeight="1" x14ac:dyDescent="0.25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  <c r="AB823" s="234"/>
      <c r="AC823" s="234"/>
      <c r="AD823" s="234"/>
      <c r="AE823" s="234"/>
      <c r="AF823" s="234"/>
      <c r="AG823" s="234"/>
      <c r="AH823" s="234"/>
      <c r="AI823" s="234"/>
      <c r="AJ823" s="234"/>
      <c r="AK823" s="234"/>
      <c r="AL823" s="234"/>
      <c r="AM823" s="234"/>
      <c r="AN823" s="234"/>
      <c r="AO823" s="234"/>
      <c r="AP823" s="234"/>
      <c r="AQ823" s="234"/>
      <c r="AR823" s="234"/>
      <c r="AS823" s="234"/>
      <c r="AT823" s="234"/>
      <c r="AU823" s="234"/>
      <c r="AV823" s="234"/>
      <c r="AW823" s="234"/>
      <c r="AX823" s="234"/>
      <c r="AY823" s="234"/>
    </row>
    <row r="824" spans="1:51" ht="24" customHeight="1" x14ac:dyDescent="0.25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  <c r="AB824" s="234"/>
      <c r="AC824" s="234"/>
      <c r="AD824" s="234"/>
      <c r="AE824" s="234"/>
      <c r="AF824" s="234"/>
      <c r="AG824" s="234"/>
      <c r="AH824" s="234"/>
      <c r="AI824" s="234"/>
      <c r="AJ824" s="234"/>
      <c r="AK824" s="234"/>
      <c r="AL824" s="234"/>
      <c r="AM824" s="234"/>
      <c r="AN824" s="234"/>
      <c r="AO824" s="234"/>
      <c r="AP824" s="234"/>
      <c r="AQ824" s="234"/>
      <c r="AR824" s="234"/>
      <c r="AS824" s="234"/>
      <c r="AT824" s="234"/>
      <c r="AU824" s="234"/>
      <c r="AV824" s="234"/>
      <c r="AW824" s="234"/>
      <c r="AX824" s="234"/>
      <c r="AY824" s="234"/>
    </row>
    <row r="825" spans="1:51" ht="24" customHeight="1" x14ac:dyDescent="0.2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  <c r="AB825" s="234"/>
      <c r="AC825" s="234"/>
      <c r="AD825" s="234"/>
      <c r="AE825" s="234"/>
      <c r="AF825" s="234"/>
      <c r="AG825" s="234"/>
      <c r="AH825" s="234"/>
      <c r="AI825" s="234"/>
      <c r="AJ825" s="234"/>
      <c r="AK825" s="234"/>
      <c r="AL825" s="234"/>
      <c r="AM825" s="234"/>
      <c r="AN825" s="234"/>
      <c r="AO825" s="234"/>
      <c r="AP825" s="234"/>
      <c r="AQ825" s="234"/>
      <c r="AR825" s="234"/>
      <c r="AS825" s="234"/>
      <c r="AT825" s="234"/>
      <c r="AU825" s="234"/>
      <c r="AV825" s="234"/>
      <c r="AW825" s="234"/>
      <c r="AX825" s="234"/>
      <c r="AY825" s="234"/>
    </row>
    <row r="826" spans="1:51" ht="24" customHeight="1" x14ac:dyDescent="0.25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  <c r="AB826" s="234"/>
      <c r="AC826" s="234"/>
      <c r="AD826" s="234"/>
      <c r="AE826" s="234"/>
      <c r="AF826" s="234"/>
      <c r="AG826" s="234"/>
      <c r="AH826" s="234"/>
      <c r="AI826" s="234"/>
      <c r="AJ826" s="234"/>
      <c r="AK826" s="234"/>
      <c r="AL826" s="234"/>
      <c r="AM826" s="234"/>
      <c r="AN826" s="234"/>
      <c r="AO826" s="234"/>
      <c r="AP826" s="234"/>
      <c r="AQ826" s="234"/>
      <c r="AR826" s="234"/>
      <c r="AS826" s="234"/>
      <c r="AT826" s="234"/>
      <c r="AU826" s="234"/>
      <c r="AV826" s="234"/>
      <c r="AW826" s="234"/>
      <c r="AX826" s="234"/>
      <c r="AY826" s="234"/>
    </row>
    <row r="827" spans="1:51" ht="24" customHeight="1" x14ac:dyDescent="0.25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  <c r="AB827" s="234"/>
      <c r="AC827" s="234"/>
      <c r="AD827" s="234"/>
      <c r="AE827" s="234"/>
      <c r="AF827" s="234"/>
      <c r="AG827" s="234"/>
      <c r="AH827" s="234"/>
      <c r="AI827" s="234"/>
      <c r="AJ827" s="234"/>
      <c r="AK827" s="234"/>
      <c r="AL827" s="234"/>
      <c r="AM827" s="234"/>
      <c r="AN827" s="234"/>
      <c r="AO827" s="234"/>
      <c r="AP827" s="234"/>
      <c r="AQ827" s="234"/>
      <c r="AR827" s="234"/>
      <c r="AS827" s="234"/>
      <c r="AT827" s="234"/>
      <c r="AU827" s="234"/>
      <c r="AV827" s="234"/>
      <c r="AW827" s="234"/>
      <c r="AX827" s="234"/>
      <c r="AY827" s="234"/>
    </row>
    <row r="828" spans="1:51" ht="24" customHeight="1" x14ac:dyDescent="0.25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  <c r="AB828" s="234"/>
      <c r="AC828" s="234"/>
      <c r="AD828" s="234"/>
      <c r="AE828" s="234"/>
      <c r="AF828" s="234"/>
      <c r="AG828" s="234"/>
      <c r="AH828" s="234"/>
      <c r="AI828" s="234"/>
      <c r="AJ828" s="234"/>
      <c r="AK828" s="234"/>
      <c r="AL828" s="234"/>
      <c r="AM828" s="234"/>
      <c r="AN828" s="234"/>
      <c r="AO828" s="234"/>
      <c r="AP828" s="234"/>
      <c r="AQ828" s="234"/>
      <c r="AR828" s="234"/>
      <c r="AS828" s="234"/>
      <c r="AT828" s="234"/>
      <c r="AU828" s="234"/>
      <c r="AV828" s="234"/>
      <c r="AW828" s="234"/>
      <c r="AX828" s="234"/>
      <c r="AY828" s="234"/>
    </row>
    <row r="829" spans="1:51" ht="24" customHeight="1" x14ac:dyDescent="0.25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  <c r="AB829" s="234"/>
      <c r="AC829" s="234"/>
      <c r="AD829" s="234"/>
      <c r="AE829" s="234"/>
      <c r="AF829" s="234"/>
      <c r="AG829" s="234"/>
      <c r="AH829" s="234"/>
      <c r="AI829" s="234"/>
      <c r="AJ829" s="234"/>
      <c r="AK829" s="234"/>
      <c r="AL829" s="234"/>
      <c r="AM829" s="234"/>
      <c r="AN829" s="234"/>
      <c r="AO829" s="234"/>
      <c r="AP829" s="234"/>
      <c r="AQ829" s="234"/>
      <c r="AR829" s="234"/>
      <c r="AS829" s="234"/>
      <c r="AT829" s="234"/>
      <c r="AU829" s="234"/>
      <c r="AV829" s="234"/>
      <c r="AW829" s="234"/>
      <c r="AX829" s="234"/>
      <c r="AY829" s="234"/>
    </row>
    <row r="830" spans="1:51" ht="24" customHeight="1" x14ac:dyDescent="0.25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  <c r="AB830" s="234"/>
      <c r="AC830" s="234"/>
      <c r="AD830" s="234"/>
      <c r="AE830" s="234"/>
      <c r="AF830" s="234"/>
      <c r="AG830" s="234"/>
      <c r="AH830" s="234"/>
      <c r="AI830" s="234"/>
      <c r="AJ830" s="234"/>
      <c r="AK830" s="234"/>
      <c r="AL830" s="234"/>
      <c r="AM830" s="234"/>
      <c r="AN830" s="234"/>
      <c r="AO830" s="234"/>
      <c r="AP830" s="234"/>
      <c r="AQ830" s="234"/>
      <c r="AR830" s="234"/>
      <c r="AS830" s="234"/>
      <c r="AT830" s="234"/>
      <c r="AU830" s="234"/>
      <c r="AV830" s="234"/>
      <c r="AW830" s="234"/>
      <c r="AX830" s="234"/>
      <c r="AY830" s="234"/>
    </row>
    <row r="831" spans="1:51" ht="24" customHeight="1" x14ac:dyDescent="0.25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  <c r="AB831" s="234"/>
      <c r="AC831" s="234"/>
      <c r="AD831" s="234"/>
      <c r="AE831" s="234"/>
      <c r="AF831" s="234"/>
      <c r="AG831" s="234"/>
      <c r="AH831" s="234"/>
      <c r="AI831" s="234"/>
      <c r="AJ831" s="234"/>
      <c r="AK831" s="234"/>
      <c r="AL831" s="234"/>
      <c r="AM831" s="234"/>
      <c r="AN831" s="234"/>
      <c r="AO831" s="234"/>
      <c r="AP831" s="234"/>
      <c r="AQ831" s="234"/>
      <c r="AR831" s="234"/>
      <c r="AS831" s="234"/>
      <c r="AT831" s="234"/>
      <c r="AU831" s="234"/>
      <c r="AV831" s="234"/>
      <c r="AW831" s="234"/>
      <c r="AX831" s="234"/>
      <c r="AY831" s="234"/>
    </row>
    <row r="832" spans="1:51" ht="24" customHeight="1" x14ac:dyDescent="0.25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  <c r="AB832" s="234"/>
      <c r="AC832" s="234"/>
      <c r="AD832" s="234"/>
      <c r="AE832" s="234"/>
      <c r="AF832" s="234"/>
      <c r="AG832" s="234"/>
      <c r="AH832" s="234"/>
      <c r="AI832" s="234"/>
      <c r="AJ832" s="234"/>
      <c r="AK832" s="234"/>
      <c r="AL832" s="234"/>
      <c r="AM832" s="234"/>
      <c r="AN832" s="234"/>
      <c r="AO832" s="234"/>
      <c r="AP832" s="234"/>
      <c r="AQ832" s="234"/>
      <c r="AR832" s="234"/>
      <c r="AS832" s="234"/>
      <c r="AT832" s="234"/>
      <c r="AU832" s="234"/>
      <c r="AV832" s="234"/>
      <c r="AW832" s="234"/>
      <c r="AX832" s="234"/>
      <c r="AY832" s="234"/>
    </row>
    <row r="833" spans="1:51" ht="24" customHeight="1" x14ac:dyDescent="0.25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  <c r="AB833" s="234"/>
      <c r="AC833" s="234"/>
      <c r="AD833" s="234"/>
      <c r="AE833" s="234"/>
      <c r="AF833" s="234"/>
      <c r="AG833" s="234"/>
      <c r="AH833" s="234"/>
      <c r="AI833" s="234"/>
      <c r="AJ833" s="234"/>
      <c r="AK833" s="234"/>
      <c r="AL833" s="234"/>
      <c r="AM833" s="234"/>
      <c r="AN833" s="234"/>
      <c r="AO833" s="234"/>
      <c r="AP833" s="234"/>
      <c r="AQ833" s="234"/>
      <c r="AR833" s="234"/>
      <c r="AS833" s="234"/>
      <c r="AT833" s="234"/>
      <c r="AU833" s="234"/>
      <c r="AV833" s="234"/>
      <c r="AW833" s="234"/>
      <c r="AX833" s="234"/>
      <c r="AY833" s="234"/>
    </row>
    <row r="834" spans="1:51" ht="24" customHeight="1" x14ac:dyDescent="0.25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  <c r="AB834" s="234"/>
      <c r="AC834" s="234"/>
      <c r="AD834" s="234"/>
      <c r="AE834" s="234"/>
      <c r="AF834" s="234"/>
      <c r="AG834" s="234"/>
      <c r="AH834" s="234"/>
      <c r="AI834" s="234"/>
      <c r="AJ834" s="234"/>
      <c r="AK834" s="234"/>
      <c r="AL834" s="234"/>
      <c r="AM834" s="234"/>
      <c r="AN834" s="234"/>
      <c r="AO834" s="234"/>
      <c r="AP834" s="234"/>
      <c r="AQ834" s="234"/>
      <c r="AR834" s="234"/>
      <c r="AS834" s="234"/>
      <c r="AT834" s="234"/>
      <c r="AU834" s="234"/>
      <c r="AV834" s="234"/>
      <c r="AW834" s="234"/>
      <c r="AX834" s="234"/>
      <c r="AY834" s="234"/>
    </row>
    <row r="835" spans="1:51" ht="24" customHeight="1" x14ac:dyDescent="0.2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  <c r="AB835" s="234"/>
      <c r="AC835" s="234"/>
      <c r="AD835" s="234"/>
      <c r="AE835" s="234"/>
      <c r="AF835" s="234"/>
      <c r="AG835" s="234"/>
      <c r="AH835" s="234"/>
      <c r="AI835" s="234"/>
      <c r="AJ835" s="234"/>
      <c r="AK835" s="234"/>
      <c r="AL835" s="234"/>
      <c r="AM835" s="234"/>
      <c r="AN835" s="234"/>
      <c r="AO835" s="234"/>
      <c r="AP835" s="234"/>
      <c r="AQ835" s="234"/>
      <c r="AR835" s="234"/>
      <c r="AS835" s="234"/>
      <c r="AT835" s="234"/>
      <c r="AU835" s="234"/>
      <c r="AV835" s="234"/>
      <c r="AW835" s="234"/>
      <c r="AX835" s="234"/>
      <c r="AY835" s="234"/>
    </row>
    <row r="836" spans="1:51" ht="24" customHeight="1" x14ac:dyDescent="0.25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  <c r="AB836" s="234"/>
      <c r="AC836" s="234"/>
      <c r="AD836" s="234"/>
      <c r="AE836" s="234"/>
      <c r="AF836" s="234"/>
      <c r="AG836" s="234"/>
      <c r="AH836" s="234"/>
      <c r="AI836" s="234"/>
      <c r="AJ836" s="234"/>
      <c r="AK836" s="234"/>
      <c r="AL836" s="234"/>
      <c r="AM836" s="234"/>
      <c r="AN836" s="234"/>
      <c r="AO836" s="234"/>
      <c r="AP836" s="234"/>
      <c r="AQ836" s="234"/>
      <c r="AR836" s="234"/>
      <c r="AS836" s="234"/>
      <c r="AT836" s="234"/>
      <c r="AU836" s="234"/>
      <c r="AV836" s="234"/>
      <c r="AW836" s="234"/>
      <c r="AX836" s="234"/>
      <c r="AY836" s="234"/>
    </row>
    <row r="837" spans="1:51" ht="24" customHeight="1" x14ac:dyDescent="0.25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  <c r="AB837" s="234"/>
      <c r="AC837" s="234"/>
      <c r="AD837" s="234"/>
      <c r="AE837" s="234"/>
      <c r="AF837" s="234"/>
      <c r="AG837" s="234"/>
      <c r="AH837" s="234"/>
      <c r="AI837" s="234"/>
      <c r="AJ837" s="234"/>
      <c r="AK837" s="234"/>
      <c r="AL837" s="234"/>
      <c r="AM837" s="234"/>
      <c r="AN837" s="234"/>
      <c r="AO837" s="234"/>
      <c r="AP837" s="234"/>
      <c r="AQ837" s="234"/>
      <c r="AR837" s="234"/>
      <c r="AS837" s="234"/>
      <c r="AT837" s="234"/>
      <c r="AU837" s="234"/>
      <c r="AV837" s="234"/>
      <c r="AW837" s="234"/>
      <c r="AX837" s="234"/>
      <c r="AY837" s="234"/>
    </row>
    <row r="838" spans="1:51" ht="24" customHeight="1" x14ac:dyDescent="0.25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  <c r="AB838" s="234"/>
      <c r="AC838" s="234"/>
      <c r="AD838" s="234"/>
      <c r="AE838" s="234"/>
      <c r="AF838" s="234"/>
      <c r="AG838" s="234"/>
      <c r="AH838" s="234"/>
      <c r="AI838" s="234"/>
      <c r="AJ838" s="234"/>
      <c r="AK838" s="234"/>
      <c r="AL838" s="234"/>
      <c r="AM838" s="234"/>
      <c r="AN838" s="234"/>
      <c r="AO838" s="234"/>
      <c r="AP838" s="234"/>
      <c r="AQ838" s="234"/>
      <c r="AR838" s="234"/>
      <c r="AS838" s="234"/>
      <c r="AT838" s="234"/>
      <c r="AU838" s="234"/>
      <c r="AV838" s="234"/>
      <c r="AW838" s="234"/>
      <c r="AX838" s="234"/>
      <c r="AY838" s="234"/>
    </row>
    <row r="839" spans="1:51" ht="24" customHeight="1" x14ac:dyDescent="0.25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  <c r="AB839" s="234"/>
      <c r="AC839" s="234"/>
      <c r="AD839" s="234"/>
      <c r="AE839" s="234"/>
      <c r="AF839" s="234"/>
      <c r="AG839" s="234"/>
      <c r="AH839" s="234"/>
      <c r="AI839" s="234"/>
      <c r="AJ839" s="234"/>
      <c r="AK839" s="234"/>
      <c r="AL839" s="234"/>
      <c r="AM839" s="234"/>
      <c r="AN839" s="234"/>
      <c r="AO839" s="234"/>
      <c r="AP839" s="234"/>
      <c r="AQ839" s="234"/>
      <c r="AR839" s="234"/>
      <c r="AS839" s="234"/>
      <c r="AT839" s="234"/>
      <c r="AU839" s="234"/>
      <c r="AV839" s="234"/>
      <c r="AW839" s="234"/>
      <c r="AX839" s="234"/>
      <c r="AY839" s="234"/>
    </row>
    <row r="840" spans="1:51" ht="24" customHeight="1" x14ac:dyDescent="0.25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  <c r="AB840" s="234"/>
      <c r="AC840" s="234"/>
      <c r="AD840" s="234"/>
      <c r="AE840" s="234"/>
      <c r="AF840" s="234"/>
      <c r="AG840" s="234"/>
      <c r="AH840" s="234"/>
      <c r="AI840" s="234"/>
      <c r="AJ840" s="234"/>
      <c r="AK840" s="234"/>
      <c r="AL840" s="234"/>
      <c r="AM840" s="234"/>
      <c r="AN840" s="234"/>
      <c r="AO840" s="234"/>
      <c r="AP840" s="234"/>
      <c r="AQ840" s="234"/>
      <c r="AR840" s="234"/>
      <c r="AS840" s="234"/>
      <c r="AT840" s="234"/>
      <c r="AU840" s="234"/>
      <c r="AV840" s="234"/>
      <c r="AW840" s="234"/>
      <c r="AX840" s="234"/>
      <c r="AY840" s="234"/>
    </row>
    <row r="841" spans="1:51" ht="24" customHeight="1" x14ac:dyDescent="0.25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  <c r="AB841" s="234"/>
      <c r="AC841" s="234"/>
      <c r="AD841" s="234"/>
      <c r="AE841" s="234"/>
      <c r="AF841" s="234"/>
      <c r="AG841" s="234"/>
      <c r="AH841" s="234"/>
      <c r="AI841" s="234"/>
      <c r="AJ841" s="234"/>
      <c r="AK841" s="234"/>
      <c r="AL841" s="234"/>
      <c r="AM841" s="234"/>
      <c r="AN841" s="234"/>
      <c r="AO841" s="234"/>
      <c r="AP841" s="234"/>
      <c r="AQ841" s="234"/>
      <c r="AR841" s="234"/>
      <c r="AS841" s="234"/>
      <c r="AT841" s="234"/>
      <c r="AU841" s="234"/>
      <c r="AV841" s="234"/>
      <c r="AW841" s="234"/>
      <c r="AX841" s="234"/>
      <c r="AY841" s="234"/>
    </row>
    <row r="842" spans="1:51" ht="24" customHeight="1" x14ac:dyDescent="0.25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  <c r="AB842" s="234"/>
      <c r="AC842" s="234"/>
      <c r="AD842" s="234"/>
      <c r="AE842" s="234"/>
      <c r="AF842" s="234"/>
      <c r="AG842" s="234"/>
      <c r="AH842" s="234"/>
      <c r="AI842" s="234"/>
      <c r="AJ842" s="234"/>
      <c r="AK842" s="234"/>
      <c r="AL842" s="234"/>
      <c r="AM842" s="234"/>
      <c r="AN842" s="234"/>
      <c r="AO842" s="234"/>
      <c r="AP842" s="234"/>
      <c r="AQ842" s="234"/>
      <c r="AR842" s="234"/>
      <c r="AS842" s="234"/>
      <c r="AT842" s="234"/>
      <c r="AU842" s="234"/>
      <c r="AV842" s="234"/>
      <c r="AW842" s="234"/>
      <c r="AX842" s="234"/>
      <c r="AY842" s="234"/>
    </row>
    <row r="843" spans="1:51" ht="24" customHeight="1" x14ac:dyDescent="0.25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  <c r="AB843" s="234"/>
      <c r="AC843" s="234"/>
      <c r="AD843" s="234"/>
      <c r="AE843" s="234"/>
      <c r="AF843" s="234"/>
      <c r="AG843" s="234"/>
      <c r="AH843" s="234"/>
      <c r="AI843" s="234"/>
      <c r="AJ843" s="234"/>
      <c r="AK843" s="234"/>
      <c r="AL843" s="234"/>
      <c r="AM843" s="234"/>
      <c r="AN843" s="234"/>
      <c r="AO843" s="234"/>
      <c r="AP843" s="234"/>
      <c r="AQ843" s="234"/>
      <c r="AR843" s="234"/>
      <c r="AS843" s="234"/>
      <c r="AT843" s="234"/>
      <c r="AU843" s="234"/>
      <c r="AV843" s="234"/>
      <c r="AW843" s="234"/>
      <c r="AX843" s="234"/>
      <c r="AY843" s="234"/>
    </row>
    <row r="844" spans="1:51" ht="24" customHeight="1" x14ac:dyDescent="0.25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  <c r="AB844" s="234"/>
      <c r="AC844" s="234"/>
      <c r="AD844" s="234"/>
      <c r="AE844" s="234"/>
      <c r="AF844" s="234"/>
      <c r="AG844" s="234"/>
      <c r="AH844" s="234"/>
      <c r="AI844" s="234"/>
      <c r="AJ844" s="234"/>
      <c r="AK844" s="234"/>
      <c r="AL844" s="234"/>
      <c r="AM844" s="234"/>
      <c r="AN844" s="234"/>
      <c r="AO844" s="234"/>
      <c r="AP844" s="234"/>
      <c r="AQ844" s="234"/>
      <c r="AR844" s="234"/>
      <c r="AS844" s="234"/>
      <c r="AT844" s="234"/>
      <c r="AU844" s="234"/>
      <c r="AV844" s="234"/>
      <c r="AW844" s="234"/>
      <c r="AX844" s="234"/>
      <c r="AY844" s="234"/>
    </row>
    <row r="845" spans="1:51" ht="24" customHeight="1" x14ac:dyDescent="0.2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  <c r="AB845" s="234"/>
      <c r="AC845" s="234"/>
      <c r="AD845" s="234"/>
      <c r="AE845" s="234"/>
      <c r="AF845" s="234"/>
      <c r="AG845" s="234"/>
      <c r="AH845" s="234"/>
      <c r="AI845" s="234"/>
      <c r="AJ845" s="234"/>
      <c r="AK845" s="234"/>
      <c r="AL845" s="234"/>
      <c r="AM845" s="234"/>
      <c r="AN845" s="234"/>
      <c r="AO845" s="234"/>
      <c r="AP845" s="234"/>
      <c r="AQ845" s="234"/>
      <c r="AR845" s="234"/>
      <c r="AS845" s="234"/>
      <c r="AT845" s="234"/>
      <c r="AU845" s="234"/>
      <c r="AV845" s="234"/>
      <c r="AW845" s="234"/>
      <c r="AX845" s="234"/>
      <c r="AY845" s="234"/>
    </row>
    <row r="846" spans="1:51" ht="24" customHeight="1" x14ac:dyDescent="0.25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  <c r="AB846" s="234"/>
      <c r="AC846" s="234"/>
      <c r="AD846" s="234"/>
      <c r="AE846" s="234"/>
      <c r="AF846" s="234"/>
      <c r="AG846" s="234"/>
      <c r="AH846" s="234"/>
      <c r="AI846" s="234"/>
      <c r="AJ846" s="234"/>
      <c r="AK846" s="234"/>
      <c r="AL846" s="234"/>
      <c r="AM846" s="234"/>
      <c r="AN846" s="234"/>
      <c r="AO846" s="234"/>
      <c r="AP846" s="234"/>
      <c r="AQ846" s="234"/>
      <c r="AR846" s="234"/>
      <c r="AS846" s="234"/>
      <c r="AT846" s="234"/>
      <c r="AU846" s="234"/>
      <c r="AV846" s="234"/>
      <c r="AW846" s="234"/>
      <c r="AX846" s="234"/>
      <c r="AY846" s="234"/>
    </row>
    <row r="847" spans="1:51" ht="24" customHeight="1" x14ac:dyDescent="0.25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  <c r="AB847" s="234"/>
      <c r="AC847" s="234"/>
      <c r="AD847" s="234"/>
      <c r="AE847" s="234"/>
      <c r="AF847" s="234"/>
      <c r="AG847" s="234"/>
      <c r="AH847" s="234"/>
      <c r="AI847" s="234"/>
      <c r="AJ847" s="234"/>
      <c r="AK847" s="234"/>
      <c r="AL847" s="234"/>
      <c r="AM847" s="234"/>
      <c r="AN847" s="234"/>
      <c r="AO847" s="234"/>
      <c r="AP847" s="234"/>
      <c r="AQ847" s="234"/>
      <c r="AR847" s="234"/>
      <c r="AS847" s="234"/>
      <c r="AT847" s="234"/>
      <c r="AU847" s="234"/>
      <c r="AV847" s="234"/>
      <c r="AW847" s="234"/>
      <c r="AX847" s="234"/>
      <c r="AY847" s="234"/>
    </row>
    <row r="848" spans="1:51" ht="24" customHeight="1" x14ac:dyDescent="0.25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  <c r="AB848" s="234"/>
      <c r="AC848" s="234"/>
      <c r="AD848" s="234"/>
      <c r="AE848" s="234"/>
      <c r="AF848" s="234"/>
      <c r="AG848" s="234"/>
      <c r="AH848" s="234"/>
      <c r="AI848" s="234"/>
      <c r="AJ848" s="234"/>
      <c r="AK848" s="234"/>
      <c r="AL848" s="234"/>
      <c r="AM848" s="234"/>
      <c r="AN848" s="234"/>
      <c r="AO848" s="234"/>
      <c r="AP848" s="234"/>
      <c r="AQ848" s="234"/>
      <c r="AR848" s="234"/>
      <c r="AS848" s="234"/>
      <c r="AT848" s="234"/>
      <c r="AU848" s="234"/>
      <c r="AV848" s="234"/>
      <c r="AW848" s="234"/>
      <c r="AX848" s="234"/>
      <c r="AY848" s="234"/>
    </row>
    <row r="849" spans="1:51" ht="24" customHeight="1" x14ac:dyDescent="0.25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  <c r="AB849" s="234"/>
      <c r="AC849" s="234"/>
      <c r="AD849" s="234"/>
      <c r="AE849" s="234"/>
      <c r="AF849" s="234"/>
      <c r="AG849" s="234"/>
      <c r="AH849" s="234"/>
      <c r="AI849" s="234"/>
      <c r="AJ849" s="234"/>
      <c r="AK849" s="234"/>
      <c r="AL849" s="234"/>
      <c r="AM849" s="234"/>
      <c r="AN849" s="234"/>
      <c r="AO849" s="234"/>
      <c r="AP849" s="234"/>
      <c r="AQ849" s="234"/>
      <c r="AR849" s="234"/>
      <c r="AS849" s="234"/>
      <c r="AT849" s="234"/>
      <c r="AU849" s="234"/>
      <c r="AV849" s="234"/>
      <c r="AW849" s="234"/>
      <c r="AX849" s="234"/>
      <c r="AY849" s="234"/>
    </row>
    <row r="850" spans="1:51" ht="24" customHeight="1" x14ac:dyDescent="0.25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  <c r="AB850" s="234"/>
      <c r="AC850" s="234"/>
      <c r="AD850" s="234"/>
      <c r="AE850" s="234"/>
      <c r="AF850" s="234"/>
      <c r="AG850" s="234"/>
      <c r="AH850" s="234"/>
      <c r="AI850" s="234"/>
      <c r="AJ850" s="234"/>
      <c r="AK850" s="234"/>
      <c r="AL850" s="234"/>
      <c r="AM850" s="234"/>
      <c r="AN850" s="234"/>
      <c r="AO850" s="234"/>
      <c r="AP850" s="234"/>
      <c r="AQ850" s="234"/>
      <c r="AR850" s="234"/>
      <c r="AS850" s="234"/>
      <c r="AT850" s="234"/>
      <c r="AU850" s="234"/>
      <c r="AV850" s="234"/>
      <c r="AW850" s="234"/>
      <c r="AX850" s="234"/>
      <c r="AY850" s="234"/>
    </row>
    <row r="851" spans="1:51" ht="24" customHeight="1" x14ac:dyDescent="0.25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  <c r="AB851" s="234"/>
      <c r="AC851" s="234"/>
      <c r="AD851" s="234"/>
      <c r="AE851" s="234"/>
      <c r="AF851" s="234"/>
      <c r="AG851" s="234"/>
      <c r="AH851" s="234"/>
      <c r="AI851" s="234"/>
      <c r="AJ851" s="234"/>
      <c r="AK851" s="234"/>
      <c r="AL851" s="234"/>
      <c r="AM851" s="234"/>
      <c r="AN851" s="234"/>
      <c r="AO851" s="234"/>
      <c r="AP851" s="234"/>
      <c r="AQ851" s="234"/>
      <c r="AR851" s="234"/>
      <c r="AS851" s="234"/>
      <c r="AT851" s="234"/>
      <c r="AU851" s="234"/>
      <c r="AV851" s="234"/>
      <c r="AW851" s="234"/>
      <c r="AX851" s="234"/>
      <c r="AY851" s="234"/>
    </row>
    <row r="852" spans="1:51" ht="24" customHeight="1" x14ac:dyDescent="0.25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  <c r="AB852" s="234"/>
      <c r="AC852" s="234"/>
      <c r="AD852" s="234"/>
      <c r="AE852" s="234"/>
      <c r="AF852" s="234"/>
      <c r="AG852" s="234"/>
      <c r="AH852" s="234"/>
      <c r="AI852" s="234"/>
      <c r="AJ852" s="234"/>
      <c r="AK852" s="234"/>
      <c r="AL852" s="234"/>
      <c r="AM852" s="234"/>
      <c r="AN852" s="234"/>
      <c r="AO852" s="234"/>
      <c r="AP852" s="234"/>
      <c r="AQ852" s="234"/>
      <c r="AR852" s="234"/>
      <c r="AS852" s="234"/>
      <c r="AT852" s="234"/>
      <c r="AU852" s="234"/>
      <c r="AV852" s="234"/>
      <c r="AW852" s="234"/>
      <c r="AX852" s="234"/>
      <c r="AY852" s="234"/>
    </row>
    <row r="853" spans="1:51" ht="24" customHeight="1" x14ac:dyDescent="0.25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  <c r="AB853" s="234"/>
      <c r="AC853" s="234"/>
      <c r="AD853" s="234"/>
      <c r="AE853" s="234"/>
      <c r="AF853" s="234"/>
      <c r="AG853" s="234"/>
      <c r="AH853" s="234"/>
      <c r="AI853" s="234"/>
      <c r="AJ853" s="234"/>
      <c r="AK853" s="234"/>
      <c r="AL853" s="234"/>
      <c r="AM853" s="234"/>
      <c r="AN853" s="234"/>
      <c r="AO853" s="234"/>
      <c r="AP853" s="234"/>
      <c r="AQ853" s="234"/>
      <c r="AR853" s="234"/>
      <c r="AS853" s="234"/>
      <c r="AT853" s="234"/>
      <c r="AU853" s="234"/>
      <c r="AV853" s="234"/>
      <c r="AW853" s="234"/>
      <c r="AX853" s="234"/>
      <c r="AY853" s="234"/>
    </row>
    <row r="854" spans="1:51" ht="24" customHeight="1" x14ac:dyDescent="0.25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  <c r="AB854" s="234"/>
      <c r="AC854" s="234"/>
      <c r="AD854" s="234"/>
      <c r="AE854" s="234"/>
      <c r="AF854" s="234"/>
      <c r="AG854" s="234"/>
      <c r="AH854" s="234"/>
      <c r="AI854" s="234"/>
      <c r="AJ854" s="234"/>
      <c r="AK854" s="234"/>
      <c r="AL854" s="234"/>
      <c r="AM854" s="234"/>
      <c r="AN854" s="234"/>
      <c r="AO854" s="234"/>
      <c r="AP854" s="234"/>
      <c r="AQ854" s="234"/>
      <c r="AR854" s="234"/>
      <c r="AS854" s="234"/>
      <c r="AT854" s="234"/>
      <c r="AU854" s="234"/>
      <c r="AV854" s="234"/>
      <c r="AW854" s="234"/>
      <c r="AX854" s="234"/>
      <c r="AY854" s="234"/>
    </row>
    <row r="855" spans="1:51" ht="24" customHeight="1" x14ac:dyDescent="0.2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  <c r="AB855" s="234"/>
      <c r="AC855" s="234"/>
      <c r="AD855" s="234"/>
      <c r="AE855" s="234"/>
      <c r="AF855" s="234"/>
      <c r="AG855" s="234"/>
      <c r="AH855" s="234"/>
      <c r="AI855" s="234"/>
      <c r="AJ855" s="234"/>
      <c r="AK855" s="234"/>
      <c r="AL855" s="234"/>
      <c r="AM855" s="234"/>
      <c r="AN855" s="234"/>
      <c r="AO855" s="234"/>
      <c r="AP855" s="234"/>
      <c r="AQ855" s="234"/>
      <c r="AR855" s="234"/>
      <c r="AS855" s="234"/>
      <c r="AT855" s="234"/>
      <c r="AU855" s="234"/>
      <c r="AV855" s="234"/>
      <c r="AW855" s="234"/>
      <c r="AX855" s="234"/>
      <c r="AY855" s="234"/>
    </row>
    <row r="856" spans="1:51" ht="24" customHeight="1" x14ac:dyDescent="0.25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  <c r="AB856" s="234"/>
      <c r="AC856" s="234"/>
      <c r="AD856" s="234"/>
      <c r="AE856" s="234"/>
      <c r="AF856" s="234"/>
      <c r="AG856" s="234"/>
      <c r="AH856" s="234"/>
      <c r="AI856" s="234"/>
      <c r="AJ856" s="234"/>
      <c r="AK856" s="234"/>
      <c r="AL856" s="234"/>
      <c r="AM856" s="234"/>
      <c r="AN856" s="234"/>
      <c r="AO856" s="234"/>
      <c r="AP856" s="234"/>
      <c r="AQ856" s="234"/>
      <c r="AR856" s="234"/>
      <c r="AS856" s="234"/>
      <c r="AT856" s="234"/>
      <c r="AU856" s="234"/>
      <c r="AV856" s="234"/>
      <c r="AW856" s="234"/>
      <c r="AX856" s="234"/>
      <c r="AY856" s="234"/>
    </row>
    <row r="857" spans="1:51" ht="24" customHeight="1" x14ac:dyDescent="0.25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  <c r="AB857" s="234"/>
      <c r="AC857" s="234"/>
      <c r="AD857" s="234"/>
      <c r="AE857" s="234"/>
      <c r="AF857" s="234"/>
      <c r="AG857" s="234"/>
      <c r="AH857" s="234"/>
      <c r="AI857" s="234"/>
      <c r="AJ857" s="234"/>
      <c r="AK857" s="234"/>
      <c r="AL857" s="234"/>
      <c r="AM857" s="234"/>
      <c r="AN857" s="234"/>
      <c r="AO857" s="234"/>
      <c r="AP857" s="234"/>
      <c r="AQ857" s="234"/>
      <c r="AR857" s="234"/>
      <c r="AS857" s="234"/>
      <c r="AT857" s="234"/>
      <c r="AU857" s="234"/>
      <c r="AV857" s="234"/>
      <c r="AW857" s="234"/>
      <c r="AX857" s="234"/>
      <c r="AY857" s="234"/>
    </row>
    <row r="858" spans="1:51" ht="24" customHeight="1" x14ac:dyDescent="0.25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  <c r="AB858" s="234"/>
      <c r="AC858" s="234"/>
      <c r="AD858" s="234"/>
      <c r="AE858" s="234"/>
      <c r="AF858" s="234"/>
      <c r="AG858" s="234"/>
      <c r="AH858" s="234"/>
      <c r="AI858" s="234"/>
      <c r="AJ858" s="234"/>
      <c r="AK858" s="234"/>
      <c r="AL858" s="234"/>
      <c r="AM858" s="234"/>
      <c r="AN858" s="234"/>
      <c r="AO858" s="234"/>
      <c r="AP858" s="234"/>
      <c r="AQ858" s="234"/>
      <c r="AR858" s="234"/>
      <c r="AS858" s="234"/>
      <c r="AT858" s="234"/>
      <c r="AU858" s="234"/>
      <c r="AV858" s="234"/>
      <c r="AW858" s="234"/>
      <c r="AX858" s="234"/>
      <c r="AY858" s="234"/>
    </row>
    <row r="859" spans="1:51" ht="24" customHeight="1" x14ac:dyDescent="0.25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  <c r="AB859" s="234"/>
      <c r="AC859" s="234"/>
      <c r="AD859" s="234"/>
      <c r="AE859" s="234"/>
      <c r="AF859" s="234"/>
      <c r="AG859" s="234"/>
      <c r="AH859" s="234"/>
      <c r="AI859" s="234"/>
      <c r="AJ859" s="234"/>
      <c r="AK859" s="234"/>
      <c r="AL859" s="234"/>
      <c r="AM859" s="234"/>
      <c r="AN859" s="234"/>
      <c r="AO859" s="234"/>
      <c r="AP859" s="234"/>
      <c r="AQ859" s="234"/>
      <c r="AR859" s="234"/>
      <c r="AS859" s="234"/>
      <c r="AT859" s="234"/>
      <c r="AU859" s="234"/>
      <c r="AV859" s="234"/>
      <c r="AW859" s="234"/>
      <c r="AX859" s="234"/>
      <c r="AY859" s="234"/>
    </row>
    <row r="860" spans="1:51" ht="24" customHeight="1" x14ac:dyDescent="0.25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  <c r="AB860" s="234"/>
      <c r="AC860" s="234"/>
      <c r="AD860" s="234"/>
      <c r="AE860" s="234"/>
      <c r="AF860" s="234"/>
      <c r="AG860" s="234"/>
      <c r="AH860" s="234"/>
      <c r="AI860" s="234"/>
      <c r="AJ860" s="234"/>
      <c r="AK860" s="234"/>
      <c r="AL860" s="234"/>
      <c r="AM860" s="234"/>
      <c r="AN860" s="234"/>
      <c r="AO860" s="234"/>
      <c r="AP860" s="234"/>
      <c r="AQ860" s="234"/>
      <c r="AR860" s="234"/>
      <c r="AS860" s="234"/>
      <c r="AT860" s="234"/>
      <c r="AU860" s="234"/>
      <c r="AV860" s="234"/>
      <c r="AW860" s="234"/>
      <c r="AX860" s="234"/>
      <c r="AY860" s="234"/>
    </row>
    <row r="861" spans="1:51" ht="24" customHeight="1" x14ac:dyDescent="0.25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  <c r="AB861" s="234"/>
      <c r="AC861" s="234"/>
      <c r="AD861" s="234"/>
      <c r="AE861" s="234"/>
      <c r="AF861" s="234"/>
      <c r="AG861" s="234"/>
      <c r="AH861" s="234"/>
      <c r="AI861" s="234"/>
      <c r="AJ861" s="234"/>
      <c r="AK861" s="234"/>
      <c r="AL861" s="234"/>
      <c r="AM861" s="234"/>
      <c r="AN861" s="234"/>
      <c r="AO861" s="234"/>
      <c r="AP861" s="234"/>
      <c r="AQ861" s="234"/>
      <c r="AR861" s="234"/>
      <c r="AS861" s="234"/>
      <c r="AT861" s="234"/>
      <c r="AU861" s="234"/>
      <c r="AV861" s="234"/>
      <c r="AW861" s="234"/>
      <c r="AX861" s="234"/>
      <c r="AY861" s="234"/>
    </row>
    <row r="862" spans="1:51" ht="24" customHeight="1" x14ac:dyDescent="0.25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  <c r="AB862" s="234"/>
      <c r="AC862" s="234"/>
      <c r="AD862" s="234"/>
      <c r="AE862" s="234"/>
      <c r="AF862" s="234"/>
      <c r="AG862" s="234"/>
      <c r="AH862" s="234"/>
      <c r="AI862" s="234"/>
      <c r="AJ862" s="234"/>
      <c r="AK862" s="234"/>
      <c r="AL862" s="234"/>
      <c r="AM862" s="234"/>
      <c r="AN862" s="234"/>
      <c r="AO862" s="234"/>
      <c r="AP862" s="234"/>
      <c r="AQ862" s="234"/>
      <c r="AR862" s="234"/>
      <c r="AS862" s="234"/>
      <c r="AT862" s="234"/>
      <c r="AU862" s="234"/>
      <c r="AV862" s="234"/>
      <c r="AW862" s="234"/>
      <c r="AX862" s="234"/>
      <c r="AY862" s="234"/>
    </row>
    <row r="863" spans="1:51" ht="24" customHeight="1" x14ac:dyDescent="0.25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  <c r="AB863" s="234"/>
      <c r="AC863" s="234"/>
      <c r="AD863" s="234"/>
      <c r="AE863" s="234"/>
      <c r="AF863" s="234"/>
      <c r="AG863" s="234"/>
      <c r="AH863" s="234"/>
      <c r="AI863" s="234"/>
      <c r="AJ863" s="234"/>
      <c r="AK863" s="234"/>
      <c r="AL863" s="234"/>
      <c r="AM863" s="234"/>
      <c r="AN863" s="234"/>
      <c r="AO863" s="234"/>
      <c r="AP863" s="234"/>
      <c r="AQ863" s="234"/>
      <c r="AR863" s="234"/>
      <c r="AS863" s="234"/>
      <c r="AT863" s="234"/>
      <c r="AU863" s="234"/>
      <c r="AV863" s="234"/>
      <c r="AW863" s="234"/>
      <c r="AX863" s="234"/>
      <c r="AY863" s="234"/>
    </row>
    <row r="864" spans="1:51" ht="24" customHeight="1" x14ac:dyDescent="0.25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  <c r="AB864" s="234"/>
      <c r="AC864" s="234"/>
      <c r="AD864" s="234"/>
      <c r="AE864" s="234"/>
      <c r="AF864" s="234"/>
      <c r="AG864" s="234"/>
      <c r="AH864" s="234"/>
      <c r="AI864" s="234"/>
      <c r="AJ864" s="234"/>
      <c r="AK864" s="234"/>
      <c r="AL864" s="234"/>
      <c r="AM864" s="234"/>
      <c r="AN864" s="234"/>
      <c r="AO864" s="234"/>
      <c r="AP864" s="234"/>
      <c r="AQ864" s="234"/>
      <c r="AR864" s="234"/>
      <c r="AS864" s="234"/>
      <c r="AT864" s="234"/>
      <c r="AU864" s="234"/>
      <c r="AV864" s="234"/>
      <c r="AW864" s="234"/>
      <c r="AX864" s="234"/>
      <c r="AY864" s="234"/>
    </row>
    <row r="865" spans="1:51" ht="24" customHeight="1" x14ac:dyDescent="0.2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  <c r="AB865" s="234"/>
      <c r="AC865" s="234"/>
      <c r="AD865" s="234"/>
      <c r="AE865" s="234"/>
      <c r="AF865" s="234"/>
      <c r="AG865" s="234"/>
      <c r="AH865" s="234"/>
      <c r="AI865" s="234"/>
      <c r="AJ865" s="234"/>
      <c r="AK865" s="234"/>
      <c r="AL865" s="234"/>
      <c r="AM865" s="234"/>
      <c r="AN865" s="234"/>
      <c r="AO865" s="234"/>
      <c r="AP865" s="234"/>
      <c r="AQ865" s="234"/>
      <c r="AR865" s="234"/>
      <c r="AS865" s="234"/>
      <c r="AT865" s="234"/>
      <c r="AU865" s="234"/>
      <c r="AV865" s="234"/>
      <c r="AW865" s="234"/>
      <c r="AX865" s="234"/>
      <c r="AY865" s="234"/>
    </row>
    <row r="866" spans="1:51" ht="24" customHeight="1" x14ac:dyDescent="0.25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  <c r="AB866" s="234"/>
      <c r="AC866" s="234"/>
      <c r="AD866" s="234"/>
      <c r="AE866" s="234"/>
      <c r="AF866" s="234"/>
      <c r="AG866" s="234"/>
      <c r="AH866" s="234"/>
      <c r="AI866" s="234"/>
      <c r="AJ866" s="234"/>
      <c r="AK866" s="234"/>
      <c r="AL866" s="234"/>
      <c r="AM866" s="234"/>
      <c r="AN866" s="234"/>
      <c r="AO866" s="234"/>
      <c r="AP866" s="234"/>
      <c r="AQ866" s="234"/>
      <c r="AR866" s="234"/>
      <c r="AS866" s="234"/>
      <c r="AT866" s="234"/>
      <c r="AU866" s="234"/>
      <c r="AV866" s="234"/>
      <c r="AW866" s="234"/>
      <c r="AX866" s="234"/>
      <c r="AY866" s="234"/>
    </row>
    <row r="867" spans="1:51" ht="24" customHeight="1" x14ac:dyDescent="0.25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  <c r="AB867" s="234"/>
      <c r="AC867" s="234"/>
      <c r="AD867" s="234"/>
      <c r="AE867" s="234"/>
      <c r="AF867" s="234"/>
      <c r="AG867" s="234"/>
      <c r="AH867" s="234"/>
      <c r="AI867" s="234"/>
      <c r="AJ867" s="234"/>
      <c r="AK867" s="234"/>
      <c r="AL867" s="234"/>
      <c r="AM867" s="234"/>
      <c r="AN867" s="234"/>
      <c r="AO867" s="234"/>
      <c r="AP867" s="234"/>
      <c r="AQ867" s="234"/>
      <c r="AR867" s="234"/>
      <c r="AS867" s="234"/>
      <c r="AT867" s="234"/>
      <c r="AU867" s="234"/>
      <c r="AV867" s="234"/>
      <c r="AW867" s="234"/>
      <c r="AX867" s="234"/>
      <c r="AY867" s="234"/>
    </row>
    <row r="868" spans="1:51" ht="24" customHeight="1" x14ac:dyDescent="0.25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  <c r="AB868" s="234"/>
      <c r="AC868" s="234"/>
      <c r="AD868" s="234"/>
      <c r="AE868" s="234"/>
      <c r="AF868" s="234"/>
      <c r="AG868" s="234"/>
      <c r="AH868" s="234"/>
      <c r="AI868" s="234"/>
      <c r="AJ868" s="234"/>
      <c r="AK868" s="234"/>
      <c r="AL868" s="234"/>
      <c r="AM868" s="234"/>
      <c r="AN868" s="234"/>
      <c r="AO868" s="234"/>
      <c r="AP868" s="234"/>
      <c r="AQ868" s="234"/>
      <c r="AR868" s="234"/>
      <c r="AS868" s="234"/>
      <c r="AT868" s="234"/>
      <c r="AU868" s="234"/>
      <c r="AV868" s="234"/>
      <c r="AW868" s="234"/>
      <c r="AX868" s="234"/>
      <c r="AY868" s="234"/>
    </row>
    <row r="869" spans="1:51" ht="24" customHeight="1" x14ac:dyDescent="0.25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  <c r="AB869" s="234"/>
      <c r="AC869" s="234"/>
      <c r="AD869" s="234"/>
      <c r="AE869" s="234"/>
      <c r="AF869" s="234"/>
      <c r="AG869" s="234"/>
      <c r="AH869" s="234"/>
      <c r="AI869" s="234"/>
      <c r="AJ869" s="234"/>
      <c r="AK869" s="234"/>
      <c r="AL869" s="234"/>
      <c r="AM869" s="234"/>
      <c r="AN869" s="234"/>
      <c r="AO869" s="234"/>
      <c r="AP869" s="234"/>
      <c r="AQ869" s="234"/>
      <c r="AR869" s="234"/>
      <c r="AS869" s="234"/>
      <c r="AT869" s="234"/>
      <c r="AU869" s="234"/>
      <c r="AV869" s="234"/>
      <c r="AW869" s="234"/>
      <c r="AX869" s="234"/>
      <c r="AY869" s="234"/>
    </row>
    <row r="870" spans="1:51" ht="24" customHeight="1" x14ac:dyDescent="0.25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  <c r="AB870" s="234"/>
      <c r="AC870" s="234"/>
      <c r="AD870" s="234"/>
      <c r="AE870" s="234"/>
      <c r="AF870" s="234"/>
      <c r="AG870" s="234"/>
      <c r="AH870" s="234"/>
      <c r="AI870" s="234"/>
      <c r="AJ870" s="234"/>
      <c r="AK870" s="234"/>
      <c r="AL870" s="234"/>
      <c r="AM870" s="234"/>
      <c r="AN870" s="234"/>
      <c r="AO870" s="234"/>
      <c r="AP870" s="234"/>
      <c r="AQ870" s="234"/>
      <c r="AR870" s="234"/>
      <c r="AS870" s="234"/>
      <c r="AT870" s="234"/>
      <c r="AU870" s="234"/>
      <c r="AV870" s="234"/>
      <c r="AW870" s="234"/>
      <c r="AX870" s="234"/>
      <c r="AY870" s="234"/>
    </row>
    <row r="871" spans="1:51" ht="24" customHeight="1" x14ac:dyDescent="0.25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  <c r="AB871" s="234"/>
      <c r="AC871" s="234"/>
      <c r="AD871" s="234"/>
      <c r="AE871" s="234"/>
      <c r="AF871" s="234"/>
      <c r="AG871" s="234"/>
      <c r="AH871" s="234"/>
      <c r="AI871" s="234"/>
      <c r="AJ871" s="234"/>
      <c r="AK871" s="234"/>
      <c r="AL871" s="234"/>
      <c r="AM871" s="234"/>
      <c r="AN871" s="234"/>
      <c r="AO871" s="234"/>
      <c r="AP871" s="234"/>
      <c r="AQ871" s="234"/>
      <c r="AR871" s="234"/>
      <c r="AS871" s="234"/>
      <c r="AT871" s="234"/>
      <c r="AU871" s="234"/>
      <c r="AV871" s="234"/>
      <c r="AW871" s="234"/>
      <c r="AX871" s="234"/>
      <c r="AY871" s="234"/>
    </row>
    <row r="872" spans="1:51" ht="24" customHeight="1" x14ac:dyDescent="0.25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  <c r="AB872" s="234"/>
      <c r="AC872" s="234"/>
      <c r="AD872" s="234"/>
      <c r="AE872" s="234"/>
      <c r="AF872" s="234"/>
      <c r="AG872" s="234"/>
      <c r="AH872" s="234"/>
      <c r="AI872" s="234"/>
      <c r="AJ872" s="234"/>
      <c r="AK872" s="234"/>
      <c r="AL872" s="234"/>
      <c r="AM872" s="234"/>
      <c r="AN872" s="234"/>
      <c r="AO872" s="234"/>
      <c r="AP872" s="234"/>
      <c r="AQ872" s="234"/>
      <c r="AR872" s="234"/>
      <c r="AS872" s="234"/>
      <c r="AT872" s="234"/>
      <c r="AU872" s="234"/>
      <c r="AV872" s="234"/>
      <c r="AW872" s="234"/>
      <c r="AX872" s="234"/>
      <c r="AY872" s="234"/>
    </row>
    <row r="873" spans="1:51" ht="24" customHeight="1" x14ac:dyDescent="0.25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  <c r="AB873" s="234"/>
      <c r="AC873" s="234"/>
      <c r="AD873" s="234"/>
      <c r="AE873" s="234"/>
      <c r="AF873" s="234"/>
      <c r="AG873" s="234"/>
      <c r="AH873" s="234"/>
      <c r="AI873" s="234"/>
      <c r="AJ873" s="234"/>
      <c r="AK873" s="234"/>
      <c r="AL873" s="234"/>
      <c r="AM873" s="234"/>
      <c r="AN873" s="234"/>
      <c r="AO873" s="234"/>
      <c r="AP873" s="234"/>
      <c r="AQ873" s="234"/>
      <c r="AR873" s="234"/>
      <c r="AS873" s="234"/>
      <c r="AT873" s="234"/>
      <c r="AU873" s="234"/>
      <c r="AV873" s="234"/>
      <c r="AW873" s="234"/>
      <c r="AX873" s="234"/>
      <c r="AY873" s="234"/>
    </row>
    <row r="874" spans="1:51" ht="24" customHeight="1" x14ac:dyDescent="0.25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  <c r="AB874" s="234"/>
      <c r="AC874" s="234"/>
      <c r="AD874" s="234"/>
      <c r="AE874" s="234"/>
      <c r="AF874" s="234"/>
      <c r="AG874" s="234"/>
      <c r="AH874" s="234"/>
      <c r="AI874" s="234"/>
      <c r="AJ874" s="234"/>
      <c r="AK874" s="234"/>
      <c r="AL874" s="234"/>
      <c r="AM874" s="234"/>
      <c r="AN874" s="234"/>
      <c r="AO874" s="234"/>
      <c r="AP874" s="234"/>
      <c r="AQ874" s="234"/>
      <c r="AR874" s="234"/>
      <c r="AS874" s="234"/>
      <c r="AT874" s="234"/>
      <c r="AU874" s="234"/>
      <c r="AV874" s="234"/>
      <c r="AW874" s="234"/>
      <c r="AX874" s="234"/>
      <c r="AY874" s="234"/>
    </row>
    <row r="875" spans="1:51" ht="24" customHeight="1" x14ac:dyDescent="0.2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  <c r="AB875" s="234"/>
      <c r="AC875" s="234"/>
      <c r="AD875" s="234"/>
      <c r="AE875" s="234"/>
      <c r="AF875" s="234"/>
      <c r="AG875" s="234"/>
      <c r="AH875" s="234"/>
      <c r="AI875" s="234"/>
      <c r="AJ875" s="234"/>
      <c r="AK875" s="234"/>
      <c r="AL875" s="234"/>
      <c r="AM875" s="234"/>
      <c r="AN875" s="234"/>
      <c r="AO875" s="234"/>
      <c r="AP875" s="234"/>
      <c r="AQ875" s="234"/>
      <c r="AR875" s="234"/>
      <c r="AS875" s="234"/>
      <c r="AT875" s="234"/>
      <c r="AU875" s="234"/>
      <c r="AV875" s="234"/>
      <c r="AW875" s="234"/>
      <c r="AX875" s="234"/>
      <c r="AY875" s="234"/>
    </row>
    <row r="876" spans="1:51" ht="24" customHeight="1" x14ac:dyDescent="0.25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  <c r="AB876" s="234"/>
      <c r="AC876" s="234"/>
      <c r="AD876" s="234"/>
      <c r="AE876" s="234"/>
      <c r="AF876" s="234"/>
      <c r="AG876" s="234"/>
      <c r="AH876" s="234"/>
      <c r="AI876" s="234"/>
      <c r="AJ876" s="234"/>
      <c r="AK876" s="234"/>
      <c r="AL876" s="234"/>
      <c r="AM876" s="234"/>
      <c r="AN876" s="234"/>
      <c r="AO876" s="234"/>
      <c r="AP876" s="234"/>
      <c r="AQ876" s="234"/>
      <c r="AR876" s="234"/>
      <c r="AS876" s="234"/>
      <c r="AT876" s="234"/>
      <c r="AU876" s="234"/>
      <c r="AV876" s="234"/>
      <c r="AW876" s="234"/>
      <c r="AX876" s="234"/>
      <c r="AY876" s="234"/>
    </row>
    <row r="877" spans="1:51" ht="24" customHeight="1" x14ac:dyDescent="0.25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  <c r="AB877" s="234"/>
      <c r="AC877" s="234"/>
      <c r="AD877" s="234"/>
      <c r="AE877" s="234"/>
      <c r="AF877" s="234"/>
      <c r="AG877" s="234"/>
      <c r="AH877" s="234"/>
      <c r="AI877" s="234"/>
      <c r="AJ877" s="234"/>
      <c r="AK877" s="234"/>
      <c r="AL877" s="234"/>
      <c r="AM877" s="234"/>
      <c r="AN877" s="234"/>
      <c r="AO877" s="234"/>
      <c r="AP877" s="234"/>
      <c r="AQ877" s="234"/>
      <c r="AR877" s="234"/>
      <c r="AS877" s="234"/>
      <c r="AT877" s="234"/>
      <c r="AU877" s="234"/>
      <c r="AV877" s="234"/>
      <c r="AW877" s="234"/>
      <c r="AX877" s="234"/>
      <c r="AY877" s="234"/>
    </row>
    <row r="878" spans="1:51" ht="24" customHeight="1" x14ac:dyDescent="0.25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  <c r="AB878" s="234"/>
      <c r="AC878" s="234"/>
      <c r="AD878" s="234"/>
      <c r="AE878" s="234"/>
      <c r="AF878" s="234"/>
      <c r="AG878" s="234"/>
      <c r="AH878" s="234"/>
      <c r="AI878" s="234"/>
      <c r="AJ878" s="234"/>
      <c r="AK878" s="234"/>
      <c r="AL878" s="234"/>
      <c r="AM878" s="234"/>
      <c r="AN878" s="234"/>
      <c r="AO878" s="234"/>
      <c r="AP878" s="234"/>
      <c r="AQ878" s="234"/>
      <c r="AR878" s="234"/>
      <c r="AS878" s="234"/>
      <c r="AT878" s="234"/>
      <c r="AU878" s="234"/>
      <c r="AV878" s="234"/>
      <c r="AW878" s="234"/>
      <c r="AX878" s="234"/>
      <c r="AY878" s="234"/>
    </row>
    <row r="879" spans="1:51" ht="24" customHeight="1" x14ac:dyDescent="0.25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  <c r="AB879" s="234"/>
      <c r="AC879" s="234"/>
      <c r="AD879" s="234"/>
      <c r="AE879" s="234"/>
      <c r="AF879" s="234"/>
      <c r="AG879" s="234"/>
      <c r="AH879" s="234"/>
      <c r="AI879" s="234"/>
      <c r="AJ879" s="234"/>
      <c r="AK879" s="234"/>
      <c r="AL879" s="234"/>
      <c r="AM879" s="234"/>
      <c r="AN879" s="234"/>
      <c r="AO879" s="234"/>
      <c r="AP879" s="234"/>
      <c r="AQ879" s="234"/>
      <c r="AR879" s="234"/>
      <c r="AS879" s="234"/>
      <c r="AT879" s="234"/>
      <c r="AU879" s="234"/>
      <c r="AV879" s="234"/>
      <c r="AW879" s="234"/>
      <c r="AX879" s="234"/>
      <c r="AY879" s="234"/>
    </row>
    <row r="880" spans="1:51" ht="24" customHeight="1" x14ac:dyDescent="0.25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  <c r="AB880" s="234"/>
      <c r="AC880" s="234"/>
      <c r="AD880" s="234"/>
      <c r="AE880" s="234"/>
      <c r="AF880" s="234"/>
      <c r="AG880" s="234"/>
      <c r="AH880" s="234"/>
      <c r="AI880" s="234"/>
      <c r="AJ880" s="234"/>
      <c r="AK880" s="234"/>
      <c r="AL880" s="234"/>
      <c r="AM880" s="234"/>
      <c r="AN880" s="234"/>
      <c r="AO880" s="234"/>
      <c r="AP880" s="234"/>
      <c r="AQ880" s="234"/>
      <c r="AR880" s="234"/>
      <c r="AS880" s="234"/>
      <c r="AT880" s="234"/>
      <c r="AU880" s="234"/>
      <c r="AV880" s="234"/>
      <c r="AW880" s="234"/>
      <c r="AX880" s="234"/>
      <c r="AY880" s="234"/>
    </row>
    <row r="881" spans="1:51" ht="24" customHeight="1" x14ac:dyDescent="0.25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  <c r="AB881" s="234"/>
      <c r="AC881" s="234"/>
      <c r="AD881" s="234"/>
      <c r="AE881" s="234"/>
      <c r="AF881" s="234"/>
      <c r="AG881" s="234"/>
      <c r="AH881" s="234"/>
      <c r="AI881" s="234"/>
      <c r="AJ881" s="234"/>
      <c r="AK881" s="234"/>
      <c r="AL881" s="234"/>
      <c r="AM881" s="234"/>
      <c r="AN881" s="234"/>
      <c r="AO881" s="234"/>
      <c r="AP881" s="234"/>
      <c r="AQ881" s="234"/>
      <c r="AR881" s="234"/>
      <c r="AS881" s="234"/>
      <c r="AT881" s="234"/>
      <c r="AU881" s="234"/>
      <c r="AV881" s="234"/>
      <c r="AW881" s="234"/>
      <c r="AX881" s="234"/>
      <c r="AY881" s="234"/>
    </row>
    <row r="882" spans="1:51" ht="24" customHeight="1" x14ac:dyDescent="0.25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  <c r="AB882" s="234"/>
      <c r="AC882" s="234"/>
      <c r="AD882" s="234"/>
      <c r="AE882" s="234"/>
      <c r="AF882" s="234"/>
      <c r="AG882" s="234"/>
      <c r="AH882" s="234"/>
      <c r="AI882" s="234"/>
      <c r="AJ882" s="234"/>
      <c r="AK882" s="234"/>
      <c r="AL882" s="234"/>
      <c r="AM882" s="234"/>
      <c r="AN882" s="234"/>
      <c r="AO882" s="234"/>
      <c r="AP882" s="234"/>
      <c r="AQ882" s="234"/>
      <c r="AR882" s="234"/>
      <c r="AS882" s="234"/>
      <c r="AT882" s="234"/>
      <c r="AU882" s="234"/>
      <c r="AV882" s="234"/>
      <c r="AW882" s="234"/>
      <c r="AX882" s="234"/>
      <c r="AY882" s="234"/>
    </row>
    <row r="883" spans="1:51" ht="24" customHeight="1" x14ac:dyDescent="0.25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  <c r="AB883" s="234"/>
      <c r="AC883" s="234"/>
      <c r="AD883" s="234"/>
      <c r="AE883" s="234"/>
      <c r="AF883" s="234"/>
      <c r="AG883" s="234"/>
      <c r="AH883" s="234"/>
      <c r="AI883" s="234"/>
      <c r="AJ883" s="234"/>
      <c r="AK883" s="234"/>
      <c r="AL883" s="234"/>
      <c r="AM883" s="234"/>
      <c r="AN883" s="234"/>
      <c r="AO883" s="234"/>
      <c r="AP883" s="234"/>
      <c r="AQ883" s="234"/>
      <c r="AR883" s="234"/>
      <c r="AS883" s="234"/>
      <c r="AT883" s="234"/>
      <c r="AU883" s="234"/>
      <c r="AV883" s="234"/>
      <c r="AW883" s="234"/>
      <c r="AX883" s="234"/>
      <c r="AY883" s="234"/>
    </row>
    <row r="884" spans="1:51" ht="24" customHeight="1" x14ac:dyDescent="0.25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  <c r="AB884" s="234"/>
      <c r="AC884" s="234"/>
      <c r="AD884" s="234"/>
      <c r="AE884" s="234"/>
      <c r="AF884" s="234"/>
      <c r="AG884" s="234"/>
      <c r="AH884" s="234"/>
      <c r="AI884" s="234"/>
      <c r="AJ884" s="234"/>
      <c r="AK884" s="234"/>
      <c r="AL884" s="234"/>
      <c r="AM884" s="234"/>
      <c r="AN884" s="234"/>
      <c r="AO884" s="234"/>
      <c r="AP884" s="234"/>
      <c r="AQ884" s="234"/>
      <c r="AR884" s="234"/>
      <c r="AS884" s="234"/>
      <c r="AT884" s="234"/>
      <c r="AU884" s="234"/>
      <c r="AV884" s="234"/>
      <c r="AW884" s="234"/>
      <c r="AX884" s="234"/>
      <c r="AY884" s="234"/>
    </row>
    <row r="885" spans="1:51" ht="24" customHeight="1" x14ac:dyDescent="0.2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  <c r="AB885" s="234"/>
      <c r="AC885" s="234"/>
      <c r="AD885" s="234"/>
      <c r="AE885" s="234"/>
      <c r="AF885" s="234"/>
      <c r="AG885" s="234"/>
      <c r="AH885" s="234"/>
      <c r="AI885" s="234"/>
      <c r="AJ885" s="234"/>
      <c r="AK885" s="234"/>
      <c r="AL885" s="234"/>
      <c r="AM885" s="234"/>
      <c r="AN885" s="234"/>
      <c r="AO885" s="234"/>
      <c r="AP885" s="234"/>
      <c r="AQ885" s="234"/>
      <c r="AR885" s="234"/>
      <c r="AS885" s="234"/>
      <c r="AT885" s="234"/>
      <c r="AU885" s="234"/>
      <c r="AV885" s="234"/>
      <c r="AW885" s="234"/>
      <c r="AX885" s="234"/>
      <c r="AY885" s="234"/>
    </row>
    <row r="886" spans="1:51" ht="24" customHeight="1" x14ac:dyDescent="0.25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  <c r="AB886" s="234"/>
      <c r="AC886" s="234"/>
      <c r="AD886" s="234"/>
      <c r="AE886" s="234"/>
      <c r="AF886" s="234"/>
      <c r="AG886" s="234"/>
      <c r="AH886" s="234"/>
      <c r="AI886" s="234"/>
      <c r="AJ886" s="234"/>
      <c r="AK886" s="234"/>
      <c r="AL886" s="234"/>
      <c r="AM886" s="234"/>
      <c r="AN886" s="234"/>
      <c r="AO886" s="234"/>
      <c r="AP886" s="234"/>
      <c r="AQ886" s="234"/>
      <c r="AR886" s="234"/>
      <c r="AS886" s="234"/>
      <c r="AT886" s="234"/>
      <c r="AU886" s="234"/>
      <c r="AV886" s="234"/>
      <c r="AW886" s="234"/>
      <c r="AX886" s="234"/>
      <c r="AY886" s="234"/>
    </row>
    <row r="887" spans="1:51" ht="24" customHeight="1" x14ac:dyDescent="0.25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  <c r="AB887" s="234"/>
      <c r="AC887" s="234"/>
      <c r="AD887" s="234"/>
      <c r="AE887" s="234"/>
      <c r="AF887" s="234"/>
      <c r="AG887" s="234"/>
      <c r="AH887" s="234"/>
      <c r="AI887" s="234"/>
      <c r="AJ887" s="234"/>
      <c r="AK887" s="234"/>
      <c r="AL887" s="234"/>
      <c r="AM887" s="234"/>
      <c r="AN887" s="234"/>
      <c r="AO887" s="234"/>
      <c r="AP887" s="234"/>
      <c r="AQ887" s="234"/>
      <c r="AR887" s="234"/>
      <c r="AS887" s="234"/>
      <c r="AT887" s="234"/>
      <c r="AU887" s="234"/>
      <c r="AV887" s="234"/>
      <c r="AW887" s="234"/>
      <c r="AX887" s="234"/>
      <c r="AY887" s="234"/>
    </row>
    <row r="888" spans="1:51" ht="24" customHeight="1" x14ac:dyDescent="0.25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  <c r="AB888" s="234"/>
      <c r="AC888" s="234"/>
      <c r="AD888" s="234"/>
      <c r="AE888" s="234"/>
      <c r="AF888" s="234"/>
      <c r="AG888" s="234"/>
      <c r="AH888" s="234"/>
      <c r="AI888" s="234"/>
      <c r="AJ888" s="234"/>
      <c r="AK888" s="234"/>
      <c r="AL888" s="234"/>
      <c r="AM888" s="234"/>
      <c r="AN888" s="234"/>
      <c r="AO888" s="234"/>
      <c r="AP888" s="234"/>
      <c r="AQ888" s="234"/>
      <c r="AR888" s="234"/>
      <c r="AS888" s="234"/>
      <c r="AT888" s="234"/>
      <c r="AU888" s="234"/>
      <c r="AV888" s="234"/>
      <c r="AW888" s="234"/>
      <c r="AX888" s="234"/>
      <c r="AY888" s="234"/>
    </row>
    <row r="889" spans="1:51" ht="24" customHeight="1" x14ac:dyDescent="0.25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  <c r="AB889" s="234"/>
      <c r="AC889" s="234"/>
      <c r="AD889" s="234"/>
      <c r="AE889" s="234"/>
      <c r="AF889" s="234"/>
      <c r="AG889" s="234"/>
      <c r="AH889" s="234"/>
      <c r="AI889" s="234"/>
      <c r="AJ889" s="234"/>
      <c r="AK889" s="234"/>
      <c r="AL889" s="234"/>
      <c r="AM889" s="234"/>
      <c r="AN889" s="234"/>
      <c r="AO889" s="234"/>
      <c r="AP889" s="234"/>
      <c r="AQ889" s="234"/>
      <c r="AR889" s="234"/>
      <c r="AS889" s="234"/>
      <c r="AT889" s="234"/>
      <c r="AU889" s="234"/>
      <c r="AV889" s="234"/>
      <c r="AW889" s="234"/>
      <c r="AX889" s="234"/>
      <c r="AY889" s="234"/>
    </row>
    <row r="890" spans="1:51" ht="24" customHeight="1" x14ac:dyDescent="0.25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  <c r="AB890" s="234"/>
      <c r="AC890" s="234"/>
      <c r="AD890" s="234"/>
      <c r="AE890" s="234"/>
      <c r="AF890" s="234"/>
      <c r="AG890" s="234"/>
      <c r="AH890" s="234"/>
      <c r="AI890" s="234"/>
      <c r="AJ890" s="234"/>
      <c r="AK890" s="234"/>
      <c r="AL890" s="234"/>
      <c r="AM890" s="234"/>
      <c r="AN890" s="234"/>
      <c r="AO890" s="234"/>
      <c r="AP890" s="234"/>
      <c r="AQ890" s="234"/>
      <c r="AR890" s="234"/>
      <c r="AS890" s="234"/>
      <c r="AT890" s="234"/>
      <c r="AU890" s="234"/>
      <c r="AV890" s="234"/>
      <c r="AW890" s="234"/>
      <c r="AX890" s="234"/>
      <c r="AY890" s="234"/>
    </row>
    <row r="891" spans="1:51" ht="24" customHeight="1" x14ac:dyDescent="0.25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  <c r="AB891" s="234"/>
      <c r="AC891" s="234"/>
      <c r="AD891" s="234"/>
      <c r="AE891" s="234"/>
      <c r="AF891" s="234"/>
      <c r="AG891" s="234"/>
      <c r="AH891" s="234"/>
      <c r="AI891" s="234"/>
      <c r="AJ891" s="234"/>
      <c r="AK891" s="234"/>
      <c r="AL891" s="234"/>
      <c r="AM891" s="234"/>
      <c r="AN891" s="234"/>
      <c r="AO891" s="234"/>
      <c r="AP891" s="234"/>
      <c r="AQ891" s="234"/>
      <c r="AR891" s="234"/>
      <c r="AS891" s="234"/>
      <c r="AT891" s="234"/>
      <c r="AU891" s="234"/>
      <c r="AV891" s="234"/>
      <c r="AW891" s="234"/>
      <c r="AX891" s="234"/>
      <c r="AY891" s="234"/>
    </row>
    <row r="892" spans="1:51" ht="24" customHeight="1" x14ac:dyDescent="0.25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  <c r="AB892" s="234"/>
      <c r="AC892" s="234"/>
      <c r="AD892" s="234"/>
      <c r="AE892" s="234"/>
      <c r="AF892" s="234"/>
      <c r="AG892" s="234"/>
      <c r="AH892" s="234"/>
      <c r="AI892" s="234"/>
      <c r="AJ892" s="234"/>
      <c r="AK892" s="234"/>
      <c r="AL892" s="234"/>
      <c r="AM892" s="234"/>
      <c r="AN892" s="234"/>
      <c r="AO892" s="234"/>
      <c r="AP892" s="234"/>
      <c r="AQ892" s="234"/>
      <c r="AR892" s="234"/>
      <c r="AS892" s="234"/>
      <c r="AT892" s="234"/>
      <c r="AU892" s="234"/>
      <c r="AV892" s="234"/>
      <c r="AW892" s="234"/>
      <c r="AX892" s="234"/>
      <c r="AY892" s="234"/>
    </row>
    <row r="893" spans="1:51" ht="24" customHeight="1" x14ac:dyDescent="0.25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  <c r="AB893" s="234"/>
      <c r="AC893" s="234"/>
      <c r="AD893" s="234"/>
      <c r="AE893" s="234"/>
      <c r="AF893" s="234"/>
      <c r="AG893" s="234"/>
      <c r="AH893" s="234"/>
      <c r="AI893" s="234"/>
      <c r="AJ893" s="234"/>
      <c r="AK893" s="234"/>
      <c r="AL893" s="234"/>
      <c r="AM893" s="234"/>
      <c r="AN893" s="234"/>
      <c r="AO893" s="234"/>
      <c r="AP893" s="234"/>
      <c r="AQ893" s="234"/>
      <c r="AR893" s="234"/>
      <c r="AS893" s="234"/>
      <c r="AT893" s="234"/>
      <c r="AU893" s="234"/>
      <c r="AV893" s="234"/>
      <c r="AW893" s="234"/>
      <c r="AX893" s="234"/>
      <c r="AY893" s="234"/>
    </row>
    <row r="894" spans="1:51" ht="24" customHeight="1" x14ac:dyDescent="0.25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  <c r="AB894" s="234"/>
      <c r="AC894" s="234"/>
      <c r="AD894" s="234"/>
      <c r="AE894" s="234"/>
      <c r="AF894" s="234"/>
      <c r="AG894" s="234"/>
      <c r="AH894" s="234"/>
      <c r="AI894" s="234"/>
      <c r="AJ894" s="234"/>
      <c r="AK894" s="234"/>
      <c r="AL894" s="234"/>
      <c r="AM894" s="234"/>
      <c r="AN894" s="234"/>
      <c r="AO894" s="234"/>
      <c r="AP894" s="234"/>
      <c r="AQ894" s="234"/>
      <c r="AR894" s="234"/>
      <c r="AS894" s="234"/>
      <c r="AT894" s="234"/>
      <c r="AU894" s="234"/>
      <c r="AV894" s="234"/>
      <c r="AW894" s="234"/>
      <c r="AX894" s="234"/>
      <c r="AY894" s="234"/>
    </row>
    <row r="895" spans="1:51" ht="24" customHeight="1" x14ac:dyDescent="0.2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  <c r="AB895" s="234"/>
      <c r="AC895" s="234"/>
      <c r="AD895" s="234"/>
      <c r="AE895" s="234"/>
      <c r="AF895" s="234"/>
      <c r="AG895" s="234"/>
      <c r="AH895" s="234"/>
      <c r="AI895" s="234"/>
      <c r="AJ895" s="234"/>
      <c r="AK895" s="234"/>
      <c r="AL895" s="234"/>
      <c r="AM895" s="234"/>
      <c r="AN895" s="234"/>
      <c r="AO895" s="234"/>
      <c r="AP895" s="234"/>
      <c r="AQ895" s="234"/>
      <c r="AR895" s="234"/>
      <c r="AS895" s="234"/>
      <c r="AT895" s="234"/>
      <c r="AU895" s="234"/>
      <c r="AV895" s="234"/>
      <c r="AW895" s="234"/>
      <c r="AX895" s="234"/>
      <c r="AY895" s="234"/>
    </row>
    <row r="896" spans="1:51" ht="24" customHeight="1" x14ac:dyDescent="0.25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  <c r="AB896" s="234"/>
      <c r="AC896" s="234"/>
      <c r="AD896" s="234"/>
      <c r="AE896" s="234"/>
      <c r="AF896" s="234"/>
      <c r="AG896" s="234"/>
      <c r="AH896" s="234"/>
      <c r="AI896" s="234"/>
      <c r="AJ896" s="234"/>
      <c r="AK896" s="234"/>
      <c r="AL896" s="234"/>
      <c r="AM896" s="234"/>
      <c r="AN896" s="234"/>
      <c r="AO896" s="234"/>
      <c r="AP896" s="234"/>
      <c r="AQ896" s="234"/>
      <c r="AR896" s="234"/>
      <c r="AS896" s="234"/>
      <c r="AT896" s="234"/>
      <c r="AU896" s="234"/>
      <c r="AV896" s="234"/>
      <c r="AW896" s="234"/>
      <c r="AX896" s="234"/>
      <c r="AY896" s="234"/>
    </row>
    <row r="897" spans="1:51" ht="24" customHeight="1" x14ac:dyDescent="0.25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  <c r="AB897" s="234"/>
      <c r="AC897" s="234"/>
      <c r="AD897" s="234"/>
      <c r="AE897" s="234"/>
      <c r="AF897" s="234"/>
      <c r="AG897" s="234"/>
      <c r="AH897" s="234"/>
      <c r="AI897" s="234"/>
      <c r="AJ897" s="234"/>
      <c r="AK897" s="234"/>
      <c r="AL897" s="234"/>
      <c r="AM897" s="234"/>
      <c r="AN897" s="234"/>
      <c r="AO897" s="234"/>
      <c r="AP897" s="234"/>
      <c r="AQ897" s="234"/>
      <c r="AR897" s="234"/>
      <c r="AS897" s="234"/>
      <c r="AT897" s="234"/>
      <c r="AU897" s="234"/>
      <c r="AV897" s="234"/>
      <c r="AW897" s="234"/>
      <c r="AX897" s="234"/>
      <c r="AY897" s="234"/>
    </row>
    <row r="898" spans="1:51" ht="24" customHeight="1" x14ac:dyDescent="0.25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  <c r="AB898" s="234"/>
      <c r="AC898" s="234"/>
      <c r="AD898" s="234"/>
      <c r="AE898" s="234"/>
      <c r="AF898" s="234"/>
      <c r="AG898" s="234"/>
      <c r="AH898" s="234"/>
      <c r="AI898" s="234"/>
      <c r="AJ898" s="234"/>
      <c r="AK898" s="234"/>
      <c r="AL898" s="234"/>
      <c r="AM898" s="234"/>
      <c r="AN898" s="234"/>
      <c r="AO898" s="234"/>
      <c r="AP898" s="234"/>
      <c r="AQ898" s="234"/>
      <c r="AR898" s="234"/>
      <c r="AS898" s="234"/>
      <c r="AT898" s="234"/>
      <c r="AU898" s="234"/>
      <c r="AV898" s="234"/>
      <c r="AW898" s="234"/>
      <c r="AX898" s="234"/>
      <c r="AY898" s="234"/>
    </row>
    <row r="899" spans="1:51" ht="24" customHeight="1" x14ac:dyDescent="0.25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  <c r="AB899" s="234"/>
      <c r="AC899" s="234"/>
      <c r="AD899" s="234"/>
      <c r="AE899" s="234"/>
      <c r="AF899" s="234"/>
      <c r="AG899" s="234"/>
      <c r="AH899" s="234"/>
      <c r="AI899" s="234"/>
      <c r="AJ899" s="234"/>
      <c r="AK899" s="234"/>
      <c r="AL899" s="234"/>
      <c r="AM899" s="234"/>
      <c r="AN899" s="234"/>
      <c r="AO899" s="234"/>
      <c r="AP899" s="234"/>
      <c r="AQ899" s="234"/>
      <c r="AR899" s="234"/>
      <c r="AS899" s="234"/>
      <c r="AT899" s="234"/>
      <c r="AU899" s="234"/>
      <c r="AV899" s="234"/>
      <c r="AW899" s="234"/>
      <c r="AX899" s="234"/>
      <c r="AY899" s="234"/>
    </row>
    <row r="900" spans="1:51" ht="24" customHeight="1" x14ac:dyDescent="0.25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  <c r="AB900" s="234"/>
      <c r="AC900" s="234"/>
      <c r="AD900" s="234"/>
      <c r="AE900" s="234"/>
      <c r="AF900" s="234"/>
      <c r="AG900" s="234"/>
      <c r="AH900" s="234"/>
      <c r="AI900" s="234"/>
      <c r="AJ900" s="234"/>
      <c r="AK900" s="234"/>
      <c r="AL900" s="234"/>
      <c r="AM900" s="234"/>
      <c r="AN900" s="234"/>
      <c r="AO900" s="234"/>
      <c r="AP900" s="234"/>
      <c r="AQ900" s="234"/>
      <c r="AR900" s="234"/>
      <c r="AS900" s="234"/>
      <c r="AT900" s="234"/>
      <c r="AU900" s="234"/>
      <c r="AV900" s="234"/>
      <c r="AW900" s="234"/>
      <c r="AX900" s="234"/>
      <c r="AY900" s="234"/>
    </row>
    <row r="901" spans="1:51" ht="24" customHeight="1" x14ac:dyDescent="0.25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  <c r="AB901" s="234"/>
      <c r="AC901" s="234"/>
      <c r="AD901" s="234"/>
      <c r="AE901" s="234"/>
      <c r="AF901" s="234"/>
      <c r="AG901" s="234"/>
      <c r="AH901" s="234"/>
      <c r="AI901" s="234"/>
      <c r="AJ901" s="234"/>
      <c r="AK901" s="234"/>
      <c r="AL901" s="234"/>
      <c r="AM901" s="234"/>
      <c r="AN901" s="234"/>
      <c r="AO901" s="234"/>
      <c r="AP901" s="234"/>
      <c r="AQ901" s="234"/>
      <c r="AR901" s="234"/>
      <c r="AS901" s="234"/>
      <c r="AT901" s="234"/>
      <c r="AU901" s="234"/>
      <c r="AV901" s="234"/>
      <c r="AW901" s="234"/>
      <c r="AX901" s="234"/>
      <c r="AY901" s="234"/>
    </row>
    <row r="902" spans="1:51" ht="24" customHeight="1" x14ac:dyDescent="0.25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  <c r="AB902" s="234"/>
      <c r="AC902" s="234"/>
      <c r="AD902" s="234"/>
      <c r="AE902" s="234"/>
      <c r="AF902" s="234"/>
      <c r="AG902" s="234"/>
      <c r="AH902" s="234"/>
      <c r="AI902" s="234"/>
      <c r="AJ902" s="234"/>
      <c r="AK902" s="234"/>
      <c r="AL902" s="234"/>
      <c r="AM902" s="234"/>
      <c r="AN902" s="234"/>
      <c r="AO902" s="234"/>
      <c r="AP902" s="234"/>
      <c r="AQ902" s="234"/>
      <c r="AR902" s="234"/>
      <c r="AS902" s="234"/>
      <c r="AT902" s="234"/>
      <c r="AU902" s="234"/>
      <c r="AV902" s="234"/>
      <c r="AW902" s="234"/>
      <c r="AX902" s="234"/>
      <c r="AY902" s="234"/>
    </row>
    <row r="903" spans="1:51" ht="24" customHeight="1" x14ac:dyDescent="0.25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  <c r="AB903" s="234"/>
      <c r="AC903" s="234"/>
      <c r="AD903" s="234"/>
      <c r="AE903" s="234"/>
      <c r="AF903" s="234"/>
      <c r="AG903" s="234"/>
      <c r="AH903" s="234"/>
      <c r="AI903" s="234"/>
      <c r="AJ903" s="234"/>
      <c r="AK903" s="234"/>
      <c r="AL903" s="234"/>
      <c r="AM903" s="234"/>
      <c r="AN903" s="234"/>
      <c r="AO903" s="234"/>
      <c r="AP903" s="234"/>
      <c r="AQ903" s="234"/>
      <c r="AR903" s="234"/>
      <c r="AS903" s="234"/>
      <c r="AT903" s="234"/>
      <c r="AU903" s="234"/>
      <c r="AV903" s="234"/>
      <c r="AW903" s="234"/>
      <c r="AX903" s="234"/>
      <c r="AY903" s="234"/>
    </row>
    <row r="904" spans="1:51" ht="24" customHeight="1" x14ac:dyDescent="0.25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  <c r="AB904" s="234"/>
      <c r="AC904" s="234"/>
      <c r="AD904" s="234"/>
      <c r="AE904" s="234"/>
      <c r="AF904" s="234"/>
      <c r="AG904" s="234"/>
      <c r="AH904" s="234"/>
      <c r="AI904" s="234"/>
      <c r="AJ904" s="234"/>
      <c r="AK904" s="234"/>
      <c r="AL904" s="234"/>
      <c r="AM904" s="234"/>
      <c r="AN904" s="234"/>
      <c r="AO904" s="234"/>
      <c r="AP904" s="234"/>
      <c r="AQ904" s="234"/>
      <c r="AR904" s="234"/>
      <c r="AS904" s="234"/>
      <c r="AT904" s="234"/>
      <c r="AU904" s="234"/>
      <c r="AV904" s="234"/>
      <c r="AW904" s="234"/>
      <c r="AX904" s="234"/>
      <c r="AY904" s="234"/>
    </row>
    <row r="905" spans="1:51" ht="24" customHeight="1" x14ac:dyDescent="0.2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  <c r="AB905" s="234"/>
      <c r="AC905" s="234"/>
      <c r="AD905" s="234"/>
      <c r="AE905" s="234"/>
      <c r="AF905" s="234"/>
      <c r="AG905" s="234"/>
      <c r="AH905" s="234"/>
      <c r="AI905" s="234"/>
      <c r="AJ905" s="234"/>
      <c r="AK905" s="234"/>
      <c r="AL905" s="234"/>
      <c r="AM905" s="234"/>
      <c r="AN905" s="234"/>
      <c r="AO905" s="234"/>
      <c r="AP905" s="234"/>
      <c r="AQ905" s="234"/>
      <c r="AR905" s="234"/>
      <c r="AS905" s="234"/>
      <c r="AT905" s="234"/>
      <c r="AU905" s="234"/>
      <c r="AV905" s="234"/>
      <c r="AW905" s="234"/>
      <c r="AX905" s="234"/>
      <c r="AY905" s="234"/>
    </row>
    <row r="906" spans="1:51" ht="24" customHeight="1" x14ac:dyDescent="0.25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  <c r="AB906" s="234"/>
      <c r="AC906" s="234"/>
      <c r="AD906" s="234"/>
      <c r="AE906" s="234"/>
      <c r="AF906" s="234"/>
      <c r="AG906" s="234"/>
      <c r="AH906" s="234"/>
      <c r="AI906" s="234"/>
      <c r="AJ906" s="234"/>
      <c r="AK906" s="234"/>
      <c r="AL906" s="234"/>
      <c r="AM906" s="234"/>
      <c r="AN906" s="234"/>
      <c r="AO906" s="234"/>
      <c r="AP906" s="234"/>
      <c r="AQ906" s="234"/>
      <c r="AR906" s="234"/>
      <c r="AS906" s="234"/>
      <c r="AT906" s="234"/>
      <c r="AU906" s="234"/>
      <c r="AV906" s="234"/>
      <c r="AW906" s="234"/>
      <c r="AX906" s="234"/>
      <c r="AY906" s="234"/>
    </row>
    <row r="907" spans="1:51" ht="24" customHeight="1" x14ac:dyDescent="0.25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  <c r="AB907" s="234"/>
      <c r="AC907" s="234"/>
      <c r="AD907" s="234"/>
      <c r="AE907" s="234"/>
      <c r="AF907" s="234"/>
      <c r="AG907" s="234"/>
      <c r="AH907" s="234"/>
      <c r="AI907" s="234"/>
      <c r="AJ907" s="234"/>
      <c r="AK907" s="234"/>
      <c r="AL907" s="234"/>
      <c r="AM907" s="234"/>
      <c r="AN907" s="234"/>
      <c r="AO907" s="234"/>
      <c r="AP907" s="234"/>
      <c r="AQ907" s="234"/>
      <c r="AR907" s="234"/>
      <c r="AS907" s="234"/>
      <c r="AT907" s="234"/>
      <c r="AU907" s="234"/>
      <c r="AV907" s="234"/>
      <c r="AW907" s="234"/>
      <c r="AX907" s="234"/>
      <c r="AY907" s="234"/>
    </row>
    <row r="908" spans="1:51" ht="24" customHeight="1" x14ac:dyDescent="0.25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  <c r="AB908" s="234"/>
      <c r="AC908" s="234"/>
      <c r="AD908" s="234"/>
      <c r="AE908" s="234"/>
      <c r="AF908" s="234"/>
      <c r="AG908" s="234"/>
      <c r="AH908" s="234"/>
      <c r="AI908" s="234"/>
      <c r="AJ908" s="234"/>
      <c r="AK908" s="234"/>
      <c r="AL908" s="234"/>
      <c r="AM908" s="234"/>
      <c r="AN908" s="234"/>
      <c r="AO908" s="234"/>
      <c r="AP908" s="234"/>
      <c r="AQ908" s="234"/>
      <c r="AR908" s="234"/>
      <c r="AS908" s="234"/>
      <c r="AT908" s="234"/>
      <c r="AU908" s="234"/>
      <c r="AV908" s="234"/>
      <c r="AW908" s="234"/>
      <c r="AX908" s="234"/>
      <c r="AY908" s="234"/>
    </row>
    <row r="909" spans="1:51" ht="24" customHeight="1" x14ac:dyDescent="0.25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  <c r="AB909" s="234"/>
      <c r="AC909" s="234"/>
      <c r="AD909" s="234"/>
      <c r="AE909" s="234"/>
      <c r="AF909" s="234"/>
      <c r="AG909" s="234"/>
      <c r="AH909" s="234"/>
      <c r="AI909" s="234"/>
      <c r="AJ909" s="234"/>
      <c r="AK909" s="234"/>
      <c r="AL909" s="234"/>
      <c r="AM909" s="234"/>
      <c r="AN909" s="234"/>
      <c r="AO909" s="234"/>
      <c r="AP909" s="234"/>
      <c r="AQ909" s="234"/>
      <c r="AR909" s="234"/>
      <c r="AS909" s="234"/>
      <c r="AT909" s="234"/>
      <c r="AU909" s="234"/>
      <c r="AV909" s="234"/>
      <c r="AW909" s="234"/>
      <c r="AX909" s="234"/>
      <c r="AY909" s="234"/>
    </row>
    <row r="910" spans="1:51" ht="24" customHeight="1" x14ac:dyDescent="0.25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  <c r="AB910" s="234"/>
      <c r="AC910" s="234"/>
      <c r="AD910" s="234"/>
      <c r="AE910" s="234"/>
      <c r="AF910" s="234"/>
      <c r="AG910" s="234"/>
      <c r="AH910" s="234"/>
      <c r="AI910" s="234"/>
      <c r="AJ910" s="234"/>
      <c r="AK910" s="234"/>
      <c r="AL910" s="234"/>
      <c r="AM910" s="234"/>
      <c r="AN910" s="234"/>
      <c r="AO910" s="234"/>
      <c r="AP910" s="234"/>
      <c r="AQ910" s="234"/>
      <c r="AR910" s="234"/>
      <c r="AS910" s="234"/>
      <c r="AT910" s="234"/>
      <c r="AU910" s="234"/>
      <c r="AV910" s="234"/>
      <c r="AW910" s="234"/>
      <c r="AX910" s="234"/>
      <c r="AY910" s="234"/>
    </row>
    <row r="911" spans="1:51" ht="24" customHeight="1" x14ac:dyDescent="0.25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  <c r="AB911" s="234"/>
      <c r="AC911" s="234"/>
      <c r="AD911" s="234"/>
      <c r="AE911" s="234"/>
      <c r="AF911" s="234"/>
      <c r="AG911" s="234"/>
      <c r="AH911" s="234"/>
      <c r="AI911" s="234"/>
      <c r="AJ911" s="234"/>
      <c r="AK911" s="234"/>
      <c r="AL911" s="234"/>
      <c r="AM911" s="234"/>
      <c r="AN911" s="234"/>
      <c r="AO911" s="234"/>
      <c r="AP911" s="234"/>
      <c r="AQ911" s="234"/>
      <c r="AR911" s="234"/>
      <c r="AS911" s="234"/>
      <c r="AT911" s="234"/>
      <c r="AU911" s="234"/>
      <c r="AV911" s="234"/>
      <c r="AW911" s="234"/>
      <c r="AX911" s="234"/>
      <c r="AY911" s="234"/>
    </row>
    <row r="912" spans="1:51" ht="24" customHeight="1" x14ac:dyDescent="0.25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  <c r="AB912" s="234"/>
      <c r="AC912" s="234"/>
      <c r="AD912" s="234"/>
      <c r="AE912" s="234"/>
      <c r="AF912" s="234"/>
      <c r="AG912" s="234"/>
      <c r="AH912" s="234"/>
      <c r="AI912" s="234"/>
      <c r="AJ912" s="234"/>
      <c r="AK912" s="234"/>
      <c r="AL912" s="234"/>
      <c r="AM912" s="234"/>
      <c r="AN912" s="234"/>
      <c r="AO912" s="234"/>
      <c r="AP912" s="234"/>
      <c r="AQ912" s="234"/>
      <c r="AR912" s="234"/>
      <c r="AS912" s="234"/>
      <c r="AT912" s="234"/>
      <c r="AU912" s="234"/>
      <c r="AV912" s="234"/>
      <c r="AW912" s="234"/>
      <c r="AX912" s="234"/>
      <c r="AY912" s="234"/>
    </row>
    <row r="913" spans="1:51" ht="24" customHeight="1" x14ac:dyDescent="0.25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  <c r="AB913" s="234"/>
      <c r="AC913" s="234"/>
      <c r="AD913" s="234"/>
      <c r="AE913" s="234"/>
      <c r="AF913" s="234"/>
      <c r="AG913" s="234"/>
      <c r="AH913" s="234"/>
      <c r="AI913" s="234"/>
      <c r="AJ913" s="234"/>
      <c r="AK913" s="234"/>
      <c r="AL913" s="234"/>
      <c r="AM913" s="234"/>
      <c r="AN913" s="234"/>
      <c r="AO913" s="234"/>
      <c r="AP913" s="234"/>
      <c r="AQ913" s="234"/>
      <c r="AR913" s="234"/>
      <c r="AS913" s="234"/>
      <c r="AT913" s="234"/>
      <c r="AU913" s="234"/>
      <c r="AV913" s="234"/>
      <c r="AW913" s="234"/>
      <c r="AX913" s="234"/>
      <c r="AY913" s="234"/>
    </row>
    <row r="914" spans="1:51" ht="24" customHeight="1" x14ac:dyDescent="0.25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  <c r="AB914" s="234"/>
      <c r="AC914" s="234"/>
      <c r="AD914" s="234"/>
      <c r="AE914" s="234"/>
      <c r="AF914" s="234"/>
      <c r="AG914" s="234"/>
      <c r="AH914" s="234"/>
      <c r="AI914" s="234"/>
      <c r="AJ914" s="234"/>
      <c r="AK914" s="234"/>
      <c r="AL914" s="234"/>
      <c r="AM914" s="234"/>
      <c r="AN914" s="234"/>
      <c r="AO914" s="234"/>
      <c r="AP914" s="234"/>
      <c r="AQ914" s="234"/>
      <c r="AR914" s="234"/>
      <c r="AS914" s="234"/>
      <c r="AT914" s="234"/>
      <c r="AU914" s="234"/>
      <c r="AV914" s="234"/>
      <c r="AW914" s="234"/>
      <c r="AX914" s="234"/>
      <c r="AY914" s="234"/>
    </row>
    <row r="915" spans="1:51" ht="24" customHeight="1" x14ac:dyDescent="0.2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  <c r="AB915" s="234"/>
      <c r="AC915" s="234"/>
      <c r="AD915" s="234"/>
      <c r="AE915" s="234"/>
      <c r="AF915" s="234"/>
      <c r="AG915" s="234"/>
      <c r="AH915" s="234"/>
      <c r="AI915" s="234"/>
      <c r="AJ915" s="234"/>
      <c r="AK915" s="234"/>
      <c r="AL915" s="234"/>
      <c r="AM915" s="234"/>
      <c r="AN915" s="234"/>
      <c r="AO915" s="234"/>
      <c r="AP915" s="234"/>
      <c r="AQ915" s="234"/>
      <c r="AR915" s="234"/>
      <c r="AS915" s="234"/>
      <c r="AT915" s="234"/>
      <c r="AU915" s="234"/>
      <c r="AV915" s="234"/>
      <c r="AW915" s="234"/>
      <c r="AX915" s="234"/>
      <c r="AY915" s="234"/>
    </row>
    <row r="916" spans="1:51" ht="24" customHeight="1" x14ac:dyDescent="0.25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  <c r="AB916" s="234"/>
      <c r="AC916" s="234"/>
      <c r="AD916" s="234"/>
      <c r="AE916" s="234"/>
      <c r="AF916" s="234"/>
      <c r="AG916" s="234"/>
      <c r="AH916" s="234"/>
      <c r="AI916" s="234"/>
      <c r="AJ916" s="234"/>
      <c r="AK916" s="234"/>
      <c r="AL916" s="234"/>
      <c r="AM916" s="234"/>
      <c r="AN916" s="234"/>
      <c r="AO916" s="234"/>
      <c r="AP916" s="234"/>
      <c r="AQ916" s="234"/>
      <c r="AR916" s="234"/>
      <c r="AS916" s="234"/>
      <c r="AT916" s="234"/>
      <c r="AU916" s="234"/>
      <c r="AV916" s="234"/>
      <c r="AW916" s="234"/>
      <c r="AX916" s="234"/>
      <c r="AY916" s="234"/>
    </row>
    <row r="917" spans="1:51" ht="24" customHeight="1" x14ac:dyDescent="0.25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  <c r="AB917" s="234"/>
      <c r="AC917" s="234"/>
      <c r="AD917" s="234"/>
      <c r="AE917" s="234"/>
      <c r="AF917" s="234"/>
      <c r="AG917" s="234"/>
      <c r="AH917" s="234"/>
      <c r="AI917" s="234"/>
      <c r="AJ917" s="234"/>
      <c r="AK917" s="234"/>
      <c r="AL917" s="234"/>
      <c r="AM917" s="234"/>
      <c r="AN917" s="234"/>
      <c r="AO917" s="234"/>
      <c r="AP917" s="234"/>
      <c r="AQ917" s="234"/>
      <c r="AR917" s="234"/>
      <c r="AS917" s="234"/>
      <c r="AT917" s="234"/>
      <c r="AU917" s="234"/>
      <c r="AV917" s="234"/>
      <c r="AW917" s="234"/>
      <c r="AX917" s="234"/>
      <c r="AY917" s="234"/>
    </row>
    <row r="918" spans="1:51" ht="24" customHeight="1" x14ac:dyDescent="0.25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  <c r="AB918" s="234"/>
      <c r="AC918" s="234"/>
      <c r="AD918" s="234"/>
      <c r="AE918" s="234"/>
      <c r="AF918" s="234"/>
      <c r="AG918" s="234"/>
      <c r="AH918" s="234"/>
      <c r="AI918" s="234"/>
      <c r="AJ918" s="234"/>
      <c r="AK918" s="234"/>
      <c r="AL918" s="234"/>
      <c r="AM918" s="234"/>
      <c r="AN918" s="234"/>
      <c r="AO918" s="234"/>
      <c r="AP918" s="234"/>
      <c r="AQ918" s="234"/>
      <c r="AR918" s="234"/>
      <c r="AS918" s="234"/>
      <c r="AT918" s="234"/>
      <c r="AU918" s="234"/>
      <c r="AV918" s="234"/>
      <c r="AW918" s="234"/>
      <c r="AX918" s="234"/>
      <c r="AY918" s="234"/>
    </row>
    <row r="919" spans="1:51" ht="24" customHeight="1" x14ac:dyDescent="0.25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  <c r="AB919" s="234"/>
      <c r="AC919" s="234"/>
      <c r="AD919" s="234"/>
      <c r="AE919" s="234"/>
      <c r="AF919" s="234"/>
      <c r="AG919" s="234"/>
      <c r="AH919" s="234"/>
      <c r="AI919" s="234"/>
      <c r="AJ919" s="234"/>
      <c r="AK919" s="234"/>
      <c r="AL919" s="234"/>
      <c r="AM919" s="234"/>
      <c r="AN919" s="234"/>
      <c r="AO919" s="234"/>
      <c r="AP919" s="234"/>
      <c r="AQ919" s="234"/>
      <c r="AR919" s="234"/>
      <c r="AS919" s="234"/>
      <c r="AT919" s="234"/>
      <c r="AU919" s="234"/>
      <c r="AV919" s="234"/>
      <c r="AW919" s="234"/>
      <c r="AX919" s="234"/>
      <c r="AY919" s="234"/>
    </row>
    <row r="920" spans="1:51" ht="24" customHeight="1" x14ac:dyDescent="0.25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  <c r="AB920" s="234"/>
      <c r="AC920" s="234"/>
      <c r="AD920" s="234"/>
      <c r="AE920" s="234"/>
      <c r="AF920" s="234"/>
      <c r="AG920" s="234"/>
      <c r="AH920" s="234"/>
      <c r="AI920" s="234"/>
      <c r="AJ920" s="234"/>
      <c r="AK920" s="234"/>
      <c r="AL920" s="234"/>
      <c r="AM920" s="234"/>
      <c r="AN920" s="234"/>
      <c r="AO920" s="234"/>
      <c r="AP920" s="234"/>
      <c r="AQ920" s="234"/>
      <c r="AR920" s="234"/>
      <c r="AS920" s="234"/>
      <c r="AT920" s="234"/>
      <c r="AU920" s="234"/>
      <c r="AV920" s="234"/>
      <c r="AW920" s="234"/>
      <c r="AX920" s="234"/>
      <c r="AY920" s="234"/>
    </row>
    <row r="921" spans="1:51" ht="24" customHeight="1" x14ac:dyDescent="0.25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  <c r="AB921" s="234"/>
      <c r="AC921" s="234"/>
      <c r="AD921" s="234"/>
      <c r="AE921" s="234"/>
      <c r="AF921" s="234"/>
      <c r="AG921" s="234"/>
      <c r="AH921" s="234"/>
      <c r="AI921" s="234"/>
      <c r="AJ921" s="234"/>
      <c r="AK921" s="234"/>
      <c r="AL921" s="234"/>
      <c r="AM921" s="234"/>
      <c r="AN921" s="234"/>
      <c r="AO921" s="234"/>
      <c r="AP921" s="234"/>
      <c r="AQ921" s="234"/>
      <c r="AR921" s="234"/>
      <c r="AS921" s="234"/>
      <c r="AT921" s="234"/>
      <c r="AU921" s="234"/>
      <c r="AV921" s="234"/>
      <c r="AW921" s="234"/>
      <c r="AX921" s="234"/>
      <c r="AY921" s="234"/>
    </row>
    <row r="922" spans="1:51" ht="24" customHeight="1" x14ac:dyDescent="0.25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  <c r="AB922" s="234"/>
      <c r="AC922" s="234"/>
      <c r="AD922" s="234"/>
      <c r="AE922" s="234"/>
      <c r="AF922" s="234"/>
      <c r="AG922" s="234"/>
      <c r="AH922" s="234"/>
      <c r="AI922" s="234"/>
      <c r="AJ922" s="234"/>
      <c r="AK922" s="234"/>
      <c r="AL922" s="234"/>
      <c r="AM922" s="234"/>
      <c r="AN922" s="234"/>
      <c r="AO922" s="234"/>
      <c r="AP922" s="234"/>
      <c r="AQ922" s="234"/>
      <c r="AR922" s="234"/>
      <c r="AS922" s="234"/>
      <c r="AT922" s="234"/>
      <c r="AU922" s="234"/>
      <c r="AV922" s="234"/>
      <c r="AW922" s="234"/>
      <c r="AX922" s="234"/>
      <c r="AY922" s="234"/>
    </row>
    <row r="923" spans="1:51" ht="24" customHeight="1" x14ac:dyDescent="0.25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  <c r="AB923" s="234"/>
      <c r="AC923" s="234"/>
      <c r="AD923" s="234"/>
      <c r="AE923" s="234"/>
      <c r="AF923" s="234"/>
      <c r="AG923" s="234"/>
      <c r="AH923" s="234"/>
      <c r="AI923" s="234"/>
      <c r="AJ923" s="234"/>
      <c r="AK923" s="234"/>
      <c r="AL923" s="234"/>
      <c r="AM923" s="234"/>
      <c r="AN923" s="234"/>
      <c r="AO923" s="234"/>
      <c r="AP923" s="234"/>
      <c r="AQ923" s="234"/>
      <c r="AR923" s="234"/>
      <c r="AS923" s="234"/>
      <c r="AT923" s="234"/>
      <c r="AU923" s="234"/>
      <c r="AV923" s="234"/>
      <c r="AW923" s="234"/>
      <c r="AX923" s="234"/>
      <c r="AY923" s="234"/>
    </row>
    <row r="924" spans="1:51" ht="24" customHeight="1" x14ac:dyDescent="0.25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  <c r="AB924" s="234"/>
      <c r="AC924" s="234"/>
      <c r="AD924" s="234"/>
      <c r="AE924" s="234"/>
      <c r="AF924" s="234"/>
      <c r="AG924" s="234"/>
      <c r="AH924" s="234"/>
      <c r="AI924" s="234"/>
      <c r="AJ924" s="234"/>
      <c r="AK924" s="234"/>
      <c r="AL924" s="234"/>
      <c r="AM924" s="234"/>
      <c r="AN924" s="234"/>
      <c r="AO924" s="234"/>
      <c r="AP924" s="234"/>
      <c r="AQ924" s="234"/>
      <c r="AR924" s="234"/>
      <c r="AS924" s="234"/>
      <c r="AT924" s="234"/>
      <c r="AU924" s="234"/>
      <c r="AV924" s="234"/>
      <c r="AW924" s="234"/>
      <c r="AX924" s="234"/>
      <c r="AY924" s="234"/>
    </row>
    <row r="925" spans="1:51" ht="24" customHeight="1" x14ac:dyDescent="0.2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  <c r="AB925" s="234"/>
      <c r="AC925" s="234"/>
      <c r="AD925" s="234"/>
      <c r="AE925" s="234"/>
      <c r="AF925" s="234"/>
      <c r="AG925" s="234"/>
      <c r="AH925" s="234"/>
      <c r="AI925" s="234"/>
      <c r="AJ925" s="234"/>
      <c r="AK925" s="234"/>
      <c r="AL925" s="234"/>
      <c r="AM925" s="234"/>
      <c r="AN925" s="234"/>
      <c r="AO925" s="234"/>
      <c r="AP925" s="234"/>
      <c r="AQ925" s="234"/>
      <c r="AR925" s="234"/>
      <c r="AS925" s="234"/>
      <c r="AT925" s="234"/>
      <c r="AU925" s="234"/>
      <c r="AV925" s="234"/>
      <c r="AW925" s="234"/>
      <c r="AX925" s="234"/>
      <c r="AY925" s="234"/>
    </row>
    <row r="926" spans="1:51" ht="24" customHeight="1" x14ac:dyDescent="0.25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  <c r="AB926" s="234"/>
      <c r="AC926" s="234"/>
      <c r="AD926" s="234"/>
      <c r="AE926" s="234"/>
      <c r="AF926" s="234"/>
      <c r="AG926" s="234"/>
      <c r="AH926" s="234"/>
      <c r="AI926" s="234"/>
      <c r="AJ926" s="234"/>
      <c r="AK926" s="234"/>
      <c r="AL926" s="234"/>
      <c r="AM926" s="234"/>
      <c r="AN926" s="234"/>
      <c r="AO926" s="234"/>
      <c r="AP926" s="234"/>
      <c r="AQ926" s="234"/>
      <c r="AR926" s="234"/>
      <c r="AS926" s="234"/>
      <c r="AT926" s="234"/>
      <c r="AU926" s="234"/>
      <c r="AV926" s="234"/>
      <c r="AW926" s="234"/>
      <c r="AX926" s="234"/>
      <c r="AY926" s="234"/>
    </row>
    <row r="927" spans="1:51" ht="24" customHeight="1" x14ac:dyDescent="0.25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  <c r="AB927" s="234"/>
      <c r="AC927" s="234"/>
      <c r="AD927" s="234"/>
      <c r="AE927" s="234"/>
      <c r="AF927" s="234"/>
      <c r="AG927" s="234"/>
      <c r="AH927" s="234"/>
      <c r="AI927" s="234"/>
      <c r="AJ927" s="234"/>
      <c r="AK927" s="234"/>
      <c r="AL927" s="234"/>
      <c r="AM927" s="234"/>
      <c r="AN927" s="234"/>
      <c r="AO927" s="234"/>
      <c r="AP927" s="234"/>
      <c r="AQ927" s="234"/>
      <c r="AR927" s="234"/>
      <c r="AS927" s="234"/>
      <c r="AT927" s="234"/>
      <c r="AU927" s="234"/>
      <c r="AV927" s="234"/>
      <c r="AW927" s="234"/>
      <c r="AX927" s="234"/>
      <c r="AY927" s="234"/>
    </row>
    <row r="928" spans="1:51" ht="24" customHeight="1" x14ac:dyDescent="0.25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  <c r="AB928" s="234"/>
      <c r="AC928" s="234"/>
      <c r="AD928" s="234"/>
      <c r="AE928" s="234"/>
      <c r="AF928" s="234"/>
      <c r="AG928" s="234"/>
      <c r="AH928" s="234"/>
      <c r="AI928" s="234"/>
      <c r="AJ928" s="234"/>
      <c r="AK928" s="234"/>
      <c r="AL928" s="234"/>
      <c r="AM928" s="234"/>
      <c r="AN928" s="234"/>
      <c r="AO928" s="234"/>
      <c r="AP928" s="234"/>
      <c r="AQ928" s="234"/>
      <c r="AR928" s="234"/>
      <c r="AS928" s="234"/>
      <c r="AT928" s="234"/>
      <c r="AU928" s="234"/>
      <c r="AV928" s="234"/>
      <c r="AW928" s="234"/>
      <c r="AX928" s="234"/>
      <c r="AY928" s="234"/>
    </row>
    <row r="929" spans="1:51" ht="24" customHeight="1" x14ac:dyDescent="0.25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  <c r="AB929" s="234"/>
      <c r="AC929" s="234"/>
      <c r="AD929" s="234"/>
      <c r="AE929" s="234"/>
      <c r="AF929" s="234"/>
      <c r="AG929" s="234"/>
      <c r="AH929" s="234"/>
      <c r="AI929" s="234"/>
      <c r="AJ929" s="234"/>
      <c r="AK929" s="234"/>
      <c r="AL929" s="234"/>
      <c r="AM929" s="234"/>
      <c r="AN929" s="234"/>
      <c r="AO929" s="234"/>
      <c r="AP929" s="234"/>
      <c r="AQ929" s="234"/>
      <c r="AR929" s="234"/>
      <c r="AS929" s="234"/>
      <c r="AT929" s="234"/>
      <c r="AU929" s="234"/>
      <c r="AV929" s="234"/>
      <c r="AW929" s="234"/>
      <c r="AX929" s="234"/>
      <c r="AY929" s="234"/>
    </row>
    <row r="930" spans="1:51" ht="24" customHeight="1" x14ac:dyDescent="0.25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  <c r="AB930" s="234"/>
      <c r="AC930" s="234"/>
      <c r="AD930" s="234"/>
      <c r="AE930" s="234"/>
      <c r="AF930" s="234"/>
      <c r="AG930" s="234"/>
      <c r="AH930" s="234"/>
      <c r="AI930" s="234"/>
      <c r="AJ930" s="234"/>
      <c r="AK930" s="234"/>
      <c r="AL930" s="234"/>
      <c r="AM930" s="234"/>
      <c r="AN930" s="234"/>
      <c r="AO930" s="234"/>
      <c r="AP930" s="234"/>
      <c r="AQ930" s="234"/>
      <c r="AR930" s="234"/>
      <c r="AS930" s="234"/>
      <c r="AT930" s="234"/>
      <c r="AU930" s="234"/>
      <c r="AV930" s="234"/>
      <c r="AW930" s="234"/>
      <c r="AX930" s="234"/>
      <c r="AY930" s="234"/>
    </row>
    <row r="931" spans="1:51" ht="24" customHeight="1" x14ac:dyDescent="0.25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  <c r="AB931" s="234"/>
      <c r="AC931" s="234"/>
      <c r="AD931" s="234"/>
      <c r="AE931" s="234"/>
      <c r="AF931" s="234"/>
      <c r="AG931" s="234"/>
      <c r="AH931" s="234"/>
      <c r="AI931" s="234"/>
      <c r="AJ931" s="234"/>
      <c r="AK931" s="234"/>
      <c r="AL931" s="234"/>
      <c r="AM931" s="234"/>
      <c r="AN931" s="234"/>
      <c r="AO931" s="234"/>
      <c r="AP931" s="234"/>
      <c r="AQ931" s="234"/>
      <c r="AR931" s="234"/>
      <c r="AS931" s="234"/>
      <c r="AT931" s="234"/>
      <c r="AU931" s="234"/>
      <c r="AV931" s="234"/>
      <c r="AW931" s="234"/>
      <c r="AX931" s="234"/>
      <c r="AY931" s="234"/>
    </row>
    <row r="932" spans="1:51" ht="24" customHeight="1" x14ac:dyDescent="0.25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  <c r="AB932" s="234"/>
      <c r="AC932" s="234"/>
      <c r="AD932" s="234"/>
      <c r="AE932" s="234"/>
      <c r="AF932" s="234"/>
      <c r="AG932" s="234"/>
      <c r="AH932" s="234"/>
      <c r="AI932" s="234"/>
      <c r="AJ932" s="234"/>
      <c r="AK932" s="234"/>
      <c r="AL932" s="234"/>
      <c r="AM932" s="234"/>
      <c r="AN932" s="234"/>
      <c r="AO932" s="234"/>
      <c r="AP932" s="234"/>
      <c r="AQ932" s="234"/>
      <c r="AR932" s="234"/>
      <c r="AS932" s="234"/>
      <c r="AT932" s="234"/>
      <c r="AU932" s="234"/>
      <c r="AV932" s="234"/>
      <c r="AW932" s="234"/>
      <c r="AX932" s="234"/>
      <c r="AY932" s="234"/>
    </row>
    <row r="933" spans="1:51" ht="24" customHeight="1" x14ac:dyDescent="0.25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  <c r="AB933" s="234"/>
      <c r="AC933" s="234"/>
      <c r="AD933" s="234"/>
      <c r="AE933" s="234"/>
      <c r="AF933" s="234"/>
      <c r="AG933" s="234"/>
      <c r="AH933" s="234"/>
      <c r="AI933" s="234"/>
      <c r="AJ933" s="234"/>
      <c r="AK933" s="234"/>
      <c r="AL933" s="234"/>
      <c r="AM933" s="234"/>
      <c r="AN933" s="234"/>
      <c r="AO933" s="234"/>
      <c r="AP933" s="234"/>
      <c r="AQ933" s="234"/>
      <c r="AR933" s="234"/>
      <c r="AS933" s="234"/>
      <c r="AT933" s="234"/>
      <c r="AU933" s="234"/>
      <c r="AV933" s="234"/>
      <c r="AW933" s="234"/>
      <c r="AX933" s="234"/>
      <c r="AY933" s="234"/>
    </row>
    <row r="934" spans="1:51" ht="24" customHeight="1" x14ac:dyDescent="0.25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  <c r="AB934" s="234"/>
      <c r="AC934" s="234"/>
      <c r="AD934" s="234"/>
      <c r="AE934" s="234"/>
      <c r="AF934" s="234"/>
      <c r="AG934" s="234"/>
      <c r="AH934" s="234"/>
      <c r="AI934" s="234"/>
      <c r="AJ934" s="234"/>
      <c r="AK934" s="234"/>
      <c r="AL934" s="234"/>
      <c r="AM934" s="234"/>
      <c r="AN934" s="234"/>
      <c r="AO934" s="234"/>
      <c r="AP934" s="234"/>
      <c r="AQ934" s="234"/>
      <c r="AR934" s="234"/>
      <c r="AS934" s="234"/>
      <c r="AT934" s="234"/>
      <c r="AU934" s="234"/>
      <c r="AV934" s="234"/>
      <c r="AW934" s="234"/>
      <c r="AX934" s="234"/>
      <c r="AY934" s="234"/>
    </row>
    <row r="935" spans="1:51" ht="24" customHeight="1" x14ac:dyDescent="0.2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  <c r="AB935" s="234"/>
      <c r="AC935" s="234"/>
      <c r="AD935" s="234"/>
      <c r="AE935" s="234"/>
      <c r="AF935" s="234"/>
      <c r="AG935" s="234"/>
      <c r="AH935" s="234"/>
      <c r="AI935" s="234"/>
      <c r="AJ935" s="234"/>
      <c r="AK935" s="234"/>
      <c r="AL935" s="234"/>
      <c r="AM935" s="234"/>
      <c r="AN935" s="234"/>
      <c r="AO935" s="234"/>
      <c r="AP935" s="234"/>
      <c r="AQ935" s="234"/>
      <c r="AR935" s="234"/>
      <c r="AS935" s="234"/>
      <c r="AT935" s="234"/>
      <c r="AU935" s="234"/>
      <c r="AV935" s="234"/>
      <c r="AW935" s="234"/>
      <c r="AX935" s="234"/>
      <c r="AY935" s="234"/>
    </row>
    <row r="936" spans="1:51" ht="24" customHeight="1" x14ac:dyDescent="0.25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  <c r="AB936" s="234"/>
      <c r="AC936" s="234"/>
      <c r="AD936" s="234"/>
      <c r="AE936" s="234"/>
      <c r="AF936" s="234"/>
      <c r="AG936" s="234"/>
      <c r="AH936" s="234"/>
      <c r="AI936" s="234"/>
      <c r="AJ936" s="234"/>
      <c r="AK936" s="234"/>
      <c r="AL936" s="234"/>
      <c r="AM936" s="234"/>
      <c r="AN936" s="234"/>
      <c r="AO936" s="234"/>
      <c r="AP936" s="234"/>
      <c r="AQ936" s="234"/>
      <c r="AR936" s="234"/>
      <c r="AS936" s="234"/>
      <c r="AT936" s="234"/>
      <c r="AU936" s="234"/>
      <c r="AV936" s="234"/>
      <c r="AW936" s="234"/>
      <c r="AX936" s="234"/>
      <c r="AY936" s="234"/>
    </row>
    <row r="937" spans="1:51" ht="24" customHeight="1" x14ac:dyDescent="0.25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  <c r="AB937" s="234"/>
      <c r="AC937" s="234"/>
      <c r="AD937" s="234"/>
      <c r="AE937" s="234"/>
      <c r="AF937" s="234"/>
      <c r="AG937" s="234"/>
      <c r="AH937" s="234"/>
      <c r="AI937" s="234"/>
      <c r="AJ937" s="234"/>
      <c r="AK937" s="234"/>
      <c r="AL937" s="234"/>
      <c r="AM937" s="234"/>
      <c r="AN937" s="234"/>
      <c r="AO937" s="234"/>
      <c r="AP937" s="234"/>
      <c r="AQ937" s="234"/>
      <c r="AR937" s="234"/>
      <c r="AS937" s="234"/>
      <c r="AT937" s="234"/>
      <c r="AU937" s="234"/>
      <c r="AV937" s="234"/>
      <c r="AW937" s="234"/>
      <c r="AX937" s="234"/>
      <c r="AY937" s="234"/>
    </row>
    <row r="938" spans="1:51" ht="24" customHeight="1" x14ac:dyDescent="0.25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  <c r="AB938" s="234"/>
      <c r="AC938" s="234"/>
      <c r="AD938" s="234"/>
      <c r="AE938" s="234"/>
      <c r="AF938" s="234"/>
      <c r="AG938" s="234"/>
      <c r="AH938" s="234"/>
      <c r="AI938" s="234"/>
      <c r="AJ938" s="234"/>
      <c r="AK938" s="234"/>
      <c r="AL938" s="234"/>
      <c r="AM938" s="234"/>
      <c r="AN938" s="234"/>
      <c r="AO938" s="234"/>
      <c r="AP938" s="234"/>
      <c r="AQ938" s="234"/>
      <c r="AR938" s="234"/>
      <c r="AS938" s="234"/>
      <c r="AT938" s="234"/>
      <c r="AU938" s="234"/>
      <c r="AV938" s="234"/>
      <c r="AW938" s="234"/>
      <c r="AX938" s="234"/>
      <c r="AY938" s="234"/>
    </row>
    <row r="939" spans="1:51" ht="24" customHeight="1" x14ac:dyDescent="0.25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  <c r="AB939" s="234"/>
      <c r="AC939" s="234"/>
      <c r="AD939" s="234"/>
      <c r="AE939" s="234"/>
      <c r="AF939" s="234"/>
      <c r="AG939" s="234"/>
      <c r="AH939" s="234"/>
      <c r="AI939" s="234"/>
      <c r="AJ939" s="234"/>
      <c r="AK939" s="234"/>
      <c r="AL939" s="234"/>
      <c r="AM939" s="234"/>
      <c r="AN939" s="234"/>
      <c r="AO939" s="234"/>
      <c r="AP939" s="234"/>
      <c r="AQ939" s="234"/>
      <c r="AR939" s="234"/>
      <c r="AS939" s="234"/>
      <c r="AT939" s="234"/>
      <c r="AU939" s="234"/>
      <c r="AV939" s="234"/>
      <c r="AW939" s="234"/>
      <c r="AX939" s="234"/>
      <c r="AY939" s="234"/>
    </row>
    <row r="940" spans="1:51" ht="24" customHeight="1" x14ac:dyDescent="0.25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  <c r="AB940" s="234"/>
      <c r="AC940" s="234"/>
      <c r="AD940" s="234"/>
      <c r="AE940" s="234"/>
      <c r="AF940" s="234"/>
      <c r="AG940" s="234"/>
      <c r="AH940" s="234"/>
      <c r="AI940" s="234"/>
      <c r="AJ940" s="234"/>
      <c r="AK940" s="234"/>
      <c r="AL940" s="234"/>
      <c r="AM940" s="234"/>
      <c r="AN940" s="234"/>
      <c r="AO940" s="234"/>
      <c r="AP940" s="234"/>
      <c r="AQ940" s="234"/>
      <c r="AR940" s="234"/>
      <c r="AS940" s="234"/>
      <c r="AT940" s="234"/>
      <c r="AU940" s="234"/>
      <c r="AV940" s="234"/>
      <c r="AW940" s="234"/>
      <c r="AX940" s="234"/>
      <c r="AY940" s="234"/>
    </row>
    <row r="941" spans="1:51" ht="24" customHeight="1" x14ac:dyDescent="0.25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  <c r="AB941" s="234"/>
      <c r="AC941" s="234"/>
      <c r="AD941" s="234"/>
      <c r="AE941" s="234"/>
      <c r="AF941" s="234"/>
      <c r="AG941" s="234"/>
      <c r="AH941" s="234"/>
      <c r="AI941" s="234"/>
      <c r="AJ941" s="234"/>
      <c r="AK941" s="234"/>
      <c r="AL941" s="234"/>
      <c r="AM941" s="234"/>
      <c r="AN941" s="234"/>
      <c r="AO941" s="234"/>
      <c r="AP941" s="234"/>
      <c r="AQ941" s="234"/>
      <c r="AR941" s="234"/>
      <c r="AS941" s="234"/>
      <c r="AT941" s="234"/>
      <c r="AU941" s="234"/>
      <c r="AV941" s="234"/>
      <c r="AW941" s="234"/>
      <c r="AX941" s="234"/>
      <c r="AY941" s="234"/>
    </row>
    <row r="942" spans="1:51" ht="24" customHeight="1" x14ac:dyDescent="0.25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  <c r="AB942" s="234"/>
      <c r="AC942" s="234"/>
      <c r="AD942" s="234"/>
      <c r="AE942" s="234"/>
      <c r="AF942" s="234"/>
      <c r="AG942" s="234"/>
      <c r="AH942" s="234"/>
      <c r="AI942" s="234"/>
      <c r="AJ942" s="234"/>
      <c r="AK942" s="234"/>
      <c r="AL942" s="234"/>
      <c r="AM942" s="234"/>
      <c r="AN942" s="234"/>
      <c r="AO942" s="234"/>
      <c r="AP942" s="234"/>
      <c r="AQ942" s="234"/>
      <c r="AR942" s="234"/>
      <c r="AS942" s="234"/>
      <c r="AT942" s="234"/>
      <c r="AU942" s="234"/>
      <c r="AV942" s="234"/>
      <c r="AW942" s="234"/>
      <c r="AX942" s="234"/>
      <c r="AY942" s="234"/>
    </row>
    <row r="943" spans="1:51" ht="24" customHeight="1" x14ac:dyDescent="0.25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  <c r="AB943" s="234"/>
      <c r="AC943" s="234"/>
      <c r="AD943" s="234"/>
      <c r="AE943" s="234"/>
      <c r="AF943" s="234"/>
      <c r="AG943" s="234"/>
      <c r="AH943" s="234"/>
      <c r="AI943" s="234"/>
      <c r="AJ943" s="234"/>
      <c r="AK943" s="234"/>
      <c r="AL943" s="234"/>
      <c r="AM943" s="234"/>
      <c r="AN943" s="234"/>
      <c r="AO943" s="234"/>
      <c r="AP943" s="234"/>
      <c r="AQ943" s="234"/>
      <c r="AR943" s="234"/>
      <c r="AS943" s="234"/>
      <c r="AT943" s="234"/>
      <c r="AU943" s="234"/>
      <c r="AV943" s="234"/>
      <c r="AW943" s="234"/>
      <c r="AX943" s="234"/>
      <c r="AY943" s="234"/>
    </row>
    <row r="944" spans="1:51" ht="24" customHeight="1" x14ac:dyDescent="0.25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  <c r="AB944" s="234"/>
      <c r="AC944" s="234"/>
      <c r="AD944" s="234"/>
      <c r="AE944" s="234"/>
      <c r="AF944" s="234"/>
      <c r="AG944" s="234"/>
      <c r="AH944" s="234"/>
      <c r="AI944" s="234"/>
      <c r="AJ944" s="234"/>
      <c r="AK944" s="234"/>
      <c r="AL944" s="234"/>
      <c r="AM944" s="234"/>
      <c r="AN944" s="234"/>
      <c r="AO944" s="234"/>
      <c r="AP944" s="234"/>
      <c r="AQ944" s="234"/>
      <c r="AR944" s="234"/>
      <c r="AS944" s="234"/>
      <c r="AT944" s="234"/>
      <c r="AU944" s="234"/>
      <c r="AV944" s="234"/>
      <c r="AW944" s="234"/>
      <c r="AX944" s="234"/>
      <c r="AY944" s="234"/>
    </row>
    <row r="945" spans="1:51" ht="24" customHeight="1" x14ac:dyDescent="0.25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  <c r="AA945" s="234"/>
      <c r="AB945" s="234"/>
      <c r="AC945" s="234"/>
      <c r="AD945" s="234"/>
      <c r="AE945" s="234"/>
      <c r="AF945" s="234"/>
      <c r="AG945" s="234"/>
      <c r="AH945" s="234"/>
      <c r="AI945" s="234"/>
      <c r="AJ945" s="234"/>
      <c r="AK945" s="234"/>
      <c r="AL945" s="234"/>
      <c r="AM945" s="234"/>
      <c r="AN945" s="234"/>
      <c r="AO945" s="234"/>
      <c r="AP945" s="234"/>
      <c r="AQ945" s="234"/>
      <c r="AR945" s="234"/>
      <c r="AS945" s="234"/>
      <c r="AT945" s="234"/>
      <c r="AU945" s="234"/>
      <c r="AV945" s="234"/>
      <c r="AW945" s="234"/>
      <c r="AX945" s="234"/>
      <c r="AY945" s="234"/>
    </row>
    <row r="946" spans="1:51" ht="24" customHeight="1" x14ac:dyDescent="0.25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  <c r="AA946" s="234"/>
      <c r="AB946" s="234"/>
      <c r="AC946" s="234"/>
      <c r="AD946" s="234"/>
      <c r="AE946" s="234"/>
      <c r="AF946" s="234"/>
      <c r="AG946" s="234"/>
      <c r="AH946" s="234"/>
      <c r="AI946" s="234"/>
      <c r="AJ946" s="234"/>
      <c r="AK946" s="234"/>
      <c r="AL946" s="234"/>
      <c r="AM946" s="234"/>
      <c r="AN946" s="234"/>
      <c r="AO946" s="234"/>
      <c r="AP946" s="234"/>
      <c r="AQ946" s="234"/>
      <c r="AR946" s="234"/>
      <c r="AS946" s="234"/>
      <c r="AT946" s="234"/>
      <c r="AU946" s="234"/>
      <c r="AV946" s="234"/>
      <c r="AW946" s="234"/>
      <c r="AX946" s="234"/>
      <c r="AY946" s="234"/>
    </row>
    <row r="947" spans="1:51" ht="24" customHeight="1" x14ac:dyDescent="0.25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  <c r="AA947" s="234"/>
      <c r="AB947" s="234"/>
      <c r="AC947" s="234"/>
      <c r="AD947" s="234"/>
      <c r="AE947" s="234"/>
      <c r="AF947" s="234"/>
      <c r="AG947" s="234"/>
      <c r="AH947" s="234"/>
      <c r="AI947" s="234"/>
      <c r="AJ947" s="234"/>
      <c r="AK947" s="234"/>
      <c r="AL947" s="234"/>
      <c r="AM947" s="234"/>
      <c r="AN947" s="234"/>
      <c r="AO947" s="234"/>
      <c r="AP947" s="234"/>
      <c r="AQ947" s="234"/>
      <c r="AR947" s="234"/>
      <c r="AS947" s="234"/>
      <c r="AT947" s="234"/>
      <c r="AU947" s="234"/>
      <c r="AV947" s="234"/>
      <c r="AW947" s="234"/>
      <c r="AX947" s="234"/>
      <c r="AY947" s="234"/>
    </row>
    <row r="948" spans="1:51" ht="24" customHeight="1" x14ac:dyDescent="0.25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  <c r="AA948" s="234"/>
      <c r="AB948" s="234"/>
      <c r="AC948" s="234"/>
      <c r="AD948" s="234"/>
      <c r="AE948" s="234"/>
      <c r="AF948" s="234"/>
      <c r="AG948" s="234"/>
      <c r="AH948" s="234"/>
      <c r="AI948" s="234"/>
      <c r="AJ948" s="234"/>
      <c r="AK948" s="234"/>
      <c r="AL948" s="234"/>
      <c r="AM948" s="234"/>
      <c r="AN948" s="234"/>
      <c r="AO948" s="234"/>
      <c r="AP948" s="234"/>
      <c r="AQ948" s="234"/>
      <c r="AR948" s="234"/>
      <c r="AS948" s="234"/>
      <c r="AT948" s="234"/>
      <c r="AU948" s="234"/>
      <c r="AV948" s="234"/>
      <c r="AW948" s="234"/>
      <c r="AX948" s="234"/>
      <c r="AY948" s="234"/>
    </row>
    <row r="949" spans="1:51" ht="24" customHeight="1" x14ac:dyDescent="0.25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  <c r="AA949" s="234"/>
      <c r="AB949" s="234"/>
      <c r="AC949" s="234"/>
      <c r="AD949" s="234"/>
      <c r="AE949" s="234"/>
      <c r="AF949" s="234"/>
      <c r="AG949" s="234"/>
      <c r="AH949" s="234"/>
      <c r="AI949" s="234"/>
      <c r="AJ949" s="234"/>
      <c r="AK949" s="234"/>
      <c r="AL949" s="234"/>
      <c r="AM949" s="234"/>
      <c r="AN949" s="234"/>
      <c r="AO949" s="234"/>
      <c r="AP949" s="234"/>
      <c r="AQ949" s="234"/>
      <c r="AR949" s="234"/>
      <c r="AS949" s="234"/>
      <c r="AT949" s="234"/>
      <c r="AU949" s="234"/>
      <c r="AV949" s="234"/>
      <c r="AW949" s="234"/>
      <c r="AX949" s="234"/>
      <c r="AY949" s="234"/>
    </row>
    <row r="950" spans="1:51" ht="24" customHeight="1" x14ac:dyDescent="0.25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  <c r="AA950" s="234"/>
      <c r="AB950" s="234"/>
      <c r="AC950" s="234"/>
      <c r="AD950" s="234"/>
      <c r="AE950" s="234"/>
      <c r="AF950" s="234"/>
      <c r="AG950" s="234"/>
      <c r="AH950" s="234"/>
      <c r="AI950" s="234"/>
      <c r="AJ950" s="234"/>
      <c r="AK950" s="234"/>
      <c r="AL950" s="234"/>
      <c r="AM950" s="234"/>
      <c r="AN950" s="234"/>
      <c r="AO950" s="234"/>
      <c r="AP950" s="234"/>
      <c r="AQ950" s="234"/>
      <c r="AR950" s="234"/>
      <c r="AS950" s="234"/>
      <c r="AT950" s="234"/>
      <c r="AU950" s="234"/>
      <c r="AV950" s="234"/>
      <c r="AW950" s="234"/>
      <c r="AX950" s="234"/>
      <c r="AY950" s="234"/>
    </row>
    <row r="951" spans="1:51" ht="24" customHeight="1" x14ac:dyDescent="0.25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  <c r="AA951" s="234"/>
      <c r="AB951" s="234"/>
      <c r="AC951" s="234"/>
      <c r="AD951" s="234"/>
      <c r="AE951" s="234"/>
      <c r="AF951" s="234"/>
      <c r="AG951" s="234"/>
      <c r="AH951" s="234"/>
      <c r="AI951" s="234"/>
      <c r="AJ951" s="234"/>
      <c r="AK951" s="234"/>
      <c r="AL951" s="234"/>
      <c r="AM951" s="234"/>
      <c r="AN951" s="234"/>
      <c r="AO951" s="234"/>
      <c r="AP951" s="234"/>
      <c r="AQ951" s="234"/>
      <c r="AR951" s="234"/>
      <c r="AS951" s="234"/>
      <c r="AT951" s="234"/>
      <c r="AU951" s="234"/>
      <c r="AV951" s="234"/>
      <c r="AW951" s="234"/>
      <c r="AX951" s="234"/>
      <c r="AY951" s="234"/>
    </row>
    <row r="952" spans="1:51" ht="24" customHeight="1" x14ac:dyDescent="0.25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  <c r="AA952" s="234"/>
      <c r="AB952" s="234"/>
      <c r="AC952" s="234"/>
      <c r="AD952" s="234"/>
      <c r="AE952" s="234"/>
      <c r="AF952" s="234"/>
      <c r="AG952" s="234"/>
      <c r="AH952" s="234"/>
      <c r="AI952" s="234"/>
      <c r="AJ952" s="234"/>
      <c r="AK952" s="234"/>
      <c r="AL952" s="234"/>
      <c r="AM952" s="234"/>
      <c r="AN952" s="234"/>
      <c r="AO952" s="234"/>
      <c r="AP952" s="234"/>
      <c r="AQ952" s="234"/>
      <c r="AR952" s="234"/>
      <c r="AS952" s="234"/>
      <c r="AT952" s="234"/>
      <c r="AU952" s="234"/>
      <c r="AV952" s="234"/>
      <c r="AW952" s="234"/>
      <c r="AX952" s="234"/>
      <c r="AY952" s="234"/>
    </row>
    <row r="953" spans="1:51" ht="24" customHeight="1" x14ac:dyDescent="0.25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  <c r="AA953" s="234"/>
      <c r="AB953" s="234"/>
      <c r="AC953" s="234"/>
      <c r="AD953" s="234"/>
      <c r="AE953" s="234"/>
      <c r="AF953" s="234"/>
      <c r="AG953" s="234"/>
      <c r="AH953" s="234"/>
      <c r="AI953" s="234"/>
      <c r="AJ953" s="234"/>
      <c r="AK953" s="234"/>
      <c r="AL953" s="234"/>
      <c r="AM953" s="234"/>
      <c r="AN953" s="234"/>
      <c r="AO953" s="234"/>
      <c r="AP953" s="234"/>
      <c r="AQ953" s="234"/>
      <c r="AR953" s="234"/>
      <c r="AS953" s="234"/>
      <c r="AT953" s="234"/>
      <c r="AU953" s="234"/>
      <c r="AV953" s="234"/>
      <c r="AW953" s="234"/>
      <c r="AX953" s="234"/>
      <c r="AY953" s="234"/>
    </row>
    <row r="954" spans="1:51" ht="24" customHeight="1" x14ac:dyDescent="0.25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  <c r="AA954" s="234"/>
      <c r="AB954" s="234"/>
      <c r="AC954" s="234"/>
      <c r="AD954" s="234"/>
      <c r="AE954" s="234"/>
      <c r="AF954" s="234"/>
      <c r="AG954" s="234"/>
      <c r="AH954" s="234"/>
      <c r="AI954" s="234"/>
      <c r="AJ954" s="234"/>
      <c r="AK954" s="234"/>
      <c r="AL954" s="234"/>
      <c r="AM954" s="234"/>
      <c r="AN954" s="234"/>
      <c r="AO954" s="234"/>
      <c r="AP954" s="234"/>
      <c r="AQ954" s="234"/>
      <c r="AR954" s="234"/>
      <c r="AS954" s="234"/>
      <c r="AT954" s="234"/>
      <c r="AU954" s="234"/>
      <c r="AV954" s="234"/>
      <c r="AW954" s="234"/>
      <c r="AX954" s="234"/>
      <c r="AY954" s="234"/>
    </row>
    <row r="955" spans="1:51" ht="24" customHeight="1" x14ac:dyDescent="0.25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  <c r="AA955" s="234"/>
      <c r="AB955" s="234"/>
      <c r="AC955" s="234"/>
      <c r="AD955" s="234"/>
      <c r="AE955" s="234"/>
      <c r="AF955" s="234"/>
      <c r="AG955" s="234"/>
      <c r="AH955" s="234"/>
      <c r="AI955" s="234"/>
      <c r="AJ955" s="234"/>
      <c r="AK955" s="234"/>
      <c r="AL955" s="234"/>
      <c r="AM955" s="234"/>
      <c r="AN955" s="234"/>
      <c r="AO955" s="234"/>
      <c r="AP955" s="234"/>
      <c r="AQ955" s="234"/>
      <c r="AR955" s="234"/>
      <c r="AS955" s="234"/>
      <c r="AT955" s="234"/>
      <c r="AU955" s="234"/>
      <c r="AV955" s="234"/>
      <c r="AW955" s="234"/>
      <c r="AX955" s="234"/>
      <c r="AY955" s="234"/>
    </row>
    <row r="956" spans="1:51" ht="24" customHeight="1" x14ac:dyDescent="0.25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  <c r="AA956" s="234"/>
      <c r="AB956" s="234"/>
      <c r="AC956" s="234"/>
      <c r="AD956" s="234"/>
      <c r="AE956" s="234"/>
      <c r="AF956" s="234"/>
      <c r="AG956" s="234"/>
      <c r="AH956" s="234"/>
      <c r="AI956" s="234"/>
      <c r="AJ956" s="234"/>
      <c r="AK956" s="234"/>
      <c r="AL956" s="234"/>
      <c r="AM956" s="234"/>
      <c r="AN956" s="234"/>
      <c r="AO956" s="234"/>
      <c r="AP956" s="234"/>
      <c r="AQ956" s="234"/>
      <c r="AR956" s="234"/>
      <c r="AS956" s="234"/>
      <c r="AT956" s="234"/>
      <c r="AU956" s="234"/>
      <c r="AV956" s="234"/>
      <c r="AW956" s="234"/>
      <c r="AX956" s="234"/>
      <c r="AY956" s="234"/>
    </row>
    <row r="957" spans="1:51" ht="24" customHeight="1" x14ac:dyDescent="0.25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  <c r="AA957" s="234"/>
      <c r="AB957" s="234"/>
      <c r="AC957" s="234"/>
      <c r="AD957" s="234"/>
      <c r="AE957" s="234"/>
      <c r="AF957" s="234"/>
      <c r="AG957" s="234"/>
      <c r="AH957" s="234"/>
      <c r="AI957" s="234"/>
      <c r="AJ957" s="234"/>
      <c r="AK957" s="234"/>
      <c r="AL957" s="234"/>
      <c r="AM957" s="234"/>
      <c r="AN957" s="234"/>
      <c r="AO957" s="234"/>
      <c r="AP957" s="234"/>
      <c r="AQ957" s="234"/>
      <c r="AR957" s="234"/>
      <c r="AS957" s="234"/>
      <c r="AT957" s="234"/>
      <c r="AU957" s="234"/>
      <c r="AV957" s="234"/>
      <c r="AW957" s="234"/>
      <c r="AX957" s="234"/>
      <c r="AY957" s="234"/>
    </row>
    <row r="958" spans="1:51" ht="24" customHeight="1" x14ac:dyDescent="0.25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  <c r="AA958" s="234"/>
      <c r="AB958" s="234"/>
      <c r="AC958" s="234"/>
      <c r="AD958" s="234"/>
      <c r="AE958" s="234"/>
      <c r="AF958" s="234"/>
      <c r="AG958" s="234"/>
      <c r="AH958" s="234"/>
      <c r="AI958" s="234"/>
      <c r="AJ958" s="234"/>
      <c r="AK958" s="234"/>
      <c r="AL958" s="234"/>
      <c r="AM958" s="234"/>
      <c r="AN958" s="234"/>
      <c r="AO958" s="234"/>
      <c r="AP958" s="234"/>
      <c r="AQ958" s="234"/>
      <c r="AR958" s="234"/>
      <c r="AS958" s="234"/>
      <c r="AT958" s="234"/>
      <c r="AU958" s="234"/>
      <c r="AV958" s="234"/>
      <c r="AW958" s="234"/>
      <c r="AX958" s="234"/>
      <c r="AY958" s="234"/>
    </row>
    <row r="959" spans="1:51" ht="24" customHeight="1" x14ac:dyDescent="0.25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  <c r="AA959" s="234"/>
      <c r="AB959" s="234"/>
      <c r="AC959" s="234"/>
      <c r="AD959" s="234"/>
      <c r="AE959" s="234"/>
      <c r="AF959" s="234"/>
      <c r="AG959" s="234"/>
      <c r="AH959" s="234"/>
      <c r="AI959" s="234"/>
      <c r="AJ959" s="234"/>
      <c r="AK959" s="234"/>
      <c r="AL959" s="234"/>
      <c r="AM959" s="234"/>
      <c r="AN959" s="234"/>
      <c r="AO959" s="234"/>
      <c r="AP959" s="234"/>
      <c r="AQ959" s="234"/>
      <c r="AR959" s="234"/>
      <c r="AS959" s="234"/>
      <c r="AT959" s="234"/>
      <c r="AU959" s="234"/>
      <c r="AV959" s="234"/>
      <c r="AW959" s="234"/>
      <c r="AX959" s="234"/>
      <c r="AY959" s="234"/>
    </row>
    <row r="960" spans="1:51" ht="24" customHeight="1" x14ac:dyDescent="0.25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  <c r="AA960" s="234"/>
      <c r="AB960" s="234"/>
      <c r="AC960" s="234"/>
      <c r="AD960" s="234"/>
      <c r="AE960" s="234"/>
      <c r="AF960" s="234"/>
      <c r="AG960" s="234"/>
      <c r="AH960" s="234"/>
      <c r="AI960" s="234"/>
      <c r="AJ960" s="234"/>
      <c r="AK960" s="234"/>
      <c r="AL960" s="234"/>
      <c r="AM960" s="234"/>
      <c r="AN960" s="234"/>
      <c r="AO960" s="234"/>
      <c r="AP960" s="234"/>
      <c r="AQ960" s="234"/>
      <c r="AR960" s="234"/>
      <c r="AS960" s="234"/>
      <c r="AT960" s="234"/>
      <c r="AU960" s="234"/>
      <c r="AV960" s="234"/>
      <c r="AW960" s="234"/>
      <c r="AX960" s="234"/>
      <c r="AY960" s="234"/>
    </row>
    <row r="961" spans="1:51" ht="24" customHeight="1" x14ac:dyDescent="0.25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  <c r="AA961" s="234"/>
      <c r="AB961" s="234"/>
      <c r="AC961" s="234"/>
      <c r="AD961" s="234"/>
      <c r="AE961" s="234"/>
      <c r="AF961" s="234"/>
      <c r="AG961" s="234"/>
      <c r="AH961" s="234"/>
      <c r="AI961" s="234"/>
      <c r="AJ961" s="234"/>
      <c r="AK961" s="234"/>
      <c r="AL961" s="234"/>
      <c r="AM961" s="234"/>
      <c r="AN961" s="234"/>
      <c r="AO961" s="234"/>
      <c r="AP961" s="234"/>
      <c r="AQ961" s="234"/>
      <c r="AR961" s="234"/>
      <c r="AS961" s="234"/>
      <c r="AT961" s="234"/>
      <c r="AU961" s="234"/>
      <c r="AV961" s="234"/>
      <c r="AW961" s="234"/>
      <c r="AX961" s="234"/>
      <c r="AY961" s="234"/>
    </row>
    <row r="962" spans="1:51" ht="24" customHeight="1" x14ac:dyDescent="0.25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  <c r="AA962" s="234"/>
      <c r="AB962" s="234"/>
      <c r="AC962" s="234"/>
      <c r="AD962" s="234"/>
      <c r="AE962" s="234"/>
      <c r="AF962" s="234"/>
      <c r="AG962" s="234"/>
      <c r="AH962" s="234"/>
      <c r="AI962" s="234"/>
      <c r="AJ962" s="234"/>
      <c r="AK962" s="234"/>
      <c r="AL962" s="234"/>
      <c r="AM962" s="234"/>
      <c r="AN962" s="234"/>
      <c r="AO962" s="234"/>
      <c r="AP962" s="234"/>
      <c r="AQ962" s="234"/>
      <c r="AR962" s="234"/>
      <c r="AS962" s="234"/>
      <c r="AT962" s="234"/>
      <c r="AU962" s="234"/>
      <c r="AV962" s="234"/>
      <c r="AW962" s="234"/>
      <c r="AX962" s="234"/>
      <c r="AY962" s="234"/>
    </row>
    <row r="963" spans="1:51" ht="24" customHeight="1" x14ac:dyDescent="0.25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  <c r="AA963" s="234"/>
      <c r="AB963" s="234"/>
      <c r="AC963" s="234"/>
      <c r="AD963" s="234"/>
      <c r="AE963" s="234"/>
      <c r="AF963" s="234"/>
      <c r="AG963" s="234"/>
      <c r="AH963" s="234"/>
      <c r="AI963" s="234"/>
      <c r="AJ963" s="234"/>
      <c r="AK963" s="234"/>
      <c r="AL963" s="234"/>
      <c r="AM963" s="234"/>
      <c r="AN963" s="234"/>
      <c r="AO963" s="234"/>
      <c r="AP963" s="234"/>
      <c r="AQ963" s="234"/>
      <c r="AR963" s="234"/>
      <c r="AS963" s="234"/>
      <c r="AT963" s="234"/>
      <c r="AU963" s="234"/>
      <c r="AV963" s="234"/>
      <c r="AW963" s="234"/>
      <c r="AX963" s="234"/>
      <c r="AY963" s="234"/>
    </row>
    <row r="964" spans="1:51" ht="24" customHeight="1" x14ac:dyDescent="0.25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  <c r="AA964" s="234"/>
      <c r="AB964" s="234"/>
      <c r="AC964" s="234"/>
      <c r="AD964" s="234"/>
      <c r="AE964" s="234"/>
      <c r="AF964" s="234"/>
      <c r="AG964" s="234"/>
      <c r="AH964" s="234"/>
      <c r="AI964" s="234"/>
      <c r="AJ964" s="234"/>
      <c r="AK964" s="234"/>
      <c r="AL964" s="234"/>
      <c r="AM964" s="234"/>
      <c r="AN964" s="234"/>
      <c r="AO964" s="234"/>
      <c r="AP964" s="234"/>
      <c r="AQ964" s="234"/>
      <c r="AR964" s="234"/>
      <c r="AS964" s="234"/>
      <c r="AT964" s="234"/>
      <c r="AU964" s="234"/>
      <c r="AV964" s="234"/>
      <c r="AW964" s="234"/>
      <c r="AX964" s="234"/>
      <c r="AY964" s="234"/>
    </row>
    <row r="965" spans="1:51" ht="24" customHeight="1" x14ac:dyDescent="0.25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  <c r="AA965" s="234"/>
      <c r="AB965" s="234"/>
      <c r="AC965" s="234"/>
      <c r="AD965" s="234"/>
      <c r="AE965" s="234"/>
      <c r="AF965" s="234"/>
      <c r="AG965" s="234"/>
      <c r="AH965" s="234"/>
      <c r="AI965" s="234"/>
      <c r="AJ965" s="234"/>
      <c r="AK965" s="234"/>
      <c r="AL965" s="234"/>
      <c r="AM965" s="234"/>
      <c r="AN965" s="234"/>
      <c r="AO965" s="234"/>
      <c r="AP965" s="234"/>
      <c r="AQ965" s="234"/>
      <c r="AR965" s="234"/>
      <c r="AS965" s="234"/>
      <c r="AT965" s="234"/>
      <c r="AU965" s="234"/>
      <c r="AV965" s="234"/>
      <c r="AW965" s="234"/>
      <c r="AX965" s="234"/>
      <c r="AY965" s="234"/>
    </row>
    <row r="966" spans="1:51" ht="24" customHeight="1" x14ac:dyDescent="0.25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  <c r="AB966" s="234"/>
      <c r="AC966" s="234"/>
      <c r="AD966" s="234"/>
      <c r="AE966" s="234"/>
      <c r="AF966" s="234"/>
      <c r="AG966" s="234"/>
      <c r="AH966" s="234"/>
      <c r="AI966" s="234"/>
      <c r="AJ966" s="234"/>
      <c r="AK966" s="234"/>
      <c r="AL966" s="234"/>
      <c r="AM966" s="234"/>
      <c r="AN966" s="234"/>
      <c r="AO966" s="234"/>
      <c r="AP966" s="234"/>
      <c r="AQ966" s="234"/>
      <c r="AR966" s="234"/>
      <c r="AS966" s="234"/>
      <c r="AT966" s="234"/>
      <c r="AU966" s="234"/>
      <c r="AV966" s="234"/>
      <c r="AW966" s="234"/>
      <c r="AX966" s="234"/>
      <c r="AY966" s="234"/>
    </row>
    <row r="967" spans="1:51" ht="24" customHeight="1" x14ac:dyDescent="0.25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  <c r="AB967" s="234"/>
      <c r="AC967" s="234"/>
      <c r="AD967" s="234"/>
      <c r="AE967" s="234"/>
      <c r="AF967" s="234"/>
      <c r="AG967" s="234"/>
      <c r="AH967" s="234"/>
      <c r="AI967" s="234"/>
      <c r="AJ967" s="234"/>
      <c r="AK967" s="234"/>
      <c r="AL967" s="234"/>
      <c r="AM967" s="234"/>
      <c r="AN967" s="234"/>
      <c r="AO967" s="234"/>
      <c r="AP967" s="234"/>
      <c r="AQ967" s="234"/>
      <c r="AR967" s="234"/>
      <c r="AS967" s="234"/>
      <c r="AT967" s="234"/>
      <c r="AU967" s="234"/>
      <c r="AV967" s="234"/>
      <c r="AW967" s="234"/>
      <c r="AX967" s="234"/>
      <c r="AY967" s="234"/>
    </row>
    <row r="968" spans="1:51" ht="24" customHeight="1" x14ac:dyDescent="0.25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  <c r="AB968" s="234"/>
      <c r="AC968" s="234"/>
      <c r="AD968" s="234"/>
      <c r="AE968" s="234"/>
      <c r="AF968" s="234"/>
      <c r="AG968" s="234"/>
      <c r="AH968" s="234"/>
      <c r="AI968" s="234"/>
      <c r="AJ968" s="234"/>
      <c r="AK968" s="234"/>
      <c r="AL968" s="234"/>
      <c r="AM968" s="234"/>
      <c r="AN968" s="234"/>
      <c r="AO968" s="234"/>
      <c r="AP968" s="234"/>
      <c r="AQ968" s="234"/>
      <c r="AR968" s="234"/>
      <c r="AS968" s="234"/>
      <c r="AT968" s="234"/>
      <c r="AU968" s="234"/>
      <c r="AV968" s="234"/>
      <c r="AW968" s="234"/>
      <c r="AX968" s="234"/>
      <c r="AY968" s="234"/>
    </row>
    <row r="969" spans="1:51" ht="24" customHeight="1" x14ac:dyDescent="0.25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  <c r="AB969" s="234"/>
      <c r="AC969" s="234"/>
      <c r="AD969" s="234"/>
      <c r="AE969" s="234"/>
      <c r="AF969" s="234"/>
      <c r="AG969" s="234"/>
      <c r="AH969" s="234"/>
      <c r="AI969" s="234"/>
      <c r="AJ969" s="234"/>
      <c r="AK969" s="234"/>
      <c r="AL969" s="234"/>
      <c r="AM969" s="234"/>
      <c r="AN969" s="234"/>
      <c r="AO969" s="234"/>
      <c r="AP969" s="234"/>
      <c r="AQ969" s="234"/>
      <c r="AR969" s="234"/>
      <c r="AS969" s="234"/>
      <c r="AT969" s="234"/>
      <c r="AU969" s="234"/>
      <c r="AV969" s="234"/>
      <c r="AW969" s="234"/>
      <c r="AX969" s="234"/>
      <c r="AY969" s="234"/>
    </row>
    <row r="970" spans="1:51" ht="24" customHeight="1" x14ac:dyDescent="0.25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  <c r="AA970" s="234"/>
      <c r="AB970" s="234"/>
      <c r="AC970" s="234"/>
      <c r="AD970" s="234"/>
      <c r="AE970" s="234"/>
      <c r="AF970" s="234"/>
      <c r="AG970" s="234"/>
      <c r="AH970" s="234"/>
      <c r="AI970" s="234"/>
      <c r="AJ970" s="234"/>
      <c r="AK970" s="234"/>
      <c r="AL970" s="234"/>
      <c r="AM970" s="234"/>
      <c r="AN970" s="234"/>
      <c r="AO970" s="234"/>
      <c r="AP970" s="234"/>
      <c r="AQ970" s="234"/>
      <c r="AR970" s="234"/>
      <c r="AS970" s="234"/>
      <c r="AT970" s="234"/>
      <c r="AU970" s="234"/>
      <c r="AV970" s="234"/>
      <c r="AW970" s="234"/>
      <c r="AX970" s="234"/>
      <c r="AY970" s="234"/>
    </row>
    <row r="971" spans="1:51" ht="24" customHeight="1" x14ac:dyDescent="0.25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  <c r="AA971" s="234"/>
      <c r="AB971" s="234"/>
      <c r="AC971" s="234"/>
      <c r="AD971" s="234"/>
      <c r="AE971" s="234"/>
      <c r="AF971" s="234"/>
      <c r="AG971" s="234"/>
      <c r="AH971" s="234"/>
      <c r="AI971" s="234"/>
      <c r="AJ971" s="234"/>
      <c r="AK971" s="234"/>
      <c r="AL971" s="234"/>
      <c r="AM971" s="234"/>
      <c r="AN971" s="234"/>
      <c r="AO971" s="234"/>
      <c r="AP971" s="234"/>
      <c r="AQ971" s="234"/>
      <c r="AR971" s="234"/>
      <c r="AS971" s="234"/>
      <c r="AT971" s="234"/>
      <c r="AU971" s="234"/>
      <c r="AV971" s="234"/>
      <c r="AW971" s="234"/>
      <c r="AX971" s="234"/>
      <c r="AY971" s="234"/>
    </row>
    <row r="972" spans="1:51" ht="24" customHeight="1" x14ac:dyDescent="0.25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  <c r="AA972" s="234"/>
      <c r="AB972" s="234"/>
      <c r="AC972" s="234"/>
      <c r="AD972" s="234"/>
      <c r="AE972" s="234"/>
      <c r="AF972" s="234"/>
      <c r="AG972" s="234"/>
      <c r="AH972" s="234"/>
      <c r="AI972" s="234"/>
      <c r="AJ972" s="234"/>
      <c r="AK972" s="234"/>
      <c r="AL972" s="234"/>
      <c r="AM972" s="234"/>
      <c r="AN972" s="234"/>
      <c r="AO972" s="234"/>
      <c r="AP972" s="234"/>
      <c r="AQ972" s="234"/>
      <c r="AR972" s="234"/>
      <c r="AS972" s="234"/>
      <c r="AT972" s="234"/>
      <c r="AU972" s="234"/>
      <c r="AV972" s="234"/>
      <c r="AW972" s="234"/>
      <c r="AX972" s="234"/>
      <c r="AY972" s="234"/>
    </row>
  </sheetData>
  <mergeCells count="53">
    <mergeCell ref="B2:B23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C5:C12"/>
    <mergeCell ref="J8:K8"/>
    <mergeCell ref="L8:M8"/>
    <mergeCell ref="N8:O8"/>
    <mergeCell ref="D9:E9"/>
    <mergeCell ref="F9:G9"/>
    <mergeCell ref="H9:I9"/>
    <mergeCell ref="T13:U13"/>
    <mergeCell ref="P9:Q9"/>
    <mergeCell ref="R9:S9"/>
    <mergeCell ref="T9:U9"/>
    <mergeCell ref="D12:I12"/>
    <mergeCell ref="J12:O12"/>
    <mergeCell ref="P12:U12"/>
    <mergeCell ref="D13:G13"/>
    <mergeCell ref="H13:I13"/>
    <mergeCell ref="J13:M13"/>
    <mergeCell ref="N13:O13"/>
    <mergeCell ref="P13:S13"/>
    <mergeCell ref="D22:I22"/>
    <mergeCell ref="J22:O22"/>
    <mergeCell ref="P22:U22"/>
    <mergeCell ref="C14:C15"/>
    <mergeCell ref="D14:U14"/>
    <mergeCell ref="D15:I15"/>
    <mergeCell ref="J15:O15"/>
    <mergeCell ref="P15:U15"/>
    <mergeCell ref="C16:C22"/>
    <mergeCell ref="D20:E20"/>
    <mergeCell ref="F20:G20"/>
    <mergeCell ref="H20:I20"/>
    <mergeCell ref="J20:K20"/>
    <mergeCell ref="T23:U23"/>
    <mergeCell ref="L20:M20"/>
    <mergeCell ref="N20:O20"/>
    <mergeCell ref="P20:Q20"/>
    <mergeCell ref="R20:S20"/>
    <mergeCell ref="T20:U20"/>
    <mergeCell ref="D23:G23"/>
    <mergeCell ref="H23:I23"/>
    <mergeCell ref="J23:M23"/>
    <mergeCell ref="N23:O23"/>
    <mergeCell ref="P23:S23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16" priority="2" stopIfTrue="1">
      <formula>LEN($D4)=14</formula>
    </cfRule>
  </conditionalFormatting>
  <conditionalFormatting sqref="J4:O4">
    <cfRule type="expression" dxfId="115" priority="3">
      <formula>LEN($J4)=14</formula>
    </cfRule>
  </conditionalFormatting>
  <conditionalFormatting sqref="P4:U4">
    <cfRule type="expression" dxfId="114" priority="4">
      <formula>LEN($P4)=14</formula>
    </cfRule>
  </conditionalFormatting>
  <pageMargins left="0.511811024" right="0.511811024" top="0.78740157499999996" bottom="0.78740157499999996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8BF4-C84D-46A2-8E96-EA0B5FF920E2}">
  <dimension ref="B1:S76"/>
  <sheetViews>
    <sheetView tabSelected="1" topLeftCell="A37" workbookViewId="0">
      <selection activeCell="E39" sqref="E39"/>
    </sheetView>
  </sheetViews>
  <sheetFormatPr defaultRowHeight="15" x14ac:dyDescent="0.25"/>
  <sheetData>
    <row r="1" spans="2:19" ht="15.75" thickBot="1" x14ac:dyDescent="0.3"/>
    <row r="2" spans="2:19" ht="24" thickBot="1" x14ac:dyDescent="0.3">
      <c r="B2" s="451" t="s">
        <v>32</v>
      </c>
      <c r="C2" s="346" t="s">
        <v>143</v>
      </c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8"/>
    </row>
    <row r="3" spans="2:19" ht="19.5" thickBot="1" x14ac:dyDescent="0.3">
      <c r="B3" s="462"/>
      <c r="C3" s="453">
        <v>6.9444444444444441E-3</v>
      </c>
      <c r="D3" s="454" t="s">
        <v>2</v>
      </c>
      <c r="E3" s="455"/>
      <c r="F3" s="455"/>
      <c r="G3" s="455"/>
      <c r="H3" s="455"/>
      <c r="I3" s="456"/>
      <c r="J3" s="454"/>
      <c r="K3" s="455"/>
      <c r="L3" s="455"/>
      <c r="M3" s="455"/>
      <c r="N3" s="455"/>
      <c r="O3" s="456"/>
      <c r="P3" s="457" t="s">
        <v>142</v>
      </c>
      <c r="Q3" s="455"/>
      <c r="R3" s="455"/>
      <c r="S3" s="456"/>
    </row>
    <row r="4" spans="2:19" ht="19.5" thickBot="1" x14ac:dyDescent="0.3">
      <c r="B4" s="462"/>
      <c r="C4" s="31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10" t="s">
        <v>3</v>
      </c>
      <c r="Q4" s="11"/>
      <c r="R4" s="11"/>
      <c r="S4" s="12"/>
    </row>
    <row r="5" spans="2:19" ht="19.5" thickBot="1" x14ac:dyDescent="0.3">
      <c r="B5" s="462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6" t="str">
        <f>CONCATENATE(COUNT(P7:P16,R7:R16)," VIAGENS")</f>
        <v>20 VIAGENS</v>
      </c>
      <c r="Q5" s="7"/>
      <c r="R5" s="7"/>
      <c r="S5" s="8"/>
    </row>
    <row r="6" spans="2:19" ht="16.5" thickBot="1" x14ac:dyDescent="0.3">
      <c r="B6" s="462"/>
      <c r="C6" s="314"/>
      <c r="D6" s="18">
        <v>0.22222222222222221</v>
      </c>
      <c r="E6" s="19">
        <v>0.24444444444444441</v>
      </c>
      <c r="F6" s="19">
        <v>0.26874999999999999</v>
      </c>
      <c r="G6" s="20">
        <f>F6-D6</f>
        <v>4.6527777777777779E-2</v>
      </c>
      <c r="H6" s="55">
        <v>216</v>
      </c>
      <c r="I6" s="22">
        <v>1</v>
      </c>
      <c r="J6" s="18">
        <v>0.25</v>
      </c>
      <c r="K6" s="19">
        <v>0.27777777777777779</v>
      </c>
      <c r="L6" s="19">
        <v>0.30208333333333331</v>
      </c>
      <c r="M6" s="20">
        <f>L6-J6</f>
        <v>5.2083333333333315E-2</v>
      </c>
      <c r="N6" s="55">
        <v>216</v>
      </c>
      <c r="O6" s="22">
        <v>2</v>
      </c>
      <c r="P6" s="16" t="s">
        <v>14</v>
      </c>
      <c r="Q6" s="17" t="s">
        <v>15</v>
      </c>
      <c r="R6" s="16" t="s">
        <v>14</v>
      </c>
      <c r="S6" s="17" t="s">
        <v>15</v>
      </c>
    </row>
    <row r="7" spans="2:19" ht="16.5" thickBot="1" x14ac:dyDescent="0.3">
      <c r="B7" s="462"/>
      <c r="C7" s="314"/>
      <c r="D7" s="18">
        <v>0.27916666666666667</v>
      </c>
      <c r="E7" s="19">
        <v>0.30625000000000002</v>
      </c>
      <c r="F7" s="19">
        <v>0.33194444444444438</v>
      </c>
      <c r="G7" s="20">
        <f>F7-D7</f>
        <v>5.2777777777777701E-2</v>
      </c>
      <c r="H7" s="55">
        <v>216</v>
      </c>
      <c r="I7" s="22">
        <v>1</v>
      </c>
      <c r="J7" s="18">
        <v>0.30902777777777779</v>
      </c>
      <c r="K7" s="19">
        <v>0.33750000000000002</v>
      </c>
      <c r="L7" s="19">
        <v>0.36180555555555549</v>
      </c>
      <c r="M7" s="20">
        <f>L7-J7</f>
        <v>5.2777777777777701E-2</v>
      </c>
      <c r="N7" s="55">
        <v>216</v>
      </c>
      <c r="O7" s="22">
        <v>2</v>
      </c>
      <c r="P7" s="23">
        <v>0.22222222222222221</v>
      </c>
      <c r="Q7" s="458"/>
      <c r="R7" s="25">
        <v>0.60833333333333328</v>
      </c>
      <c r="S7" s="26">
        <f>R7-P16</f>
        <v>4.9999999999999933E-2</v>
      </c>
    </row>
    <row r="8" spans="2:19" ht="16.5" thickBot="1" x14ac:dyDescent="0.3">
      <c r="B8" s="462"/>
      <c r="C8" s="314"/>
      <c r="D8" s="18">
        <v>0.34027777777777779</v>
      </c>
      <c r="E8" s="19">
        <v>0.37222222222222218</v>
      </c>
      <c r="F8" s="19">
        <v>0.40902777777777782</v>
      </c>
      <c r="G8" s="20">
        <f>F8-D8</f>
        <v>6.8750000000000033E-2</v>
      </c>
      <c r="H8" s="55">
        <v>216</v>
      </c>
      <c r="I8" s="22">
        <v>1</v>
      </c>
      <c r="J8" s="31">
        <f>IF(L7="",K7,L7)</f>
        <v>0.36180555555555549</v>
      </c>
      <c r="K8" s="32"/>
      <c r="L8" s="31">
        <f>IF(J9="",K9,J9)</f>
        <v>0.40972222222222221</v>
      </c>
      <c r="M8" s="32"/>
      <c r="N8" s="32">
        <f>L8-J8</f>
        <v>4.7916666666666718E-2</v>
      </c>
      <c r="O8" s="33"/>
      <c r="P8" s="27">
        <v>0.25</v>
      </c>
      <c r="Q8" s="28">
        <f>P8-P7</f>
        <v>2.777777777777779E-2</v>
      </c>
      <c r="R8" s="29">
        <v>0.67152777777777772</v>
      </c>
      <c r="S8" s="30">
        <f>R8-R7</f>
        <v>6.3194444444444442E-2</v>
      </c>
    </row>
    <row r="9" spans="2:19" ht="16.5" thickBot="1" x14ac:dyDescent="0.3">
      <c r="B9" s="462"/>
      <c r="C9" s="314"/>
      <c r="D9" s="31">
        <f>IF(F8="",E8,F8)</f>
        <v>0.40902777777777782</v>
      </c>
      <c r="E9" s="32"/>
      <c r="F9" s="31">
        <f>IF(D10="",E10,D10)</f>
        <v>0.46180555555555558</v>
      </c>
      <c r="G9" s="32"/>
      <c r="H9" s="32">
        <f>F9-D9</f>
        <v>5.2777777777777757E-2</v>
      </c>
      <c r="I9" s="32"/>
      <c r="J9" s="18">
        <v>0.40972222222222221</v>
      </c>
      <c r="K9" s="19">
        <v>0.44305555555555548</v>
      </c>
      <c r="L9" s="19">
        <v>0.47361111111111109</v>
      </c>
      <c r="M9" s="20">
        <f>L9-J9</f>
        <v>6.3888888888888884E-2</v>
      </c>
      <c r="N9" s="55">
        <v>216</v>
      </c>
      <c r="O9" s="22">
        <v>2</v>
      </c>
      <c r="P9" s="27">
        <v>0.27916666666666667</v>
      </c>
      <c r="Q9" s="28">
        <f>P9-P8</f>
        <v>2.9166666666666674E-2</v>
      </c>
      <c r="R9" s="29">
        <v>0.71319444444444446</v>
      </c>
      <c r="S9" s="30">
        <f>R9-R8</f>
        <v>4.1666666666666741E-2</v>
      </c>
    </row>
    <row r="10" spans="2:19" ht="15.75" x14ac:dyDescent="0.25">
      <c r="B10" s="462"/>
      <c r="C10" s="314"/>
      <c r="D10" s="18">
        <v>0.46180555555555558</v>
      </c>
      <c r="E10" s="19">
        <v>0.49305555555555558</v>
      </c>
      <c r="F10" s="19">
        <v>0.52708333333333335</v>
      </c>
      <c r="G10" s="20">
        <f>F10-D10</f>
        <v>6.5277777777777768E-2</v>
      </c>
      <c r="H10" s="55">
        <v>216</v>
      </c>
      <c r="I10" s="22">
        <v>1</v>
      </c>
      <c r="J10" s="18">
        <v>0.48055555555555562</v>
      </c>
      <c r="K10" s="19">
        <v>0.51111111111111107</v>
      </c>
      <c r="L10" s="19">
        <v>0.54305555555555551</v>
      </c>
      <c r="M10" s="20">
        <f>L10-J10</f>
        <v>6.2499999999999889E-2</v>
      </c>
      <c r="N10" s="55">
        <v>216</v>
      </c>
      <c r="O10" s="22">
        <v>2</v>
      </c>
      <c r="P10" s="27">
        <v>0.30902777777777779</v>
      </c>
      <c r="Q10" s="28">
        <f>P10-P9</f>
        <v>2.9861111111111116E-2</v>
      </c>
      <c r="R10" s="29">
        <v>0.75486111111111109</v>
      </c>
      <c r="S10" s="30">
        <f>R10-R9</f>
        <v>4.166666666666663E-2</v>
      </c>
    </row>
    <row r="11" spans="2:19" ht="16.5" thickBot="1" x14ac:dyDescent="0.3">
      <c r="B11" s="462"/>
      <c r="C11" s="314"/>
      <c r="D11" s="18">
        <v>0.53402777777777777</v>
      </c>
      <c r="E11" s="19">
        <v>0.56666666666666665</v>
      </c>
      <c r="F11" s="19">
        <v>0.59444444444444444</v>
      </c>
      <c r="G11" s="20">
        <f>F11-D11</f>
        <v>6.0416666666666674E-2</v>
      </c>
      <c r="H11" s="55">
        <v>216</v>
      </c>
      <c r="I11" s="22">
        <v>1</v>
      </c>
      <c r="J11" s="18">
        <v>0.55833333333333335</v>
      </c>
      <c r="K11" s="19">
        <v>0.58611111111111114</v>
      </c>
      <c r="L11" s="19">
        <v>0.61319444444444449</v>
      </c>
      <c r="M11" s="20">
        <f>L11-J11</f>
        <v>5.4861111111111138E-2</v>
      </c>
      <c r="N11" s="55">
        <v>216</v>
      </c>
      <c r="O11" s="22">
        <v>2</v>
      </c>
      <c r="P11" s="27">
        <v>0.34027777777777779</v>
      </c>
      <c r="Q11" s="28">
        <f>P11-P10</f>
        <v>3.125E-2</v>
      </c>
      <c r="R11" s="29">
        <v>0.79305555555555551</v>
      </c>
      <c r="S11" s="30">
        <f>R11-R10</f>
        <v>3.819444444444442E-2</v>
      </c>
    </row>
    <row r="12" spans="2:19" ht="19.5" thickBot="1" x14ac:dyDescent="0.3">
      <c r="B12" s="462"/>
      <c r="C12" s="315"/>
      <c r="D12" s="459" t="s">
        <v>59</v>
      </c>
      <c r="E12" s="321"/>
      <c r="F12" s="321"/>
      <c r="G12" s="321"/>
      <c r="H12" s="321"/>
      <c r="I12" s="322"/>
      <c r="J12" s="459" t="s">
        <v>59</v>
      </c>
      <c r="K12" s="321"/>
      <c r="L12" s="321"/>
      <c r="M12" s="321"/>
      <c r="N12" s="321"/>
      <c r="O12" s="322"/>
      <c r="P12" s="27">
        <v>0.40972222222222221</v>
      </c>
      <c r="Q12" s="28">
        <f>P12-P11</f>
        <v>6.944444444444442E-2</v>
      </c>
      <c r="R12" s="29">
        <v>0.86597222222222225</v>
      </c>
      <c r="S12" s="30">
        <f>R12-R11</f>
        <v>7.2916666666666741E-2</v>
      </c>
    </row>
    <row r="13" spans="2:19" ht="16.5" thickBot="1" x14ac:dyDescent="0.3">
      <c r="B13" s="462"/>
      <c r="C13" s="36" t="s">
        <v>17</v>
      </c>
      <c r="D13" s="37">
        <f>MAX(E6:F11)-IF(D6="",E6,D6)-MIN(H6:H11)+$C3</f>
        <v>0.3263888888888889</v>
      </c>
      <c r="E13" s="38"/>
      <c r="F13" s="38"/>
      <c r="G13" s="39"/>
      <c r="H13" s="40">
        <f ca="1">OFFSET(H5,MATCH(MIN(H6:H11),H6:H11,0),-4)-IF(D6="",E6,D6)+$C3</f>
        <v>0.19375000000000006</v>
      </c>
      <c r="I13" s="41"/>
      <c r="J13" s="37">
        <f>MAX(K6:L11)-IF(J6="",K6,J6)-MIN(N6:N11)+$C3</f>
        <v>0.32222222222222219</v>
      </c>
      <c r="K13" s="38"/>
      <c r="L13" s="38"/>
      <c r="M13" s="39"/>
      <c r="N13" s="40">
        <f ca="1">OFFSET(N5,MATCH(MIN(N6:N11),N6:N11,0),-4)-IF(J6="",K6,J6)+$C3</f>
        <v>0.11874999999999994</v>
      </c>
      <c r="O13" s="42"/>
      <c r="P13" s="27">
        <v>0.46180555555555558</v>
      </c>
      <c r="Q13" s="28">
        <f>P13-P12</f>
        <v>5.208333333333337E-2</v>
      </c>
      <c r="R13" s="29">
        <v>0.90069444444444446</v>
      </c>
      <c r="S13" s="30">
        <f>R13-R12</f>
        <v>3.472222222222221E-2</v>
      </c>
    </row>
    <row r="14" spans="2:19" ht="16.5" thickBot="1" x14ac:dyDescent="0.3">
      <c r="B14" s="462"/>
      <c r="C14" s="349">
        <v>6.9444444444444441E-3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7"/>
      <c r="P14" s="27">
        <v>0.48055555555555562</v>
      </c>
      <c r="Q14" s="28">
        <f>P14-P13</f>
        <v>1.8750000000000044E-2</v>
      </c>
      <c r="R14" s="29">
        <v>0.95277777777777772</v>
      </c>
      <c r="S14" s="30">
        <f>R14-R13</f>
        <v>5.2083333333333259E-2</v>
      </c>
    </row>
    <row r="15" spans="2:19" ht="16.5" thickBot="1" x14ac:dyDescent="0.3">
      <c r="B15" s="462"/>
      <c r="C15" s="319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7"/>
      <c r="P15" s="27">
        <v>0.53402777777777777</v>
      </c>
      <c r="Q15" s="28">
        <f>P15-P14</f>
        <v>5.3472222222222143E-2</v>
      </c>
      <c r="R15" s="29">
        <v>1</v>
      </c>
      <c r="S15" s="30">
        <f>R15-R14</f>
        <v>4.7222222222222276E-2</v>
      </c>
    </row>
    <row r="16" spans="2:19" ht="16.5" thickBot="1" x14ac:dyDescent="0.3">
      <c r="B16" s="462"/>
      <c r="C16" s="302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43">
        <v>0.55833333333333335</v>
      </c>
      <c r="Q16" s="44">
        <f>P16-P15</f>
        <v>2.430555555555558E-2</v>
      </c>
      <c r="R16" s="45">
        <v>1.0555555555555556</v>
      </c>
      <c r="S16" s="46">
        <f>R16-R15</f>
        <v>5.555555555555558E-2</v>
      </c>
    </row>
    <row r="17" spans="2:19" ht="15.75" x14ac:dyDescent="0.25">
      <c r="B17" s="462"/>
      <c r="C17" s="303"/>
      <c r="D17" s="23">
        <v>0.60833333333333328</v>
      </c>
      <c r="E17" s="25">
        <v>0.63680555555555551</v>
      </c>
      <c r="F17" s="25">
        <v>0.66388888888888886</v>
      </c>
      <c r="G17" s="20">
        <f>F17-D17</f>
        <v>5.555555555555558E-2</v>
      </c>
      <c r="H17" s="56">
        <v>216</v>
      </c>
      <c r="I17" s="48">
        <v>1</v>
      </c>
      <c r="J17" s="23">
        <v>0.71319444444444446</v>
      </c>
      <c r="K17" s="25">
        <v>0.7416666666666667</v>
      </c>
      <c r="L17" s="25">
        <v>0.77500000000000002</v>
      </c>
      <c r="M17" s="20">
        <f>L17-J17</f>
        <v>6.1805555555555558E-2</v>
      </c>
      <c r="N17" s="56">
        <v>216</v>
      </c>
      <c r="O17" s="48">
        <v>2</v>
      </c>
      <c r="P17" s="1"/>
      <c r="Q17" s="1"/>
      <c r="R17" s="1"/>
      <c r="S17" s="1"/>
    </row>
    <row r="18" spans="2:19" ht="15.75" x14ac:dyDescent="0.25">
      <c r="B18" s="462"/>
      <c r="C18" s="303"/>
      <c r="D18" s="27">
        <v>0.67152777777777772</v>
      </c>
      <c r="E18" s="29">
        <v>0.70486111111111116</v>
      </c>
      <c r="F18" s="29">
        <v>0.74236111111111114</v>
      </c>
      <c r="G18" s="20">
        <f>F18-D18</f>
        <v>7.0833333333333415E-2</v>
      </c>
      <c r="H18" s="58">
        <v>216</v>
      </c>
      <c r="I18" s="50">
        <v>1</v>
      </c>
      <c r="J18" s="27">
        <v>0.79305555555555551</v>
      </c>
      <c r="K18" s="29">
        <v>0.82777777777777772</v>
      </c>
      <c r="L18" s="29">
        <v>0.85902777777777772</v>
      </c>
      <c r="M18" s="20">
        <f>L18-J18</f>
        <v>6.597222222222221E-2</v>
      </c>
      <c r="N18" s="58">
        <v>216</v>
      </c>
      <c r="O18" s="50">
        <v>2</v>
      </c>
      <c r="P18" s="1"/>
      <c r="Q18" s="1"/>
      <c r="R18" s="1"/>
      <c r="S18" s="1"/>
    </row>
    <row r="19" spans="2:19" ht="16.5" thickBot="1" x14ac:dyDescent="0.3">
      <c r="B19" s="462"/>
      <c r="C19" s="303"/>
      <c r="D19" s="27">
        <v>0.75486111111111109</v>
      </c>
      <c r="E19" s="29">
        <v>0.78611111111111109</v>
      </c>
      <c r="F19" s="29">
        <v>0.82013888888888886</v>
      </c>
      <c r="G19" s="20">
        <f>F19-D19</f>
        <v>6.5277777777777768E-2</v>
      </c>
      <c r="H19" s="58">
        <v>216</v>
      </c>
      <c r="I19" s="50">
        <v>1</v>
      </c>
      <c r="J19" s="27">
        <v>0.86597222222222225</v>
      </c>
      <c r="K19" s="29">
        <v>0.89027777777777772</v>
      </c>
      <c r="L19" s="29">
        <v>0.91805555555555551</v>
      </c>
      <c r="M19" s="20">
        <f>L19-J19</f>
        <v>5.2083333333333259E-2</v>
      </c>
      <c r="N19" s="58">
        <v>216</v>
      </c>
      <c r="O19" s="50">
        <v>2</v>
      </c>
      <c r="P19" s="1"/>
      <c r="Q19" s="1"/>
      <c r="R19" s="1"/>
      <c r="S19" s="1"/>
    </row>
    <row r="20" spans="2:19" ht="16.5" thickBot="1" x14ac:dyDescent="0.3">
      <c r="B20" s="462"/>
      <c r="C20" s="303"/>
      <c r="D20" s="31">
        <f>IF(F19="",E19,F19)</f>
        <v>0.82013888888888886</v>
      </c>
      <c r="E20" s="32"/>
      <c r="F20" s="31">
        <f>IF(D21="",E21,D21)</f>
        <v>0.90069444444444446</v>
      </c>
      <c r="G20" s="32"/>
      <c r="H20" s="32">
        <f>F20-D20</f>
        <v>8.0555555555555602E-2</v>
      </c>
      <c r="I20" s="32"/>
      <c r="J20" s="31">
        <f>IF(L19="",K19,L19)</f>
        <v>0.91805555555555551</v>
      </c>
      <c r="K20" s="32"/>
      <c r="L20" s="31">
        <f>IF(J21="",K21,J21)</f>
        <v>1</v>
      </c>
      <c r="M20" s="32"/>
      <c r="N20" s="32">
        <f>L20-J20</f>
        <v>8.1944444444444486E-2</v>
      </c>
      <c r="O20" s="32"/>
      <c r="P20" s="1"/>
      <c r="Q20" s="1"/>
      <c r="R20" s="1"/>
      <c r="S20" s="1"/>
    </row>
    <row r="21" spans="2:19" ht="15.75" x14ac:dyDescent="0.25">
      <c r="B21" s="462"/>
      <c r="C21" s="303"/>
      <c r="D21" s="27">
        <v>0.90069444444444446</v>
      </c>
      <c r="E21" s="29">
        <v>0.92500000000000004</v>
      </c>
      <c r="F21" s="29">
        <v>0.94374999999999998</v>
      </c>
      <c r="G21" s="20">
        <f>F21-D21</f>
        <v>4.3055555555555514E-2</v>
      </c>
      <c r="H21" s="58">
        <v>216</v>
      </c>
      <c r="I21" s="50">
        <v>1</v>
      </c>
      <c r="J21" s="27">
        <v>1</v>
      </c>
      <c r="K21" s="29">
        <v>1.0243055555555556</v>
      </c>
      <c r="L21" s="29">
        <v>1.0479166666666666</v>
      </c>
      <c r="M21" s="20">
        <f>L21-J21</f>
        <v>4.7916666666666607E-2</v>
      </c>
      <c r="N21" s="58">
        <v>216</v>
      </c>
      <c r="O21" s="50">
        <v>2</v>
      </c>
      <c r="P21" s="1"/>
      <c r="Q21" s="1"/>
      <c r="R21" s="1"/>
      <c r="S21" s="1"/>
    </row>
    <row r="22" spans="2:19" ht="16.5" thickBot="1" x14ac:dyDescent="0.3">
      <c r="B22" s="462"/>
      <c r="C22" s="303"/>
      <c r="D22" s="59">
        <v>0.95277777777777772</v>
      </c>
      <c r="E22" s="60">
        <v>0.9770833333333333</v>
      </c>
      <c r="F22" s="60">
        <v>1.0006944444444446</v>
      </c>
      <c r="G22" s="20">
        <f>F22-D22</f>
        <v>4.7916666666666829E-2</v>
      </c>
      <c r="H22" s="61">
        <v>216</v>
      </c>
      <c r="I22" s="62">
        <v>1</v>
      </c>
      <c r="J22" s="59">
        <v>1.0555555555555556</v>
      </c>
      <c r="K22" s="60">
        <v>1.0763888888888888</v>
      </c>
      <c r="L22" s="60">
        <v>1.0972222222222223</v>
      </c>
      <c r="M22" s="20">
        <f>L22-J22</f>
        <v>4.1666666666666741E-2</v>
      </c>
      <c r="N22" s="61">
        <v>216</v>
      </c>
      <c r="O22" s="62">
        <v>2</v>
      </c>
      <c r="P22" s="1"/>
      <c r="Q22" s="1"/>
      <c r="R22" s="1"/>
      <c r="S22" s="1"/>
    </row>
    <row r="23" spans="2:19" ht="19.5" thickBot="1" x14ac:dyDescent="0.3">
      <c r="B23" s="462"/>
      <c r="C23" s="304"/>
      <c r="D23" s="459" t="s">
        <v>59</v>
      </c>
      <c r="E23" s="321"/>
      <c r="F23" s="321"/>
      <c r="G23" s="321"/>
      <c r="H23" s="321"/>
      <c r="I23" s="322"/>
      <c r="J23" s="459" t="s">
        <v>59</v>
      </c>
      <c r="K23" s="321"/>
      <c r="L23" s="321"/>
      <c r="M23" s="321"/>
      <c r="N23" s="321"/>
      <c r="O23" s="322"/>
      <c r="P23" s="1"/>
      <c r="Q23" s="1"/>
      <c r="R23" s="1"/>
      <c r="S23" s="1"/>
    </row>
    <row r="24" spans="2:19" ht="16.5" thickBot="1" x14ac:dyDescent="0.3">
      <c r="B24" s="461"/>
      <c r="C24" s="36" t="s">
        <v>17</v>
      </c>
      <c r="D24" s="37">
        <f>MAX(E17:F22)-IF(D17="",E17,D17)-MIN(H17:H22)+$C14</f>
        <v>0.31875000000000009</v>
      </c>
      <c r="E24" s="51"/>
      <c r="F24" s="51"/>
      <c r="G24" s="52"/>
      <c r="H24" s="53">
        <f ca="1">OFFSET(H16,MATCH(MIN(H17:H22),H17:H22,0),-4)-IF(D17="",E17,D17)</f>
        <v>0.21180555555555558</v>
      </c>
      <c r="I24" s="54"/>
      <c r="J24" s="37">
        <f>MAX(K17:L22)-IF(J17="",K17,J17)-MIN(N17:N22)+$C14</f>
        <v>0.30902777777777779</v>
      </c>
      <c r="K24" s="38"/>
      <c r="L24" s="38"/>
      <c r="M24" s="39"/>
      <c r="N24" s="53">
        <f ca="1">OFFSET(N16,MATCH(MIN(N17:N22),N17:N22,0),-4)-IF(J17="",K17,J17)</f>
        <v>0.20486111111111105</v>
      </c>
      <c r="O24" s="41"/>
      <c r="P24" s="1"/>
      <c r="Q24" s="1"/>
      <c r="R24" s="1"/>
      <c r="S24" s="1"/>
    </row>
    <row r="27" spans="2:19" ht="15.75" thickBot="1" x14ac:dyDescent="0.3"/>
    <row r="28" spans="2:19" ht="24" thickBot="1" x14ac:dyDescent="0.3">
      <c r="B28" s="451" t="s">
        <v>36</v>
      </c>
      <c r="C28" s="346" t="s">
        <v>144</v>
      </c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8"/>
    </row>
    <row r="29" spans="2:19" ht="19.5" thickBot="1" x14ac:dyDescent="0.3">
      <c r="B29" s="462"/>
      <c r="C29" s="453">
        <v>6.9444444444444441E-3</v>
      </c>
      <c r="D29" s="454" t="s">
        <v>2</v>
      </c>
      <c r="E29" s="455"/>
      <c r="F29" s="455"/>
      <c r="G29" s="455"/>
      <c r="H29" s="455"/>
      <c r="I29" s="456"/>
      <c r="J29" s="454"/>
      <c r="K29" s="455"/>
      <c r="L29" s="455"/>
      <c r="M29" s="455"/>
      <c r="N29" s="455"/>
      <c r="O29" s="456"/>
      <c r="P29" s="457" t="s">
        <v>142</v>
      </c>
      <c r="Q29" s="455"/>
      <c r="R29" s="455"/>
      <c r="S29" s="456"/>
    </row>
    <row r="30" spans="2:19" ht="19.5" thickBot="1" x14ac:dyDescent="0.3">
      <c r="B30" s="462"/>
      <c r="C30" s="319"/>
      <c r="D30" s="9" t="s">
        <v>4</v>
      </c>
      <c r="E30" s="7"/>
      <c r="F30" s="7"/>
      <c r="G30" s="7"/>
      <c r="H30" s="7"/>
      <c r="I30" s="8"/>
      <c r="J30" s="9" t="s">
        <v>5</v>
      </c>
      <c r="K30" s="7"/>
      <c r="L30" s="7"/>
      <c r="M30" s="7"/>
      <c r="N30" s="7"/>
      <c r="O30" s="8"/>
      <c r="P30" s="10" t="s">
        <v>23</v>
      </c>
      <c r="Q30" s="11"/>
      <c r="R30" s="11"/>
      <c r="S30" s="12"/>
    </row>
    <row r="31" spans="2:19" ht="19.5" thickBot="1" x14ac:dyDescent="0.3">
      <c r="B31" s="462"/>
      <c r="C31" s="313" t="s">
        <v>7</v>
      </c>
      <c r="D31" s="13" t="s">
        <v>8</v>
      </c>
      <c r="E31" s="14" t="s">
        <v>9</v>
      </c>
      <c r="F31" s="15" t="s">
        <v>10</v>
      </c>
      <c r="G31" s="14" t="s">
        <v>11</v>
      </c>
      <c r="H31" s="15" t="s">
        <v>12</v>
      </c>
      <c r="I31" s="14" t="s">
        <v>13</v>
      </c>
      <c r="J31" s="13" t="s">
        <v>8</v>
      </c>
      <c r="K31" s="14" t="s">
        <v>9</v>
      </c>
      <c r="L31" s="15" t="s">
        <v>10</v>
      </c>
      <c r="M31" s="14" t="s">
        <v>11</v>
      </c>
      <c r="N31" s="15" t="s">
        <v>12</v>
      </c>
      <c r="O31" s="14" t="s">
        <v>13</v>
      </c>
      <c r="P31" s="6" t="str">
        <f>CONCATENATE(COUNT(P33:P42,R33:R42)," VIAGENS")</f>
        <v>20 VIAGENS</v>
      </c>
      <c r="Q31" s="7"/>
      <c r="R31" s="7"/>
      <c r="S31" s="8"/>
    </row>
    <row r="32" spans="2:19" ht="16.5" thickBot="1" x14ac:dyDescent="0.3">
      <c r="B32" s="462"/>
      <c r="C32" s="314"/>
      <c r="D32" s="18">
        <v>0.22222222222222221</v>
      </c>
      <c r="E32" s="19">
        <v>0.24444444444444441</v>
      </c>
      <c r="F32" s="19">
        <v>0.26874999999999999</v>
      </c>
      <c r="G32" s="20">
        <f>F32-D32</f>
        <v>4.6527777777777779E-2</v>
      </c>
      <c r="H32" s="55">
        <v>216</v>
      </c>
      <c r="I32" s="22">
        <v>1</v>
      </c>
      <c r="J32" s="18">
        <v>0.25</v>
      </c>
      <c r="K32" s="19">
        <v>0.27777777777777779</v>
      </c>
      <c r="L32" s="19">
        <v>0.30208333333333331</v>
      </c>
      <c r="M32" s="20">
        <f t="shared" ref="M32:M33" si="0">L32-J32</f>
        <v>5.2083333333333315E-2</v>
      </c>
      <c r="N32" s="55">
        <v>216</v>
      </c>
      <c r="O32" s="22">
        <v>2</v>
      </c>
      <c r="P32" s="16" t="s">
        <v>14</v>
      </c>
      <c r="Q32" s="17" t="s">
        <v>15</v>
      </c>
      <c r="R32" s="16" t="s">
        <v>14</v>
      </c>
      <c r="S32" s="17" t="s">
        <v>15</v>
      </c>
    </row>
    <row r="33" spans="2:19" ht="16.5" thickBot="1" x14ac:dyDescent="0.3">
      <c r="B33" s="462"/>
      <c r="C33" s="314"/>
      <c r="D33" s="18">
        <v>0.27916666666666667</v>
      </c>
      <c r="E33" s="19">
        <v>0.30625000000000002</v>
      </c>
      <c r="F33" s="19">
        <v>0.33194444444444438</v>
      </c>
      <c r="G33" s="20">
        <f t="shared" ref="G33:G34" si="1">F33-D33</f>
        <v>5.2777777777777701E-2</v>
      </c>
      <c r="H33" s="55">
        <v>216</v>
      </c>
      <c r="I33" s="22">
        <v>1</v>
      </c>
      <c r="J33" s="18">
        <v>0.30902777777777779</v>
      </c>
      <c r="K33" s="19">
        <v>0.33750000000000002</v>
      </c>
      <c r="L33" s="19">
        <v>0.36180555555555549</v>
      </c>
      <c r="M33" s="20">
        <f t="shared" si="0"/>
        <v>5.2777777777777701E-2</v>
      </c>
      <c r="N33" s="55">
        <v>216</v>
      </c>
      <c r="O33" s="22">
        <v>2</v>
      </c>
      <c r="P33" s="23">
        <v>0.22222222222222221</v>
      </c>
      <c r="Q33" s="458"/>
      <c r="R33" s="25">
        <v>0.60833333333333328</v>
      </c>
      <c r="S33" s="26">
        <f>R33-P42</f>
        <v>4.9999999999999933E-2</v>
      </c>
    </row>
    <row r="34" spans="2:19" ht="16.5" thickBot="1" x14ac:dyDescent="0.3">
      <c r="B34" s="462"/>
      <c r="C34" s="314"/>
      <c r="D34" s="18">
        <v>0.34027777777777779</v>
      </c>
      <c r="E34" s="19">
        <v>0.37222222222222218</v>
      </c>
      <c r="F34" s="19">
        <v>0.40902777777777782</v>
      </c>
      <c r="G34" s="20">
        <f t="shared" si="1"/>
        <v>6.8750000000000033E-2</v>
      </c>
      <c r="H34" s="55">
        <v>216</v>
      </c>
      <c r="I34" s="22">
        <v>1</v>
      </c>
      <c r="J34" s="31">
        <f>IF(L33="",K33,L33)</f>
        <v>0.36180555555555549</v>
      </c>
      <c r="K34" s="32"/>
      <c r="L34" s="31">
        <f>IF(J35="",K35,J35)</f>
        <v>0.40972222222222221</v>
      </c>
      <c r="M34" s="32"/>
      <c r="N34" s="32">
        <f>L34-J34</f>
        <v>4.7916666666666718E-2</v>
      </c>
      <c r="O34" s="33"/>
      <c r="P34" s="27">
        <v>0.25</v>
      </c>
      <c r="Q34" s="28">
        <f t="shared" ref="Q34:Q42" si="2">P34-P33</f>
        <v>2.777777777777779E-2</v>
      </c>
      <c r="R34" s="29">
        <v>0.67152777777777772</v>
      </c>
      <c r="S34" s="30">
        <f t="shared" ref="S34:S42" si="3">R34-R33</f>
        <v>6.3194444444444442E-2</v>
      </c>
    </row>
    <row r="35" spans="2:19" ht="16.5" thickBot="1" x14ac:dyDescent="0.3">
      <c r="B35" s="462"/>
      <c r="C35" s="314"/>
      <c r="D35" s="31">
        <f>IF(F34="",E34,F34)</f>
        <v>0.40902777777777782</v>
      </c>
      <c r="E35" s="32"/>
      <c r="F35" s="31">
        <f>IF(D36="",E36,D36)</f>
        <v>0.46180555555555558</v>
      </c>
      <c r="G35" s="32"/>
      <c r="H35" s="32">
        <f>F35-D35</f>
        <v>5.2777777777777757E-2</v>
      </c>
      <c r="I35" s="32"/>
      <c r="J35" s="18">
        <v>0.40972222222222221</v>
      </c>
      <c r="K35" s="19">
        <v>0.44305555555555548</v>
      </c>
      <c r="L35" s="19">
        <v>0.47361111111111109</v>
      </c>
      <c r="M35" s="20">
        <f t="shared" ref="M35:M37" si="4">L35-J35</f>
        <v>6.3888888888888884E-2</v>
      </c>
      <c r="N35" s="55">
        <v>216</v>
      </c>
      <c r="O35" s="22">
        <v>2</v>
      </c>
      <c r="P35" s="27">
        <v>0.27916666666666667</v>
      </c>
      <c r="Q35" s="28">
        <f t="shared" si="2"/>
        <v>2.9166666666666674E-2</v>
      </c>
      <c r="R35" s="29">
        <v>0.71319444444444446</v>
      </c>
      <c r="S35" s="30">
        <f t="shared" si="3"/>
        <v>4.1666666666666741E-2</v>
      </c>
    </row>
    <row r="36" spans="2:19" ht="15.75" x14ac:dyDescent="0.25">
      <c r="B36" s="462"/>
      <c r="C36" s="314"/>
      <c r="D36" s="18">
        <v>0.46180555555555558</v>
      </c>
      <c r="E36" s="19">
        <v>0.49305555555555558</v>
      </c>
      <c r="F36" s="19">
        <v>0.52708333333333335</v>
      </c>
      <c r="G36" s="20">
        <f t="shared" ref="G36:G37" si="5">F36-D36</f>
        <v>6.5277777777777768E-2</v>
      </c>
      <c r="H36" s="55">
        <v>216</v>
      </c>
      <c r="I36" s="22">
        <v>1</v>
      </c>
      <c r="J36" s="18">
        <v>0.48055555555555562</v>
      </c>
      <c r="K36" s="19">
        <v>0.51111111111111107</v>
      </c>
      <c r="L36" s="19">
        <v>0.54305555555555551</v>
      </c>
      <c r="M36" s="20">
        <f t="shared" si="4"/>
        <v>6.2499999999999889E-2</v>
      </c>
      <c r="N36" s="55">
        <v>216</v>
      </c>
      <c r="O36" s="22">
        <v>2</v>
      </c>
      <c r="P36" s="27">
        <v>0.30902777777777779</v>
      </c>
      <c r="Q36" s="28">
        <f t="shared" si="2"/>
        <v>2.9861111111111116E-2</v>
      </c>
      <c r="R36" s="29">
        <v>0.75486111111111109</v>
      </c>
      <c r="S36" s="30">
        <f t="shared" si="3"/>
        <v>4.166666666666663E-2</v>
      </c>
    </row>
    <row r="37" spans="2:19" ht="16.5" thickBot="1" x14ac:dyDescent="0.3">
      <c r="B37" s="462"/>
      <c r="C37" s="314"/>
      <c r="D37" s="18">
        <v>0.53402777777777777</v>
      </c>
      <c r="E37" s="19">
        <v>0.56666666666666665</v>
      </c>
      <c r="F37" s="19">
        <v>0.59444444444444444</v>
      </c>
      <c r="G37" s="20">
        <f t="shared" si="5"/>
        <v>6.0416666666666674E-2</v>
      </c>
      <c r="H37" s="55">
        <v>216</v>
      </c>
      <c r="I37" s="22">
        <v>1</v>
      </c>
      <c r="J37" s="18">
        <v>0.55833333333333335</v>
      </c>
      <c r="K37" s="19">
        <v>0.58611111111111114</v>
      </c>
      <c r="L37" s="19">
        <v>0.61319444444444449</v>
      </c>
      <c r="M37" s="20">
        <f t="shared" si="4"/>
        <v>5.4861111111111138E-2</v>
      </c>
      <c r="N37" s="55">
        <v>216</v>
      </c>
      <c r="O37" s="22">
        <v>2</v>
      </c>
      <c r="P37" s="27">
        <v>0.34027777777777779</v>
      </c>
      <c r="Q37" s="28">
        <f t="shared" si="2"/>
        <v>3.125E-2</v>
      </c>
      <c r="R37" s="29">
        <v>0.79305555555555551</v>
      </c>
      <c r="S37" s="30">
        <f t="shared" si="3"/>
        <v>3.819444444444442E-2</v>
      </c>
    </row>
    <row r="38" spans="2:19" ht="19.5" thickBot="1" x14ac:dyDescent="0.3">
      <c r="B38" s="462"/>
      <c r="C38" s="315"/>
      <c r="D38" s="459" t="s">
        <v>59</v>
      </c>
      <c r="E38" s="321"/>
      <c r="F38" s="321"/>
      <c r="G38" s="321"/>
      <c r="H38" s="321"/>
      <c r="I38" s="322"/>
      <c r="J38" s="459" t="s">
        <v>59</v>
      </c>
      <c r="K38" s="321"/>
      <c r="L38" s="321"/>
      <c r="M38" s="321"/>
      <c r="N38" s="321"/>
      <c r="O38" s="322"/>
      <c r="P38" s="27">
        <v>0.40972222222222221</v>
      </c>
      <c r="Q38" s="28">
        <f t="shared" si="2"/>
        <v>6.944444444444442E-2</v>
      </c>
      <c r="R38" s="29">
        <v>0.86597222222222225</v>
      </c>
      <c r="S38" s="30">
        <f t="shared" si="3"/>
        <v>7.2916666666666741E-2</v>
      </c>
    </row>
    <row r="39" spans="2:19" ht="16.5" thickBot="1" x14ac:dyDescent="0.3">
      <c r="B39" s="462"/>
      <c r="C39" s="36" t="s">
        <v>17</v>
      </c>
      <c r="D39" s="37" t="e">
        <f>MAX(E32:F37)-IF(D32="",E32,D32)-MIN(H32:H37)+#REF!</f>
        <v>#REF!</v>
      </c>
      <c r="E39" s="38"/>
      <c r="F39" s="38"/>
      <c r="G39" s="39"/>
      <c r="H39" s="40" t="e">
        <f ca="1">OFFSET(H31,MATCH(MIN(H32:H37),H32:H37,0),-4)-IF(D32="",E32,D32)+#REF!</f>
        <v>#REF!</v>
      </c>
      <c r="I39" s="41"/>
      <c r="J39" s="37" t="e">
        <f>MAX(K32:L37)-IF(J32="",K32,J32)-MIN(N32:N37)+#REF!</f>
        <v>#REF!</v>
      </c>
      <c r="K39" s="38"/>
      <c r="L39" s="38"/>
      <c r="M39" s="39"/>
      <c r="N39" s="40" t="e">
        <f ca="1">OFFSET(N31,MATCH(MIN(N32:N37),N32:N37,0),-4)-IF(J32="",K32,J32)+#REF!</f>
        <v>#REF!</v>
      </c>
      <c r="O39" s="42"/>
      <c r="P39" s="27">
        <v>0.46180555555555558</v>
      </c>
      <c r="Q39" s="28">
        <f t="shared" si="2"/>
        <v>5.208333333333337E-2</v>
      </c>
      <c r="R39" s="29">
        <v>0.90069444444444446</v>
      </c>
      <c r="S39" s="30">
        <f t="shared" si="3"/>
        <v>3.472222222222221E-2</v>
      </c>
    </row>
    <row r="40" spans="2:19" ht="16.5" thickBot="1" x14ac:dyDescent="0.3">
      <c r="B40" s="462"/>
      <c r="C40" s="349">
        <v>6.9444444444444441E-3</v>
      </c>
      <c r="D40" s="9" t="s">
        <v>18</v>
      </c>
      <c r="E40" s="7"/>
      <c r="F40" s="7"/>
      <c r="G40" s="7"/>
      <c r="H40" s="7"/>
      <c r="I40" s="8"/>
      <c r="J40" s="9"/>
      <c r="K40" s="7"/>
      <c r="L40" s="7"/>
      <c r="M40" s="7"/>
      <c r="N40" s="7"/>
      <c r="O40" s="7"/>
      <c r="P40" s="27">
        <v>0.48055555555555562</v>
      </c>
      <c r="Q40" s="28">
        <f t="shared" si="2"/>
        <v>1.8750000000000044E-2</v>
      </c>
      <c r="R40" s="29">
        <v>0.95277777777777772</v>
      </c>
      <c r="S40" s="30">
        <f t="shared" si="3"/>
        <v>5.2083333333333259E-2</v>
      </c>
    </row>
    <row r="41" spans="2:19" ht="16.5" thickBot="1" x14ac:dyDescent="0.3">
      <c r="B41" s="462"/>
      <c r="C41" s="319"/>
      <c r="D41" s="9" t="s">
        <v>19</v>
      </c>
      <c r="E41" s="7"/>
      <c r="F41" s="7"/>
      <c r="G41" s="7"/>
      <c r="H41" s="7"/>
      <c r="I41" s="8"/>
      <c r="J41" s="9" t="s">
        <v>20</v>
      </c>
      <c r="K41" s="7"/>
      <c r="L41" s="7"/>
      <c r="M41" s="7"/>
      <c r="N41" s="7"/>
      <c r="O41" s="7"/>
      <c r="P41" s="27">
        <v>0.53402777777777777</v>
      </c>
      <c r="Q41" s="28">
        <f t="shared" si="2"/>
        <v>5.3472222222222143E-2</v>
      </c>
      <c r="R41" s="29">
        <v>1</v>
      </c>
      <c r="S41" s="30">
        <f t="shared" si="3"/>
        <v>4.7222222222222276E-2</v>
      </c>
    </row>
    <row r="42" spans="2:19" ht="16.5" thickBot="1" x14ac:dyDescent="0.3">
      <c r="B42" s="462"/>
      <c r="C42" s="302" t="s">
        <v>7</v>
      </c>
      <c r="D42" s="13" t="s">
        <v>8</v>
      </c>
      <c r="E42" s="14" t="s">
        <v>9</v>
      </c>
      <c r="F42" s="15" t="s">
        <v>10</v>
      </c>
      <c r="G42" s="14" t="s">
        <v>11</v>
      </c>
      <c r="H42" s="15" t="s">
        <v>12</v>
      </c>
      <c r="I42" s="14" t="s">
        <v>13</v>
      </c>
      <c r="J42" s="15" t="s">
        <v>8</v>
      </c>
      <c r="K42" s="14" t="s">
        <v>9</v>
      </c>
      <c r="L42" s="15" t="s">
        <v>10</v>
      </c>
      <c r="M42" s="14" t="s">
        <v>11</v>
      </c>
      <c r="N42" s="15" t="s">
        <v>12</v>
      </c>
      <c r="O42" s="14" t="s">
        <v>13</v>
      </c>
      <c r="P42" s="43">
        <v>0.55833333333333335</v>
      </c>
      <c r="Q42" s="44">
        <f t="shared" si="2"/>
        <v>2.430555555555558E-2</v>
      </c>
      <c r="R42" s="45">
        <v>1.0555555555555556</v>
      </c>
      <c r="S42" s="46">
        <f t="shared" si="3"/>
        <v>5.555555555555558E-2</v>
      </c>
    </row>
    <row r="43" spans="2:19" ht="15.75" x14ac:dyDescent="0.25">
      <c r="B43" s="462"/>
      <c r="C43" s="303"/>
      <c r="D43" s="23">
        <v>0.60833333333333328</v>
      </c>
      <c r="E43" s="25">
        <v>0.63680555555555551</v>
      </c>
      <c r="F43" s="25">
        <v>0.66388888888888886</v>
      </c>
      <c r="G43" s="20">
        <f t="shared" ref="G43:G45" si="6">F43-D43</f>
        <v>5.555555555555558E-2</v>
      </c>
      <c r="H43" s="56">
        <v>216</v>
      </c>
      <c r="I43" s="48">
        <v>1</v>
      </c>
      <c r="J43" s="23">
        <v>0.71319444444444446</v>
      </c>
      <c r="K43" s="25">
        <v>0.7416666666666667</v>
      </c>
      <c r="L43" s="25">
        <v>0.77500000000000002</v>
      </c>
      <c r="M43" s="20">
        <f t="shared" ref="M43:M45" si="7">L43-J43</f>
        <v>6.1805555555555558E-2</v>
      </c>
      <c r="N43" s="56">
        <v>216</v>
      </c>
      <c r="O43" s="48">
        <v>2</v>
      </c>
      <c r="P43" s="1"/>
      <c r="Q43" s="1"/>
      <c r="R43" s="1"/>
      <c r="S43" s="1"/>
    </row>
    <row r="44" spans="2:19" ht="15.75" x14ac:dyDescent="0.25">
      <c r="B44" s="462"/>
      <c r="C44" s="303"/>
      <c r="D44" s="27">
        <v>0.67152777777777772</v>
      </c>
      <c r="E44" s="29">
        <v>0.70486111111111116</v>
      </c>
      <c r="F44" s="29">
        <v>0.74236111111111114</v>
      </c>
      <c r="G44" s="20">
        <f t="shared" si="6"/>
        <v>7.0833333333333415E-2</v>
      </c>
      <c r="H44" s="58">
        <v>216</v>
      </c>
      <c r="I44" s="50">
        <v>1</v>
      </c>
      <c r="J44" s="27">
        <v>0.79305555555555551</v>
      </c>
      <c r="K44" s="29">
        <v>0.82777777777777772</v>
      </c>
      <c r="L44" s="29">
        <v>0.85902777777777772</v>
      </c>
      <c r="M44" s="20">
        <f t="shared" si="7"/>
        <v>6.597222222222221E-2</v>
      </c>
      <c r="N44" s="58">
        <v>216</v>
      </c>
      <c r="O44" s="50">
        <v>2</v>
      </c>
      <c r="P44" s="1"/>
      <c r="Q44" s="1"/>
      <c r="R44" s="1"/>
      <c r="S44" s="1"/>
    </row>
    <row r="45" spans="2:19" ht="16.5" thickBot="1" x14ac:dyDescent="0.3">
      <c r="B45" s="462"/>
      <c r="C45" s="303"/>
      <c r="D45" s="27">
        <v>0.75486111111111109</v>
      </c>
      <c r="E45" s="29">
        <v>0.78611111111111109</v>
      </c>
      <c r="F45" s="29">
        <v>0.82013888888888886</v>
      </c>
      <c r="G45" s="20">
        <f t="shared" si="6"/>
        <v>6.5277777777777768E-2</v>
      </c>
      <c r="H45" s="58">
        <v>216</v>
      </c>
      <c r="I45" s="50">
        <v>1</v>
      </c>
      <c r="J45" s="27">
        <v>0.86597222222222225</v>
      </c>
      <c r="K45" s="29">
        <v>0.89027777777777772</v>
      </c>
      <c r="L45" s="29">
        <v>0.91805555555555551</v>
      </c>
      <c r="M45" s="20">
        <f t="shared" si="7"/>
        <v>5.2083333333333259E-2</v>
      </c>
      <c r="N45" s="58">
        <v>216</v>
      </c>
      <c r="O45" s="50">
        <v>2</v>
      </c>
      <c r="P45" s="1"/>
      <c r="Q45" s="1"/>
      <c r="R45" s="1"/>
      <c r="S45" s="1"/>
    </row>
    <row r="46" spans="2:19" ht="16.5" thickBot="1" x14ac:dyDescent="0.3">
      <c r="B46" s="462"/>
      <c r="C46" s="303"/>
      <c r="D46" s="31">
        <f>IF(F45="",E45,F45)</f>
        <v>0.82013888888888886</v>
      </c>
      <c r="E46" s="32"/>
      <c r="F46" s="31">
        <f>IF(D47="",E47,D47)</f>
        <v>0.90069444444444446</v>
      </c>
      <c r="G46" s="32"/>
      <c r="H46" s="32">
        <f>F46-D46</f>
        <v>8.0555555555555602E-2</v>
      </c>
      <c r="I46" s="32"/>
      <c r="J46" s="31">
        <f>IF(L45="",K45,L45)</f>
        <v>0.91805555555555551</v>
      </c>
      <c r="K46" s="32"/>
      <c r="L46" s="31">
        <f>IF(J47="",K47,J47)</f>
        <v>1</v>
      </c>
      <c r="M46" s="32"/>
      <c r="N46" s="32">
        <f>L46-J46</f>
        <v>8.1944444444444486E-2</v>
      </c>
      <c r="O46" s="32"/>
      <c r="P46" s="1"/>
      <c r="Q46" s="1"/>
      <c r="R46" s="1"/>
      <c r="S46" s="1"/>
    </row>
    <row r="47" spans="2:19" ht="15.75" x14ac:dyDescent="0.25">
      <c r="B47" s="462"/>
      <c r="C47" s="303"/>
      <c r="D47" s="27">
        <v>0.90069444444444446</v>
      </c>
      <c r="E47" s="29">
        <v>0.92500000000000004</v>
      </c>
      <c r="F47" s="29">
        <v>0.94374999999999998</v>
      </c>
      <c r="G47" s="20">
        <f t="shared" ref="G47:G48" si="8">F47-D47</f>
        <v>4.3055555555555514E-2</v>
      </c>
      <c r="H47" s="58">
        <v>216</v>
      </c>
      <c r="I47" s="50">
        <v>1</v>
      </c>
      <c r="J47" s="27">
        <v>1</v>
      </c>
      <c r="K47" s="29">
        <v>1.0243055555555556</v>
      </c>
      <c r="L47" s="29">
        <v>1.0479166666666666</v>
      </c>
      <c r="M47" s="20">
        <f t="shared" ref="M47:M48" si="9">L47-J47</f>
        <v>4.7916666666666607E-2</v>
      </c>
      <c r="N47" s="58">
        <v>216</v>
      </c>
      <c r="O47" s="50">
        <v>2</v>
      </c>
      <c r="P47" s="1"/>
      <c r="Q47" s="1"/>
      <c r="R47" s="1"/>
      <c r="S47" s="1"/>
    </row>
    <row r="48" spans="2:19" ht="16.5" thickBot="1" x14ac:dyDescent="0.3">
      <c r="B48" s="462"/>
      <c r="C48" s="303"/>
      <c r="D48" s="59">
        <v>0.95277777777777772</v>
      </c>
      <c r="E48" s="60">
        <v>0.9770833333333333</v>
      </c>
      <c r="F48" s="60">
        <v>1.0006944444444446</v>
      </c>
      <c r="G48" s="20">
        <f t="shared" si="8"/>
        <v>4.7916666666666829E-2</v>
      </c>
      <c r="H48" s="61">
        <v>216</v>
      </c>
      <c r="I48" s="62">
        <v>1</v>
      </c>
      <c r="J48" s="59">
        <v>1.0555555555555556</v>
      </c>
      <c r="K48" s="60">
        <v>1.0763888888888888</v>
      </c>
      <c r="L48" s="60">
        <v>1.0972222222222223</v>
      </c>
      <c r="M48" s="20">
        <f t="shared" si="9"/>
        <v>4.1666666666666741E-2</v>
      </c>
      <c r="N48" s="61">
        <v>216</v>
      </c>
      <c r="O48" s="62">
        <v>2</v>
      </c>
      <c r="P48" s="1"/>
      <c r="Q48" s="1"/>
      <c r="R48" s="1"/>
      <c r="S48" s="1"/>
    </row>
    <row r="49" spans="2:19" ht="19.5" thickBot="1" x14ac:dyDescent="0.3">
      <c r="B49" s="462"/>
      <c r="C49" s="304"/>
      <c r="D49" s="459" t="s">
        <v>59</v>
      </c>
      <c r="E49" s="321"/>
      <c r="F49" s="321"/>
      <c r="G49" s="321"/>
      <c r="H49" s="321"/>
      <c r="I49" s="322"/>
      <c r="J49" s="459" t="s">
        <v>59</v>
      </c>
      <c r="K49" s="321"/>
      <c r="L49" s="321"/>
      <c r="M49" s="321"/>
      <c r="N49" s="321"/>
      <c r="O49" s="322"/>
      <c r="P49" s="1"/>
      <c r="Q49" s="1"/>
      <c r="R49" s="1"/>
      <c r="S49" s="1"/>
    </row>
    <row r="50" spans="2:19" ht="16.5" thickBot="1" x14ac:dyDescent="0.3">
      <c r="B50" s="461"/>
      <c r="C50" s="36" t="s">
        <v>17</v>
      </c>
      <c r="D50" s="37" t="e">
        <f>MAX(E43:F48)-IF(D43="",E43,D43)-MIN(H43:H48)+#REF!</f>
        <v>#REF!</v>
      </c>
      <c r="E50" s="51"/>
      <c r="F50" s="51"/>
      <c r="G50" s="52"/>
      <c r="H50" s="53">
        <f ca="1">OFFSET(H42,MATCH(MIN(H43:H48),H43:H48,0),-4)-IF(D43="",E43,D43)</f>
        <v>0.21180555555555558</v>
      </c>
      <c r="I50" s="54"/>
      <c r="J50" s="37" t="e">
        <f>MAX(K43:L48)-IF(J43="",K43,J43)-MIN(N43:N48)+#REF!</f>
        <v>#REF!</v>
      </c>
      <c r="K50" s="38"/>
      <c r="L50" s="38"/>
      <c r="M50" s="39"/>
      <c r="N50" s="53">
        <f ca="1">OFFSET(N42,MATCH(MIN(N43:N48),N43:N48,0),-4)-IF(J43="",K43,J43)</f>
        <v>0.20486111111111105</v>
      </c>
      <c r="O50" s="41"/>
      <c r="P50" s="1"/>
      <c r="Q50" s="1"/>
      <c r="R50" s="1"/>
      <c r="S50" s="1"/>
    </row>
    <row r="53" spans="2:19" ht="15.75" thickBot="1" x14ac:dyDescent="0.3"/>
    <row r="54" spans="2:19" ht="24" thickBot="1" x14ac:dyDescent="0.3">
      <c r="B54" s="451" t="s">
        <v>38</v>
      </c>
      <c r="C54" s="346" t="s">
        <v>141</v>
      </c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  <c r="P54" s="347"/>
      <c r="Q54" s="347"/>
      <c r="R54" s="347"/>
      <c r="S54" s="348"/>
    </row>
    <row r="55" spans="2:19" ht="19.5" thickBot="1" x14ac:dyDescent="0.3">
      <c r="B55" s="452"/>
      <c r="C55" s="453">
        <v>6.9444444444444441E-3</v>
      </c>
      <c r="D55" s="454" t="s">
        <v>2</v>
      </c>
      <c r="E55" s="455"/>
      <c r="F55" s="455"/>
      <c r="G55" s="455"/>
      <c r="H55" s="455"/>
      <c r="I55" s="456"/>
      <c r="J55" s="454"/>
      <c r="K55" s="455"/>
      <c r="L55" s="455"/>
      <c r="M55" s="455"/>
      <c r="N55" s="455"/>
      <c r="O55" s="456"/>
      <c r="P55" s="457" t="s">
        <v>142</v>
      </c>
      <c r="Q55" s="455"/>
      <c r="R55" s="455"/>
      <c r="S55" s="456"/>
    </row>
    <row r="56" spans="2:19" ht="19.5" thickBot="1" x14ac:dyDescent="0.3">
      <c r="B56" s="452"/>
      <c r="C56" s="319"/>
      <c r="D56" s="9" t="s">
        <v>4</v>
      </c>
      <c r="E56" s="7"/>
      <c r="F56" s="7"/>
      <c r="G56" s="7"/>
      <c r="H56" s="7"/>
      <c r="I56" s="8"/>
      <c r="J56" s="9" t="s">
        <v>5</v>
      </c>
      <c r="K56" s="7"/>
      <c r="L56" s="7"/>
      <c r="M56" s="7"/>
      <c r="N56" s="7"/>
      <c r="O56" s="8"/>
      <c r="P56" s="10" t="s">
        <v>25</v>
      </c>
      <c r="Q56" s="11"/>
      <c r="R56" s="11"/>
      <c r="S56" s="12"/>
    </row>
    <row r="57" spans="2:19" ht="19.5" thickBot="1" x14ac:dyDescent="0.3">
      <c r="B57" s="452"/>
      <c r="C57" s="313" t="s">
        <v>7</v>
      </c>
      <c r="D57" s="13" t="s">
        <v>8</v>
      </c>
      <c r="E57" s="14" t="s">
        <v>9</v>
      </c>
      <c r="F57" s="15" t="s">
        <v>10</v>
      </c>
      <c r="G57" s="14" t="s">
        <v>11</v>
      </c>
      <c r="H57" s="15" t="s">
        <v>12</v>
      </c>
      <c r="I57" s="14" t="s">
        <v>13</v>
      </c>
      <c r="J57" s="13" t="s">
        <v>8</v>
      </c>
      <c r="K57" s="14" t="s">
        <v>9</v>
      </c>
      <c r="L57" s="15" t="s">
        <v>10</v>
      </c>
      <c r="M57" s="14" t="s">
        <v>11</v>
      </c>
      <c r="N57" s="15" t="s">
        <v>12</v>
      </c>
      <c r="O57" s="14" t="s">
        <v>13</v>
      </c>
      <c r="P57" s="6" t="str">
        <f>CONCATENATE(COUNT(P59:P68,R59:R68)," VIAGENS")</f>
        <v>20 VIAGENS</v>
      </c>
      <c r="Q57" s="7"/>
      <c r="R57" s="7"/>
      <c r="S57" s="8"/>
    </row>
    <row r="58" spans="2:19" ht="16.5" thickBot="1" x14ac:dyDescent="0.3">
      <c r="B58" s="452"/>
      <c r="C58" s="314"/>
      <c r="D58" s="18">
        <v>0.22222222222222221</v>
      </c>
      <c r="E58" s="19">
        <v>0.24444444444444441</v>
      </c>
      <c r="F58" s="19">
        <v>0.26874999999999999</v>
      </c>
      <c r="G58" s="20">
        <f>F58-D58</f>
        <v>4.6527777777777779E-2</v>
      </c>
      <c r="H58" s="55">
        <v>216</v>
      </c>
      <c r="I58" s="22">
        <v>1</v>
      </c>
      <c r="J58" s="18">
        <v>0.25</v>
      </c>
      <c r="K58" s="19">
        <v>0.27777777777777779</v>
      </c>
      <c r="L58" s="19">
        <v>0.30208333333333331</v>
      </c>
      <c r="M58" s="20">
        <f t="shared" ref="M58:M59" si="10">L58-J58</f>
        <v>5.2083333333333315E-2</v>
      </c>
      <c r="N58" s="55">
        <v>216</v>
      </c>
      <c r="O58" s="22">
        <v>2</v>
      </c>
      <c r="P58" s="16" t="s">
        <v>14</v>
      </c>
      <c r="Q58" s="17" t="s">
        <v>15</v>
      </c>
      <c r="R58" s="16" t="s">
        <v>14</v>
      </c>
      <c r="S58" s="17" t="s">
        <v>15</v>
      </c>
    </row>
    <row r="59" spans="2:19" ht="16.5" thickBot="1" x14ac:dyDescent="0.3">
      <c r="B59" s="452"/>
      <c r="C59" s="314"/>
      <c r="D59" s="18">
        <v>0.27916666666666667</v>
      </c>
      <c r="E59" s="19">
        <v>0.30625000000000002</v>
      </c>
      <c r="F59" s="19">
        <v>0.33194444444444438</v>
      </c>
      <c r="G59" s="20">
        <f t="shared" ref="G59:G60" si="11">F59-D59</f>
        <v>5.2777777777777701E-2</v>
      </c>
      <c r="H59" s="55">
        <v>216</v>
      </c>
      <c r="I59" s="22">
        <v>1</v>
      </c>
      <c r="J59" s="18">
        <v>0.30902777777777779</v>
      </c>
      <c r="K59" s="19">
        <v>0.33750000000000002</v>
      </c>
      <c r="L59" s="19">
        <v>0.36180555555555549</v>
      </c>
      <c r="M59" s="20">
        <f t="shared" si="10"/>
        <v>5.2777777777777701E-2</v>
      </c>
      <c r="N59" s="55">
        <v>216</v>
      </c>
      <c r="O59" s="22">
        <v>2</v>
      </c>
      <c r="P59" s="23">
        <v>0.22222222222222221</v>
      </c>
      <c r="Q59" s="458"/>
      <c r="R59" s="25">
        <v>0.60833333333333328</v>
      </c>
      <c r="S59" s="26">
        <f>R59-P68</f>
        <v>4.9999999999999933E-2</v>
      </c>
    </row>
    <row r="60" spans="2:19" ht="16.5" thickBot="1" x14ac:dyDescent="0.3">
      <c r="B60" s="452"/>
      <c r="C60" s="314"/>
      <c r="D60" s="18">
        <v>0.34027777777777779</v>
      </c>
      <c r="E60" s="19">
        <v>0.37222222222222218</v>
      </c>
      <c r="F60" s="19">
        <v>0.40902777777777782</v>
      </c>
      <c r="G60" s="20">
        <f t="shared" si="11"/>
        <v>6.8750000000000033E-2</v>
      </c>
      <c r="H60" s="55">
        <v>216</v>
      </c>
      <c r="I60" s="22">
        <v>1</v>
      </c>
      <c r="J60" s="31">
        <f>IF(L59="",K59,L59)</f>
        <v>0.36180555555555549</v>
      </c>
      <c r="K60" s="32"/>
      <c r="L60" s="31">
        <f>IF(J61="",K61,J61)</f>
        <v>0.40972222222222221</v>
      </c>
      <c r="M60" s="32"/>
      <c r="N60" s="32">
        <f>L60-J60</f>
        <v>4.7916666666666718E-2</v>
      </c>
      <c r="O60" s="33"/>
      <c r="P60" s="27">
        <v>0.25</v>
      </c>
      <c r="Q60" s="28">
        <f t="shared" ref="Q60:Q68" si="12">P60-P59</f>
        <v>2.777777777777779E-2</v>
      </c>
      <c r="R60" s="29">
        <v>0.67152777777777772</v>
      </c>
      <c r="S60" s="30">
        <f t="shared" ref="S60:S68" si="13">R60-R59</f>
        <v>6.3194444444444442E-2</v>
      </c>
    </row>
    <row r="61" spans="2:19" ht="16.5" thickBot="1" x14ac:dyDescent="0.3">
      <c r="B61" s="452"/>
      <c r="C61" s="314"/>
      <c r="D61" s="31">
        <f>IF(F60="",E60,F60)</f>
        <v>0.40902777777777782</v>
      </c>
      <c r="E61" s="32"/>
      <c r="F61" s="31">
        <f>IF(D62="",E62,D62)</f>
        <v>0.46180555555555558</v>
      </c>
      <c r="G61" s="32"/>
      <c r="H61" s="32">
        <f>F61-D61</f>
        <v>5.2777777777777757E-2</v>
      </c>
      <c r="I61" s="32"/>
      <c r="J61" s="18">
        <v>0.40972222222222221</v>
      </c>
      <c r="K61" s="19">
        <v>0.44305555555555548</v>
      </c>
      <c r="L61" s="19">
        <v>0.47361111111111109</v>
      </c>
      <c r="M61" s="20">
        <f t="shared" ref="M61:M63" si="14">L61-J61</f>
        <v>6.3888888888888884E-2</v>
      </c>
      <c r="N61" s="55">
        <v>216</v>
      </c>
      <c r="O61" s="22">
        <v>2</v>
      </c>
      <c r="P61" s="27">
        <v>0.27916666666666667</v>
      </c>
      <c r="Q61" s="28">
        <f t="shared" si="12"/>
        <v>2.9166666666666674E-2</v>
      </c>
      <c r="R61" s="29">
        <v>0.71319444444444446</v>
      </c>
      <c r="S61" s="30">
        <f t="shared" si="13"/>
        <v>4.1666666666666741E-2</v>
      </c>
    </row>
    <row r="62" spans="2:19" ht="15.75" x14ac:dyDescent="0.25">
      <c r="B62" s="452"/>
      <c r="C62" s="314"/>
      <c r="D62" s="18">
        <v>0.46180555555555558</v>
      </c>
      <c r="E62" s="19">
        <v>0.49305555555555558</v>
      </c>
      <c r="F62" s="19">
        <v>0.52708333333333335</v>
      </c>
      <c r="G62" s="20">
        <f t="shared" ref="G62:G63" si="15">F62-D62</f>
        <v>6.5277777777777768E-2</v>
      </c>
      <c r="H62" s="55">
        <v>216</v>
      </c>
      <c r="I62" s="22">
        <v>1</v>
      </c>
      <c r="J62" s="18">
        <v>0.48055555555555562</v>
      </c>
      <c r="K62" s="19">
        <v>0.51111111111111107</v>
      </c>
      <c r="L62" s="19">
        <v>0.54305555555555551</v>
      </c>
      <c r="M62" s="20">
        <f t="shared" si="14"/>
        <v>6.2499999999999889E-2</v>
      </c>
      <c r="N62" s="55">
        <v>216</v>
      </c>
      <c r="O62" s="22">
        <v>2</v>
      </c>
      <c r="P62" s="27">
        <v>0.30902777777777779</v>
      </c>
      <c r="Q62" s="28">
        <f t="shared" si="12"/>
        <v>2.9861111111111116E-2</v>
      </c>
      <c r="R62" s="29">
        <v>0.75486111111111109</v>
      </c>
      <c r="S62" s="30">
        <f t="shared" si="13"/>
        <v>4.166666666666663E-2</v>
      </c>
    </row>
    <row r="63" spans="2:19" ht="16.5" thickBot="1" x14ac:dyDescent="0.3">
      <c r="B63" s="452"/>
      <c r="C63" s="314"/>
      <c r="D63" s="18">
        <v>0.53402777777777777</v>
      </c>
      <c r="E63" s="19">
        <v>0.56666666666666665</v>
      </c>
      <c r="F63" s="19">
        <v>0.59444444444444444</v>
      </c>
      <c r="G63" s="20">
        <f t="shared" si="15"/>
        <v>6.0416666666666674E-2</v>
      </c>
      <c r="H63" s="55">
        <v>216</v>
      </c>
      <c r="I63" s="22">
        <v>1</v>
      </c>
      <c r="J63" s="18">
        <v>0.55833333333333335</v>
      </c>
      <c r="K63" s="19">
        <v>0.58611111111111114</v>
      </c>
      <c r="L63" s="19">
        <v>0.61319444444444449</v>
      </c>
      <c r="M63" s="20">
        <f t="shared" si="14"/>
        <v>5.4861111111111138E-2</v>
      </c>
      <c r="N63" s="55">
        <v>216</v>
      </c>
      <c r="O63" s="22">
        <v>2</v>
      </c>
      <c r="P63" s="27">
        <v>0.34027777777777779</v>
      </c>
      <c r="Q63" s="28">
        <f t="shared" si="12"/>
        <v>3.125E-2</v>
      </c>
      <c r="R63" s="29">
        <v>0.79305555555555551</v>
      </c>
      <c r="S63" s="30">
        <f t="shared" si="13"/>
        <v>3.819444444444442E-2</v>
      </c>
    </row>
    <row r="64" spans="2:19" ht="19.5" thickBot="1" x14ac:dyDescent="0.3">
      <c r="B64" s="452"/>
      <c r="C64" s="315"/>
      <c r="D64" s="459" t="s">
        <v>59</v>
      </c>
      <c r="E64" s="321"/>
      <c r="F64" s="321"/>
      <c r="G64" s="321"/>
      <c r="H64" s="321"/>
      <c r="I64" s="322"/>
      <c r="J64" s="459" t="s">
        <v>59</v>
      </c>
      <c r="K64" s="321"/>
      <c r="L64" s="321"/>
      <c r="M64" s="321"/>
      <c r="N64" s="321"/>
      <c r="O64" s="322"/>
      <c r="P64" s="27">
        <v>0.40972222222222221</v>
      </c>
      <c r="Q64" s="28">
        <f t="shared" si="12"/>
        <v>6.944444444444442E-2</v>
      </c>
      <c r="R64" s="29">
        <v>0.86597222222222225</v>
      </c>
      <c r="S64" s="30">
        <f t="shared" si="13"/>
        <v>7.2916666666666741E-2</v>
      </c>
    </row>
    <row r="65" spans="2:19" ht="16.5" thickBot="1" x14ac:dyDescent="0.3">
      <c r="B65" s="452"/>
      <c r="C65" s="36" t="s">
        <v>17</v>
      </c>
      <c r="D65" s="37">
        <f>MAX(E58:F63)-IF(D58="",E58,D58)-MIN(H58:H63)+$C55</f>
        <v>0.3263888888888889</v>
      </c>
      <c r="E65" s="38"/>
      <c r="F65" s="38"/>
      <c r="G65" s="39"/>
      <c r="H65" s="40">
        <f ca="1">OFFSET(H57,MATCH(MIN(H58:H63),H58:H63,0),-4)-IF(D58="",E58,D58)+$C55</f>
        <v>0.19375000000000006</v>
      </c>
      <c r="I65" s="41"/>
      <c r="J65" s="37">
        <f>MAX(K58:L63)-IF(J58="",K58,J58)-MIN(N58:N63)+$C55</f>
        <v>0.32222222222222219</v>
      </c>
      <c r="K65" s="38"/>
      <c r="L65" s="38"/>
      <c r="M65" s="39"/>
      <c r="N65" s="40">
        <f ca="1">OFFSET(N57,MATCH(MIN(N58:N63),N58:N63,0),-4)-IF(J58="",K58,J58)+$C55</f>
        <v>0.11874999999999994</v>
      </c>
      <c r="O65" s="42"/>
      <c r="P65" s="27">
        <v>0.46180555555555558</v>
      </c>
      <c r="Q65" s="28">
        <f t="shared" si="12"/>
        <v>5.208333333333337E-2</v>
      </c>
      <c r="R65" s="29">
        <v>0.90069444444444446</v>
      </c>
      <c r="S65" s="30">
        <f t="shared" si="13"/>
        <v>3.472222222222221E-2</v>
      </c>
    </row>
    <row r="66" spans="2:19" ht="16.5" thickBot="1" x14ac:dyDescent="0.3">
      <c r="B66" s="452"/>
      <c r="C66" s="349">
        <v>6.9444444444444441E-3</v>
      </c>
      <c r="D66" s="9" t="s">
        <v>18</v>
      </c>
      <c r="E66" s="7"/>
      <c r="F66" s="7"/>
      <c r="G66" s="7"/>
      <c r="H66" s="7"/>
      <c r="I66" s="8"/>
      <c r="J66" s="9"/>
      <c r="K66" s="7"/>
      <c r="L66" s="7"/>
      <c r="M66" s="7"/>
      <c r="N66" s="7"/>
      <c r="O66" s="7"/>
      <c r="P66" s="27">
        <v>0.48055555555555562</v>
      </c>
      <c r="Q66" s="28">
        <f t="shared" si="12"/>
        <v>1.8750000000000044E-2</v>
      </c>
      <c r="R66" s="29">
        <v>0.95277777777777772</v>
      </c>
      <c r="S66" s="30">
        <f t="shared" si="13"/>
        <v>5.2083333333333259E-2</v>
      </c>
    </row>
    <row r="67" spans="2:19" ht="16.5" thickBot="1" x14ac:dyDescent="0.3">
      <c r="B67" s="452"/>
      <c r="C67" s="319"/>
      <c r="D67" s="9" t="s">
        <v>19</v>
      </c>
      <c r="E67" s="7"/>
      <c r="F67" s="7"/>
      <c r="G67" s="7"/>
      <c r="H67" s="7"/>
      <c r="I67" s="8"/>
      <c r="J67" s="9" t="s">
        <v>20</v>
      </c>
      <c r="K67" s="7"/>
      <c r="L67" s="7"/>
      <c r="M67" s="7"/>
      <c r="N67" s="7"/>
      <c r="O67" s="7"/>
      <c r="P67" s="27">
        <v>0.53402777777777777</v>
      </c>
      <c r="Q67" s="28">
        <f t="shared" si="12"/>
        <v>5.3472222222222143E-2</v>
      </c>
      <c r="R67" s="29">
        <v>1</v>
      </c>
      <c r="S67" s="30">
        <f t="shared" si="13"/>
        <v>4.7222222222222276E-2</v>
      </c>
    </row>
    <row r="68" spans="2:19" ht="16.5" thickBot="1" x14ac:dyDescent="0.3">
      <c r="B68" s="452"/>
      <c r="C68" s="302" t="s">
        <v>7</v>
      </c>
      <c r="D68" s="13" t="s">
        <v>8</v>
      </c>
      <c r="E68" s="14" t="s">
        <v>9</v>
      </c>
      <c r="F68" s="15" t="s">
        <v>10</v>
      </c>
      <c r="G68" s="14" t="s">
        <v>11</v>
      </c>
      <c r="H68" s="15" t="s">
        <v>12</v>
      </c>
      <c r="I68" s="14" t="s">
        <v>13</v>
      </c>
      <c r="J68" s="15" t="s">
        <v>8</v>
      </c>
      <c r="K68" s="14" t="s">
        <v>9</v>
      </c>
      <c r="L68" s="15" t="s">
        <v>10</v>
      </c>
      <c r="M68" s="14" t="s">
        <v>11</v>
      </c>
      <c r="N68" s="15" t="s">
        <v>12</v>
      </c>
      <c r="O68" s="14" t="s">
        <v>13</v>
      </c>
      <c r="P68" s="43">
        <v>0.55833333333333335</v>
      </c>
      <c r="Q68" s="44">
        <f t="shared" si="12"/>
        <v>2.430555555555558E-2</v>
      </c>
      <c r="R68" s="45">
        <v>1.0555555555555556</v>
      </c>
      <c r="S68" s="46">
        <f t="shared" si="13"/>
        <v>5.555555555555558E-2</v>
      </c>
    </row>
    <row r="69" spans="2:19" ht="15.75" x14ac:dyDescent="0.25">
      <c r="B69" s="452"/>
      <c r="C69" s="303"/>
      <c r="D69" s="23">
        <v>0.60833333333333328</v>
      </c>
      <c r="E69" s="25">
        <v>0.63680555555555551</v>
      </c>
      <c r="F69" s="25">
        <v>0.66388888888888886</v>
      </c>
      <c r="G69" s="20">
        <f t="shared" ref="G69:G71" si="16">F69-D69</f>
        <v>5.555555555555558E-2</v>
      </c>
      <c r="H69" s="56">
        <v>216</v>
      </c>
      <c r="I69" s="48">
        <v>1</v>
      </c>
      <c r="J69" s="23">
        <v>0.71319444444444446</v>
      </c>
      <c r="K69" s="25">
        <v>0.7416666666666667</v>
      </c>
      <c r="L69" s="25">
        <v>0.77500000000000002</v>
      </c>
      <c r="M69" s="20">
        <f t="shared" ref="M69:M71" si="17">L69-J69</f>
        <v>6.1805555555555558E-2</v>
      </c>
      <c r="N69" s="56">
        <v>216</v>
      </c>
      <c r="O69" s="48">
        <v>2</v>
      </c>
      <c r="P69" s="1"/>
      <c r="Q69" s="1"/>
      <c r="R69" s="1"/>
      <c r="S69" s="1"/>
    </row>
    <row r="70" spans="2:19" ht="15.75" x14ac:dyDescent="0.25">
      <c r="B70" s="452"/>
      <c r="C70" s="303"/>
      <c r="D70" s="27">
        <v>0.67152777777777772</v>
      </c>
      <c r="E70" s="29">
        <v>0.70486111111111116</v>
      </c>
      <c r="F70" s="29">
        <v>0.74236111111111114</v>
      </c>
      <c r="G70" s="20">
        <f t="shared" si="16"/>
        <v>7.0833333333333415E-2</v>
      </c>
      <c r="H70" s="58">
        <v>216</v>
      </c>
      <c r="I70" s="50">
        <v>1</v>
      </c>
      <c r="J70" s="27">
        <v>0.79305555555555551</v>
      </c>
      <c r="K70" s="29">
        <v>0.82777777777777772</v>
      </c>
      <c r="L70" s="29">
        <v>0.85902777777777772</v>
      </c>
      <c r="M70" s="20">
        <f t="shared" si="17"/>
        <v>6.597222222222221E-2</v>
      </c>
      <c r="N70" s="58">
        <v>216</v>
      </c>
      <c r="O70" s="50">
        <v>2</v>
      </c>
      <c r="P70" s="1"/>
      <c r="Q70" s="1"/>
      <c r="R70" s="1"/>
      <c r="S70" s="1"/>
    </row>
    <row r="71" spans="2:19" ht="16.5" thickBot="1" x14ac:dyDescent="0.3">
      <c r="B71" s="452"/>
      <c r="C71" s="303"/>
      <c r="D71" s="27">
        <v>0.75486111111111109</v>
      </c>
      <c r="E71" s="29">
        <v>0.78611111111111109</v>
      </c>
      <c r="F71" s="29">
        <v>0.82013888888888886</v>
      </c>
      <c r="G71" s="20">
        <f t="shared" si="16"/>
        <v>6.5277777777777768E-2</v>
      </c>
      <c r="H71" s="58">
        <v>216</v>
      </c>
      <c r="I71" s="50">
        <v>1</v>
      </c>
      <c r="J71" s="27">
        <v>0.86597222222222225</v>
      </c>
      <c r="K71" s="29">
        <v>0.89027777777777772</v>
      </c>
      <c r="L71" s="29">
        <v>0.91805555555555551</v>
      </c>
      <c r="M71" s="20">
        <f t="shared" si="17"/>
        <v>5.2083333333333259E-2</v>
      </c>
      <c r="N71" s="58">
        <v>216</v>
      </c>
      <c r="O71" s="50">
        <v>2</v>
      </c>
      <c r="P71" s="1"/>
      <c r="Q71" s="1"/>
      <c r="R71" s="1"/>
      <c r="S71" s="1"/>
    </row>
    <row r="72" spans="2:19" ht="16.5" thickBot="1" x14ac:dyDescent="0.3">
      <c r="B72" s="452"/>
      <c r="C72" s="303"/>
      <c r="D72" s="31">
        <f>IF(F71="",E71,F71)</f>
        <v>0.82013888888888886</v>
      </c>
      <c r="E72" s="32"/>
      <c r="F72" s="31">
        <f>IF(D73="",E73,D73)</f>
        <v>0.90069444444444446</v>
      </c>
      <c r="G72" s="32"/>
      <c r="H72" s="32">
        <f>F72-D72</f>
        <v>8.0555555555555602E-2</v>
      </c>
      <c r="I72" s="32"/>
      <c r="J72" s="31">
        <f>IF(L71="",K71,L71)</f>
        <v>0.91805555555555551</v>
      </c>
      <c r="K72" s="32"/>
      <c r="L72" s="31">
        <f>IF(J73="",K73,J73)</f>
        <v>1</v>
      </c>
      <c r="M72" s="32"/>
      <c r="N72" s="32">
        <f>L72-J72</f>
        <v>8.1944444444444486E-2</v>
      </c>
      <c r="O72" s="32"/>
      <c r="P72" s="1"/>
      <c r="Q72" s="1"/>
      <c r="R72" s="1"/>
      <c r="S72" s="1"/>
    </row>
    <row r="73" spans="2:19" ht="15.75" x14ac:dyDescent="0.25">
      <c r="B73" s="452"/>
      <c r="C73" s="303"/>
      <c r="D73" s="27">
        <v>0.90069444444444446</v>
      </c>
      <c r="E73" s="29">
        <v>0.92500000000000004</v>
      </c>
      <c r="F73" s="29">
        <v>0.94374999999999998</v>
      </c>
      <c r="G73" s="20">
        <f t="shared" ref="G73:G74" si="18">F73-D73</f>
        <v>4.3055555555555514E-2</v>
      </c>
      <c r="H73" s="58">
        <v>216</v>
      </c>
      <c r="I73" s="50">
        <v>1</v>
      </c>
      <c r="J73" s="27">
        <v>1</v>
      </c>
      <c r="K73" s="29">
        <v>1.0243055555555556</v>
      </c>
      <c r="L73" s="29">
        <v>1.0479166666666666</v>
      </c>
      <c r="M73" s="20">
        <f t="shared" ref="M73:M74" si="19">L73-J73</f>
        <v>4.7916666666666607E-2</v>
      </c>
      <c r="N73" s="58">
        <v>216</v>
      </c>
      <c r="O73" s="50">
        <v>2</v>
      </c>
      <c r="P73" s="1"/>
      <c r="Q73" s="1"/>
      <c r="R73" s="1"/>
      <c r="S73" s="1"/>
    </row>
    <row r="74" spans="2:19" ht="16.5" thickBot="1" x14ac:dyDescent="0.3">
      <c r="B74" s="452"/>
      <c r="C74" s="303"/>
      <c r="D74" s="59">
        <v>0.95277777777777772</v>
      </c>
      <c r="E74" s="60">
        <v>0.9770833333333333</v>
      </c>
      <c r="F74" s="60">
        <v>1.0006944444444446</v>
      </c>
      <c r="G74" s="20">
        <f t="shared" si="18"/>
        <v>4.7916666666666829E-2</v>
      </c>
      <c r="H74" s="61">
        <v>216</v>
      </c>
      <c r="I74" s="62">
        <v>1</v>
      </c>
      <c r="J74" s="59">
        <v>1.0555555555555556</v>
      </c>
      <c r="K74" s="60">
        <v>1.0763888888888888</v>
      </c>
      <c r="L74" s="60">
        <v>1.0972222222222223</v>
      </c>
      <c r="M74" s="20">
        <f t="shared" si="19"/>
        <v>4.1666666666666741E-2</v>
      </c>
      <c r="N74" s="61">
        <v>216</v>
      </c>
      <c r="O74" s="62">
        <v>2</v>
      </c>
      <c r="P74" s="1"/>
      <c r="Q74" s="1"/>
      <c r="R74" s="1"/>
      <c r="S74" s="1"/>
    </row>
    <row r="75" spans="2:19" ht="19.5" thickBot="1" x14ac:dyDescent="0.3">
      <c r="B75" s="452"/>
      <c r="C75" s="304"/>
      <c r="D75" s="459" t="s">
        <v>59</v>
      </c>
      <c r="E75" s="321"/>
      <c r="F75" s="321"/>
      <c r="G75" s="321"/>
      <c r="H75" s="321"/>
      <c r="I75" s="322"/>
      <c r="J75" s="459" t="s">
        <v>59</v>
      </c>
      <c r="K75" s="321"/>
      <c r="L75" s="321"/>
      <c r="M75" s="321"/>
      <c r="N75" s="321"/>
      <c r="O75" s="322"/>
      <c r="P75" s="1"/>
      <c r="Q75" s="1"/>
      <c r="R75" s="1"/>
      <c r="S75" s="1"/>
    </row>
    <row r="76" spans="2:19" ht="16.5" thickBot="1" x14ac:dyDescent="0.3">
      <c r="B76" s="460"/>
      <c r="C76" s="36" t="s">
        <v>17</v>
      </c>
      <c r="D76" s="37">
        <f>MAX(E69:F74)-IF(D69="",E69,D69)-MIN(H69:H74)+$C66</f>
        <v>0.31875000000000009</v>
      </c>
      <c r="E76" s="51"/>
      <c r="F76" s="51"/>
      <c r="G76" s="52"/>
      <c r="H76" s="53">
        <f ca="1">OFFSET(H68,MATCH(MIN(H69:H74),H69:H74,0),-4)-IF(D69="",E69,D69)</f>
        <v>0.21180555555555558</v>
      </c>
      <c r="I76" s="54"/>
      <c r="J76" s="37">
        <f>MAX(K69:L74)-IF(J69="",K69,J69)-MIN(N69:N74)+$C66</f>
        <v>0.30902777777777779</v>
      </c>
      <c r="K76" s="38"/>
      <c r="L76" s="38"/>
      <c r="M76" s="39"/>
      <c r="N76" s="53">
        <f ca="1">OFFSET(N68,MATCH(MIN(N69:N74),N69:N74,0),-4)-IF(J69="",K69,J69)</f>
        <v>0.20486111111111105</v>
      </c>
      <c r="O76" s="41"/>
      <c r="P76" s="1"/>
      <c r="Q76" s="1"/>
      <c r="R76" s="1"/>
      <c r="S76" s="1"/>
    </row>
  </sheetData>
  <mergeCells count="30">
    <mergeCell ref="B28:B50"/>
    <mergeCell ref="C28:S28"/>
    <mergeCell ref="C29:C30"/>
    <mergeCell ref="C31:C38"/>
    <mergeCell ref="D38:I38"/>
    <mergeCell ref="J38:O38"/>
    <mergeCell ref="C40:C41"/>
    <mergeCell ref="C42:C49"/>
    <mergeCell ref="D49:I49"/>
    <mergeCell ref="J49:O49"/>
    <mergeCell ref="C3:C4"/>
    <mergeCell ref="C14:C15"/>
    <mergeCell ref="B2:B24"/>
    <mergeCell ref="J23:O23"/>
    <mergeCell ref="C5:C12"/>
    <mergeCell ref="D12:I12"/>
    <mergeCell ref="C16:C23"/>
    <mergeCell ref="J12:O12"/>
    <mergeCell ref="D23:I23"/>
    <mergeCell ref="C2:S2"/>
    <mergeCell ref="B54:B76"/>
    <mergeCell ref="C54:S54"/>
    <mergeCell ref="C55:C56"/>
    <mergeCell ref="C57:C64"/>
    <mergeCell ref="D64:I64"/>
    <mergeCell ref="J64:O64"/>
    <mergeCell ref="C66:C67"/>
    <mergeCell ref="C68:C75"/>
    <mergeCell ref="D75:I75"/>
    <mergeCell ref="J75:O75"/>
  </mergeCells>
  <conditionalFormatting sqref="D56">
    <cfRule type="colorScale" priority="12">
      <colorScale>
        <cfvo type="min"/>
        <cfvo type="max"/>
        <color rgb="FFFF7128"/>
        <color rgb="FFFFEF9C"/>
      </colorScale>
    </cfRule>
  </conditionalFormatting>
  <conditionalFormatting sqref="E56:I56">
    <cfRule type="notContainsBlanks" dxfId="113" priority="11">
      <formula>LEN(TRIM(E56))&gt;0</formula>
    </cfRule>
  </conditionalFormatting>
  <conditionalFormatting sqref="D4">
    <cfRule type="colorScale" priority="8">
      <colorScale>
        <cfvo type="min"/>
        <cfvo type="max"/>
        <color rgb="FFFF7128"/>
        <color rgb="FFFFEF9C"/>
      </colorScale>
    </cfRule>
  </conditionalFormatting>
  <conditionalFormatting sqref="E4:I4">
    <cfRule type="notContainsBlanks" dxfId="112" priority="7">
      <formula>LEN(TRIM(E4))&gt;0</formula>
    </cfRule>
  </conditionalFormatting>
  <conditionalFormatting sqref="D30">
    <cfRule type="colorScale" priority="4">
      <colorScale>
        <cfvo type="min"/>
        <cfvo type="max"/>
        <color rgb="FFFF7128"/>
        <color rgb="FFFFEF9C"/>
      </colorScale>
    </cfRule>
  </conditionalFormatting>
  <conditionalFormatting sqref="D30:I30">
    <cfRule type="expression" dxfId="111" priority="2" stopIfTrue="1">
      <formula>LEN(#REF!)=14</formula>
    </cfRule>
  </conditionalFormatting>
  <conditionalFormatting sqref="E30:I30">
    <cfRule type="notContainsBlanks" dxfId="110" priority="3">
      <formula>LEN(TRIM(E30))&gt;0</formula>
    </cfRule>
  </conditionalFormatting>
  <conditionalFormatting sqref="J30:O30">
    <cfRule type="expression" dxfId="109" priority="1">
      <formula>LEN(#REF!)=14</formula>
    </cfRule>
  </conditionalFormatting>
  <conditionalFormatting sqref="D56:I56">
    <cfRule type="expression" dxfId="108" priority="67" stopIfTrue="1">
      <formula>LEN($D56)=14</formula>
    </cfRule>
  </conditionalFormatting>
  <conditionalFormatting sqref="J56:O56">
    <cfRule type="expression" dxfId="107" priority="68">
      <formula>LEN($J56)=14</formula>
    </cfRule>
  </conditionalFormatting>
  <conditionalFormatting sqref="D4:I4">
    <cfRule type="expression" dxfId="106" priority="69" stopIfTrue="1">
      <formula>LEN($D56)=14</formula>
    </cfRule>
  </conditionalFormatting>
  <conditionalFormatting sqref="J4:O4">
    <cfRule type="expression" dxfId="105" priority="70">
      <formula>LEN($J56)=14</formula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FC68-F72D-4553-94EF-9FB75E0C18C9}">
  <dimension ref="A1:Z89"/>
  <sheetViews>
    <sheetView zoomScale="70" zoomScaleNormal="70" workbookViewId="0">
      <selection activeCell="P73" sqref="P73:U80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10" t="s">
        <v>32</v>
      </c>
      <c r="C2" s="2" t="s">
        <v>134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133</v>
      </c>
      <c r="W2" s="7"/>
      <c r="X2" s="7"/>
      <c r="Y2" s="8"/>
    </row>
    <row r="3" spans="1:25" ht="24" customHeight="1" thickBot="1" x14ac:dyDescent="0.3">
      <c r="B3" s="311"/>
      <c r="C3" s="349">
        <v>6.9444444444444441E-3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3</v>
      </c>
      <c r="W3" s="11"/>
      <c r="X3" s="11"/>
      <c r="Y3" s="12"/>
    </row>
    <row r="4" spans="1:25" ht="24" customHeight="1" thickBot="1" x14ac:dyDescent="0.3">
      <c r="B4" s="311"/>
      <c r="C4" s="371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6" t="str">
        <f>CONCATENATE(COUNT(V6:V21,X6:X21)," VIAGENS")</f>
        <v>32 VIAGENS</v>
      </c>
      <c r="W4" s="7"/>
      <c r="X4" s="7"/>
      <c r="Y4" s="8"/>
    </row>
    <row r="5" spans="1:25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1:25" ht="24" customHeight="1" x14ac:dyDescent="0.25">
      <c r="B6" s="311"/>
      <c r="C6" s="314"/>
      <c r="D6" s="18">
        <v>0.20833333333333329</v>
      </c>
      <c r="E6" s="19">
        <v>0.23125000000000001</v>
      </c>
      <c r="F6" s="19">
        <v>0.26527777777777778</v>
      </c>
      <c r="G6" s="20">
        <f>F6-D6</f>
        <v>5.6944444444444492E-2</v>
      </c>
      <c r="H6" s="55">
        <v>219</v>
      </c>
      <c r="I6" s="22">
        <v>1</v>
      </c>
      <c r="J6" s="18">
        <v>0.22916666666666671</v>
      </c>
      <c r="K6" s="19">
        <v>0.25416666666666671</v>
      </c>
      <c r="L6" s="19">
        <v>0.27777777777777779</v>
      </c>
      <c r="M6" s="20">
        <f t="shared" ref="M6:M8" si="0">L6-J6</f>
        <v>4.8611111111111077E-2</v>
      </c>
      <c r="N6" s="55">
        <v>219</v>
      </c>
      <c r="O6" s="22">
        <v>2</v>
      </c>
      <c r="P6" s="18">
        <v>0.25</v>
      </c>
      <c r="Q6" s="19">
        <v>0.27847222222222218</v>
      </c>
      <c r="R6" s="19">
        <v>0.30833333333333329</v>
      </c>
      <c r="S6" s="20">
        <f t="shared" ref="S6:S7" si="1">R6-P6</f>
        <v>5.8333333333333293E-2</v>
      </c>
      <c r="T6" s="55">
        <v>219</v>
      </c>
      <c r="U6" s="22">
        <v>3</v>
      </c>
      <c r="V6" s="23">
        <v>0.20833333333333329</v>
      </c>
      <c r="W6" s="24"/>
      <c r="X6" s="25">
        <v>0.62152777777777779</v>
      </c>
      <c r="Y6" s="26">
        <f>X6-V21</f>
        <v>2.6388888888888906E-2</v>
      </c>
    </row>
    <row r="7" spans="1:25" ht="24" customHeight="1" thickBot="1" x14ac:dyDescent="0.3">
      <c r="B7" s="311"/>
      <c r="C7" s="314"/>
      <c r="D7" s="18">
        <v>0.27083333333333331</v>
      </c>
      <c r="E7" s="19">
        <v>0.3</v>
      </c>
      <c r="F7" s="19">
        <v>0.32013888888888892</v>
      </c>
      <c r="G7" s="20">
        <f>F7-D7</f>
        <v>4.9305555555555602E-2</v>
      </c>
      <c r="H7" s="55">
        <v>219</v>
      </c>
      <c r="I7" s="22">
        <v>1</v>
      </c>
      <c r="J7" s="18">
        <v>0.29166666666666669</v>
      </c>
      <c r="K7" s="19">
        <v>0.31805555555555548</v>
      </c>
      <c r="L7" s="19">
        <v>0.34236111111111112</v>
      </c>
      <c r="M7" s="20">
        <f t="shared" si="0"/>
        <v>5.0694444444444431E-2</v>
      </c>
      <c r="N7" s="55">
        <v>219</v>
      </c>
      <c r="O7" s="22">
        <v>2</v>
      </c>
      <c r="P7" s="18">
        <v>0.31597222222222221</v>
      </c>
      <c r="Q7" s="19">
        <v>0.33888888888888891</v>
      </c>
      <c r="R7" s="19">
        <v>0.36805555555555558</v>
      </c>
      <c r="S7" s="20">
        <f t="shared" si="1"/>
        <v>5.208333333333337E-2</v>
      </c>
      <c r="T7" s="55">
        <v>219</v>
      </c>
      <c r="U7" s="22">
        <v>3</v>
      </c>
      <c r="V7" s="27">
        <v>0.22916666666666671</v>
      </c>
      <c r="W7" s="28">
        <f t="shared" ref="W7:W21" si="2">V7-V6</f>
        <v>2.0833333333333426E-2</v>
      </c>
      <c r="X7" s="29">
        <v>0.65</v>
      </c>
      <c r="Y7" s="30">
        <f t="shared" ref="Y7:Y21" si="3">X7-X6</f>
        <v>2.8472222222222232E-2</v>
      </c>
    </row>
    <row r="8" spans="1:25" ht="24" customHeight="1" thickBot="1" x14ac:dyDescent="0.3">
      <c r="B8" s="311"/>
      <c r="C8" s="314"/>
      <c r="D8" s="31">
        <f>IF(F7="",E7,F7)</f>
        <v>0.32013888888888892</v>
      </c>
      <c r="E8" s="32"/>
      <c r="F8" s="31">
        <f>IF(D9="",E9,D9)</f>
        <v>0.38194444444444442</v>
      </c>
      <c r="G8" s="32"/>
      <c r="H8" s="32">
        <f>F8-D8</f>
        <v>6.1805555555555503E-2</v>
      </c>
      <c r="I8" s="32"/>
      <c r="J8" s="18">
        <v>0.35069444444444442</v>
      </c>
      <c r="K8" s="19">
        <v>0.375</v>
      </c>
      <c r="L8" s="19">
        <v>0.41111111111111109</v>
      </c>
      <c r="M8" s="20">
        <f t="shared" si="0"/>
        <v>6.0416666666666674E-2</v>
      </c>
      <c r="N8" s="55">
        <v>219</v>
      </c>
      <c r="O8" s="22">
        <v>2</v>
      </c>
      <c r="P8" s="31">
        <f>IF(R7="",Q7,R7)</f>
        <v>0.36805555555555558</v>
      </c>
      <c r="Q8" s="32"/>
      <c r="R8" s="31">
        <f>IF(P9="",Q9,P9)</f>
        <v>0.41319444444444442</v>
      </c>
      <c r="S8" s="32"/>
      <c r="T8" s="32">
        <f>R8-P8</f>
        <v>4.513888888888884E-2</v>
      </c>
      <c r="U8" s="32"/>
      <c r="V8" s="27">
        <v>0.25</v>
      </c>
      <c r="W8" s="28">
        <f t="shared" si="2"/>
        <v>2.0833333333333287E-2</v>
      </c>
      <c r="X8" s="29">
        <v>0.66666666666666663</v>
      </c>
      <c r="Y8" s="30">
        <f t="shared" si="3"/>
        <v>1.6666666666666607E-2</v>
      </c>
    </row>
    <row r="9" spans="1:25" ht="24" customHeight="1" thickBot="1" x14ac:dyDescent="0.3">
      <c r="B9" s="311"/>
      <c r="C9" s="314"/>
      <c r="D9" s="18">
        <v>0.38194444444444442</v>
      </c>
      <c r="E9" s="19">
        <v>0.40763888888888888</v>
      </c>
      <c r="F9" s="19">
        <v>0.44166666666666671</v>
      </c>
      <c r="G9" s="20">
        <f t="shared" ref="G9:G11" si="4">F9-D9</f>
        <v>5.9722222222222288E-2</v>
      </c>
      <c r="H9" s="55">
        <v>219</v>
      </c>
      <c r="I9" s="22">
        <v>1</v>
      </c>
      <c r="J9" s="31">
        <f>IF(L8="",K8,L8)</f>
        <v>0.41111111111111109</v>
      </c>
      <c r="K9" s="32"/>
      <c r="L9" s="31">
        <f>IF(J10="",K10,J10)</f>
        <v>0.47916666666666669</v>
      </c>
      <c r="M9" s="32"/>
      <c r="N9" s="32">
        <f>L9-J9</f>
        <v>6.8055555555555591E-2</v>
      </c>
      <c r="O9" s="32"/>
      <c r="P9" s="18">
        <v>0.41319444444444442</v>
      </c>
      <c r="Q9" s="19">
        <v>0.4375</v>
      </c>
      <c r="R9" s="19">
        <v>0.47152777777777782</v>
      </c>
      <c r="S9" s="20">
        <f t="shared" ref="S9:S11" si="5">R9-P9</f>
        <v>5.8333333333333404E-2</v>
      </c>
      <c r="T9" s="55">
        <v>219</v>
      </c>
      <c r="U9" s="22">
        <v>3</v>
      </c>
      <c r="V9" s="27">
        <v>0.27083333333333331</v>
      </c>
      <c r="W9" s="28">
        <f t="shared" si="2"/>
        <v>2.0833333333333315E-2</v>
      </c>
      <c r="X9" s="29">
        <v>0.68333333333333335</v>
      </c>
      <c r="Y9" s="30">
        <f t="shared" si="3"/>
        <v>1.6666666666666718E-2</v>
      </c>
    </row>
    <row r="10" spans="1:25" ht="24" customHeight="1" x14ac:dyDescent="0.25">
      <c r="B10" s="311"/>
      <c r="C10" s="314"/>
      <c r="D10" s="18">
        <v>0.44791666666666669</v>
      </c>
      <c r="E10" s="19">
        <v>0.47152777777777782</v>
      </c>
      <c r="F10" s="19">
        <v>0.50694444444444442</v>
      </c>
      <c r="G10" s="20">
        <f t="shared" si="4"/>
        <v>5.9027777777777735E-2</v>
      </c>
      <c r="H10" s="55">
        <v>219</v>
      </c>
      <c r="I10" s="22">
        <v>1</v>
      </c>
      <c r="J10" s="18">
        <v>0.47916666666666669</v>
      </c>
      <c r="K10" s="19">
        <v>0.50624999999999998</v>
      </c>
      <c r="L10" s="19">
        <v>0.53402777777777777</v>
      </c>
      <c r="M10" s="20">
        <f t="shared" ref="M10:M11" si="6">L10-J10</f>
        <v>5.4861111111111083E-2</v>
      </c>
      <c r="N10" s="55">
        <v>219</v>
      </c>
      <c r="O10" s="22">
        <v>2</v>
      </c>
      <c r="P10" s="18">
        <v>0.5</v>
      </c>
      <c r="Q10" s="19">
        <v>0.5229166666666667</v>
      </c>
      <c r="R10" s="19">
        <v>0.55138888888888893</v>
      </c>
      <c r="S10" s="20">
        <f t="shared" si="5"/>
        <v>5.1388888888888928E-2</v>
      </c>
      <c r="T10" s="55">
        <v>219</v>
      </c>
      <c r="U10" s="22">
        <v>3</v>
      </c>
      <c r="V10" s="27">
        <v>0.29166666666666669</v>
      </c>
      <c r="W10" s="28">
        <f t="shared" si="2"/>
        <v>2.083333333333337E-2</v>
      </c>
      <c r="X10" s="29">
        <v>0.70833333333333337</v>
      </c>
      <c r="Y10" s="30">
        <f t="shared" si="3"/>
        <v>2.5000000000000022E-2</v>
      </c>
    </row>
    <row r="11" spans="1:25" ht="24" customHeight="1" thickBot="1" x14ac:dyDescent="0.3">
      <c r="B11" s="311"/>
      <c r="C11" s="314"/>
      <c r="D11" s="18">
        <v>0.52083333333333337</v>
      </c>
      <c r="E11" s="19">
        <v>0.54236111111111107</v>
      </c>
      <c r="F11" s="19">
        <v>0.56874999999999998</v>
      </c>
      <c r="G11" s="20">
        <f t="shared" si="4"/>
        <v>4.7916666666666607E-2</v>
      </c>
      <c r="H11" s="55">
        <v>219</v>
      </c>
      <c r="I11" s="22">
        <v>1</v>
      </c>
      <c r="J11" s="18">
        <v>0.54513888888888884</v>
      </c>
      <c r="K11" s="19">
        <v>0.56874999999999998</v>
      </c>
      <c r="L11" s="19">
        <v>0.60138888888888886</v>
      </c>
      <c r="M11" s="20">
        <f t="shared" si="6"/>
        <v>5.6250000000000022E-2</v>
      </c>
      <c r="N11" s="55">
        <v>219</v>
      </c>
      <c r="O11" s="22">
        <v>2</v>
      </c>
      <c r="P11" s="18">
        <v>0.56944444444444442</v>
      </c>
      <c r="Q11" s="19">
        <v>0.59375</v>
      </c>
      <c r="R11" s="19">
        <v>0.62083333333333335</v>
      </c>
      <c r="S11" s="20">
        <f t="shared" si="5"/>
        <v>5.1388888888888928E-2</v>
      </c>
      <c r="T11" s="55">
        <v>219</v>
      </c>
      <c r="U11" s="22">
        <v>3</v>
      </c>
      <c r="V11" s="27">
        <v>0.31597222222222221</v>
      </c>
      <c r="W11" s="28">
        <f t="shared" si="2"/>
        <v>2.4305555555555525E-2</v>
      </c>
      <c r="X11" s="29">
        <v>0.72916666666666663</v>
      </c>
      <c r="Y11" s="30">
        <f t="shared" si="3"/>
        <v>2.0833333333333259E-2</v>
      </c>
    </row>
    <row r="12" spans="1:25" s="35" customFormat="1" ht="24" customHeight="1" thickBot="1" x14ac:dyDescent="0.3">
      <c r="A12" s="34"/>
      <c r="B12" s="311"/>
      <c r="C12" s="315"/>
      <c r="D12" s="341" t="s">
        <v>121</v>
      </c>
      <c r="E12" s="372"/>
      <c r="F12" s="372"/>
      <c r="G12" s="372"/>
      <c r="H12" s="372"/>
      <c r="I12" s="373"/>
      <c r="J12" s="341" t="s">
        <v>121</v>
      </c>
      <c r="K12" s="372"/>
      <c r="L12" s="372"/>
      <c r="M12" s="372"/>
      <c r="N12" s="372"/>
      <c r="O12" s="373"/>
      <c r="P12" s="341" t="s">
        <v>121</v>
      </c>
      <c r="Q12" s="372"/>
      <c r="R12" s="372"/>
      <c r="S12" s="372"/>
      <c r="T12" s="372"/>
      <c r="U12" s="373"/>
      <c r="V12" s="27">
        <v>0.35069444444444442</v>
      </c>
      <c r="W12" s="28">
        <f t="shared" si="2"/>
        <v>3.472222222222221E-2</v>
      </c>
      <c r="X12" s="29">
        <v>0.75</v>
      </c>
      <c r="Y12" s="30">
        <f t="shared" si="3"/>
        <v>2.083333333333337E-2</v>
      </c>
    </row>
    <row r="13" spans="1:25" ht="24" customHeight="1" thickBot="1" x14ac:dyDescent="0.3">
      <c r="B13" s="311"/>
      <c r="C13" s="36" t="s">
        <v>17</v>
      </c>
      <c r="D13" s="37">
        <f>MAX(E6:F11)-IF(D6="",E6,D6)-MIN(H6:H11)+$C3</f>
        <v>0.30555555555555564</v>
      </c>
      <c r="E13" s="38"/>
      <c r="F13" s="38"/>
      <c r="G13" s="39"/>
      <c r="H13" s="40">
        <f ca="1">OFFSET(H5,MATCH(MIN(H6:H11),H6:H11,0),-4)-IF(D6="",E6,D6)+$C3</f>
        <v>0.11875000000000008</v>
      </c>
      <c r="I13" s="41"/>
      <c r="J13" s="37">
        <f>MAX(K6:L11)-IF(J6="",K6,J6)-MIN(N6:N11)+$C3</f>
        <v>0.31111111111111095</v>
      </c>
      <c r="K13" s="38"/>
      <c r="L13" s="38"/>
      <c r="M13" s="39"/>
      <c r="N13" s="40">
        <f ca="1">OFFSET(N5,MATCH(MIN(N6:N11),N6:N11,0),-4)-IF(J6="",K6,J6)+$C3</f>
        <v>0.18888888888888883</v>
      </c>
      <c r="O13" s="41"/>
      <c r="P13" s="37">
        <f>MAX(Q6:R11)-IF(P6="",Q6,P6)-MIN(T6:T11)+$C3</f>
        <v>0.33263888888888893</v>
      </c>
      <c r="Q13" s="38"/>
      <c r="R13" s="38"/>
      <c r="S13" s="39"/>
      <c r="T13" s="40">
        <f ca="1">OFFSET(T5,MATCH(MIN(T6:T11),T6:T11,0),-4)-IF(P6="",Q6,P6)+$C3</f>
        <v>0.12500000000000003</v>
      </c>
      <c r="U13" s="42"/>
      <c r="V13" s="27">
        <v>0.38194444444444442</v>
      </c>
      <c r="W13" s="28">
        <f t="shared" si="2"/>
        <v>3.125E-2</v>
      </c>
      <c r="X13" s="29">
        <v>0.78125</v>
      </c>
      <c r="Y13" s="30">
        <f t="shared" si="3"/>
        <v>3.125E-2</v>
      </c>
    </row>
    <row r="14" spans="1:25" ht="24" customHeight="1" thickBot="1" x14ac:dyDescent="0.3">
      <c r="B14" s="311"/>
      <c r="C14" s="349">
        <v>6.9444444444444441E-3</v>
      </c>
      <c r="D14" s="9" t="s">
        <v>18</v>
      </c>
      <c r="E14" s="7"/>
      <c r="F14" s="7"/>
      <c r="G14" s="7"/>
      <c r="H14" s="7"/>
      <c r="I14" s="8"/>
      <c r="J14" s="9"/>
      <c r="K14" s="7"/>
      <c r="L14" s="7"/>
      <c r="M14" s="7"/>
      <c r="N14" s="7"/>
      <c r="O14" s="8"/>
      <c r="P14" s="9"/>
      <c r="Q14" s="7"/>
      <c r="R14" s="7"/>
      <c r="S14" s="7"/>
      <c r="T14" s="7"/>
      <c r="U14" s="7"/>
      <c r="V14" s="27">
        <v>0.41319444444444442</v>
      </c>
      <c r="W14" s="28">
        <f t="shared" si="2"/>
        <v>3.125E-2</v>
      </c>
      <c r="X14" s="29">
        <v>0.81597222222222221</v>
      </c>
      <c r="Y14" s="30">
        <f t="shared" si="3"/>
        <v>3.472222222222221E-2</v>
      </c>
    </row>
    <row r="15" spans="1:25" ht="24" customHeight="1" thickBot="1" x14ac:dyDescent="0.3">
      <c r="B15" s="311"/>
      <c r="C15" s="371"/>
      <c r="D15" s="9" t="s">
        <v>19</v>
      </c>
      <c r="E15" s="7"/>
      <c r="F15" s="7"/>
      <c r="G15" s="7"/>
      <c r="H15" s="7"/>
      <c r="I15" s="8"/>
      <c r="J15" s="9" t="s">
        <v>20</v>
      </c>
      <c r="K15" s="7"/>
      <c r="L15" s="7"/>
      <c r="M15" s="7"/>
      <c r="N15" s="7"/>
      <c r="O15" s="8"/>
      <c r="P15" s="9" t="s">
        <v>21</v>
      </c>
      <c r="Q15" s="7"/>
      <c r="R15" s="7"/>
      <c r="S15" s="7"/>
      <c r="T15" s="7"/>
      <c r="U15" s="7"/>
      <c r="V15" s="27">
        <v>0.44791666666666669</v>
      </c>
      <c r="W15" s="28">
        <f t="shared" si="2"/>
        <v>3.4722222222222265E-2</v>
      </c>
      <c r="X15" s="29">
        <v>0.84722222222222221</v>
      </c>
      <c r="Y15" s="30">
        <f t="shared" si="3"/>
        <v>3.125E-2</v>
      </c>
    </row>
    <row r="16" spans="1:25" ht="24" customHeight="1" thickBot="1" x14ac:dyDescent="0.3">
      <c r="B16" s="311"/>
      <c r="C16" s="302" t="s">
        <v>7</v>
      </c>
      <c r="D16" s="13" t="s">
        <v>8</v>
      </c>
      <c r="E16" s="14" t="s">
        <v>9</v>
      </c>
      <c r="F16" s="15" t="s">
        <v>10</v>
      </c>
      <c r="G16" s="14" t="s">
        <v>11</v>
      </c>
      <c r="H16" s="15" t="s">
        <v>12</v>
      </c>
      <c r="I16" s="14" t="s">
        <v>13</v>
      </c>
      <c r="J16" s="15" t="s">
        <v>8</v>
      </c>
      <c r="K16" s="14" t="s">
        <v>9</v>
      </c>
      <c r="L16" s="15" t="s">
        <v>10</v>
      </c>
      <c r="M16" s="14" t="s">
        <v>11</v>
      </c>
      <c r="N16" s="15" t="s">
        <v>12</v>
      </c>
      <c r="O16" s="14" t="s">
        <v>13</v>
      </c>
      <c r="P16" s="13" t="s">
        <v>8</v>
      </c>
      <c r="Q16" s="14" t="s">
        <v>9</v>
      </c>
      <c r="R16" s="15" t="s">
        <v>10</v>
      </c>
      <c r="S16" s="14" t="s">
        <v>11</v>
      </c>
      <c r="T16" s="15" t="s">
        <v>12</v>
      </c>
      <c r="U16" s="13" t="s">
        <v>13</v>
      </c>
      <c r="V16" s="27">
        <v>0.47916666666666669</v>
      </c>
      <c r="W16" s="28">
        <f t="shared" si="2"/>
        <v>3.125E-2</v>
      </c>
      <c r="X16" s="29">
        <v>0.88194444444444442</v>
      </c>
      <c r="Y16" s="30">
        <f t="shared" si="3"/>
        <v>3.472222222222221E-2</v>
      </c>
    </row>
    <row r="17" spans="1:26" ht="24" customHeight="1" x14ac:dyDescent="0.25">
      <c r="B17" s="311"/>
      <c r="C17" s="303"/>
      <c r="D17" s="23">
        <v>0.59513888888888888</v>
      </c>
      <c r="E17" s="25">
        <v>0.61736111111111114</v>
      </c>
      <c r="F17" s="25">
        <v>0.6430555555555556</v>
      </c>
      <c r="G17" s="20">
        <f t="shared" ref="G17:G20" si="7">F17-D17</f>
        <v>4.7916666666666718E-2</v>
      </c>
      <c r="H17" s="56">
        <v>219</v>
      </c>
      <c r="I17" s="48">
        <v>1</v>
      </c>
      <c r="J17" s="23">
        <v>0.62152777777777779</v>
      </c>
      <c r="K17" s="25">
        <v>0.64513888888888893</v>
      </c>
      <c r="L17" s="25">
        <v>0.67361111111111116</v>
      </c>
      <c r="M17" s="20">
        <f t="shared" ref="M17:M20" si="8">L17-J17</f>
        <v>5.208333333333337E-2</v>
      </c>
      <c r="N17" s="56">
        <v>219</v>
      </c>
      <c r="O17" s="48">
        <v>2</v>
      </c>
      <c r="P17" s="23">
        <v>0.66666666666666663</v>
      </c>
      <c r="Q17" s="25">
        <v>0.68680555555555556</v>
      </c>
      <c r="R17" s="25">
        <v>0.71458333333333335</v>
      </c>
      <c r="S17" s="20">
        <f t="shared" ref="S17:S18" si="9">R17-P17</f>
        <v>4.7916666666666718E-2</v>
      </c>
      <c r="T17" s="56">
        <v>219</v>
      </c>
      <c r="U17" s="57">
        <v>3</v>
      </c>
      <c r="V17" s="27">
        <v>0.5</v>
      </c>
      <c r="W17" s="28">
        <f t="shared" si="2"/>
        <v>2.0833333333333315E-2</v>
      </c>
      <c r="X17" s="29">
        <v>0.91666666666666663</v>
      </c>
      <c r="Y17" s="30">
        <f t="shared" si="3"/>
        <v>3.472222222222221E-2</v>
      </c>
    </row>
    <row r="18" spans="1:26" ht="24" customHeight="1" thickBot="1" x14ac:dyDescent="0.3">
      <c r="B18" s="311"/>
      <c r="C18" s="303"/>
      <c r="D18" s="27">
        <v>0.65</v>
      </c>
      <c r="E18" s="29">
        <v>0.67291666666666672</v>
      </c>
      <c r="F18" s="29">
        <v>0.7006944444444444</v>
      </c>
      <c r="G18" s="20">
        <f t="shared" si="7"/>
        <v>5.0694444444444375E-2</v>
      </c>
      <c r="H18" s="58">
        <v>219</v>
      </c>
      <c r="I18" s="50">
        <v>1</v>
      </c>
      <c r="J18" s="27">
        <v>0.68333333333333335</v>
      </c>
      <c r="K18" s="29">
        <v>0.70347222222222228</v>
      </c>
      <c r="L18" s="29">
        <v>0.73402777777777772</v>
      </c>
      <c r="M18" s="20">
        <f t="shared" si="8"/>
        <v>5.0694444444444375E-2</v>
      </c>
      <c r="N18" s="58">
        <v>219</v>
      </c>
      <c r="O18" s="50">
        <v>2</v>
      </c>
      <c r="P18" s="27">
        <v>0.72916666666666663</v>
      </c>
      <c r="Q18" s="29">
        <v>0.75</v>
      </c>
      <c r="R18" s="29">
        <v>0.77847222222222223</v>
      </c>
      <c r="S18" s="20">
        <f t="shared" si="9"/>
        <v>4.9305555555555602E-2</v>
      </c>
      <c r="T18" s="58">
        <v>219</v>
      </c>
      <c r="U18" s="64">
        <v>3</v>
      </c>
      <c r="V18" s="27">
        <v>0.52083333333333337</v>
      </c>
      <c r="W18" s="28">
        <f t="shared" si="2"/>
        <v>2.083333333333337E-2</v>
      </c>
      <c r="X18" s="29">
        <v>0.95138888888888884</v>
      </c>
      <c r="Y18" s="30">
        <f t="shared" si="3"/>
        <v>3.472222222222221E-2</v>
      </c>
    </row>
    <row r="19" spans="1:26" ht="24" customHeight="1" thickBot="1" x14ac:dyDescent="0.3">
      <c r="B19" s="311"/>
      <c r="C19" s="303"/>
      <c r="D19" s="27">
        <v>0.70833333333333337</v>
      </c>
      <c r="E19" s="29">
        <v>0.73124999999999996</v>
      </c>
      <c r="F19" s="29">
        <v>0.76041666666666663</v>
      </c>
      <c r="G19" s="20">
        <f t="shared" si="7"/>
        <v>5.2083333333333259E-2</v>
      </c>
      <c r="H19" s="58">
        <v>219</v>
      </c>
      <c r="I19" s="50">
        <v>1</v>
      </c>
      <c r="J19" s="27">
        <v>0.75</v>
      </c>
      <c r="K19" s="29">
        <v>0.77569444444444446</v>
      </c>
      <c r="L19" s="29">
        <v>0.80763888888888891</v>
      </c>
      <c r="M19" s="20">
        <f t="shared" si="8"/>
        <v>5.7638888888888906E-2</v>
      </c>
      <c r="N19" s="58">
        <v>219</v>
      </c>
      <c r="O19" s="50">
        <v>2</v>
      </c>
      <c r="P19" s="31">
        <f>IF(R18="",Q18,R18)</f>
        <v>0.77847222222222223</v>
      </c>
      <c r="Q19" s="32"/>
      <c r="R19" s="31">
        <f>IF(P20="",Q20,P20)</f>
        <v>0.84722222222222221</v>
      </c>
      <c r="S19" s="32"/>
      <c r="T19" s="32">
        <f>R19-P19</f>
        <v>6.8749999999999978E-2</v>
      </c>
      <c r="U19" s="32"/>
      <c r="V19" s="27">
        <v>0.54513888888888884</v>
      </c>
      <c r="W19" s="28">
        <f t="shared" si="2"/>
        <v>2.4305555555555469E-2</v>
      </c>
      <c r="X19" s="29">
        <v>0.98611111111111116</v>
      </c>
      <c r="Y19" s="30">
        <f t="shared" si="3"/>
        <v>3.4722222222222321E-2</v>
      </c>
    </row>
    <row r="20" spans="1:26" ht="24" customHeight="1" thickBot="1" x14ac:dyDescent="0.3">
      <c r="B20" s="311"/>
      <c r="C20" s="303"/>
      <c r="D20" s="27">
        <v>0.78125</v>
      </c>
      <c r="E20" s="29">
        <v>0.80347222222222225</v>
      </c>
      <c r="F20" s="29">
        <v>0.83125000000000004</v>
      </c>
      <c r="G20" s="20">
        <f t="shared" si="7"/>
        <v>5.0000000000000044E-2</v>
      </c>
      <c r="H20" s="58">
        <v>219</v>
      </c>
      <c r="I20" s="50">
        <v>1</v>
      </c>
      <c r="J20" s="27">
        <v>0.81597222222222221</v>
      </c>
      <c r="K20" s="29">
        <v>0.83888888888888891</v>
      </c>
      <c r="L20" s="29">
        <v>0.87013888888888891</v>
      </c>
      <c r="M20" s="20">
        <f t="shared" si="8"/>
        <v>5.4166666666666696E-2</v>
      </c>
      <c r="N20" s="58">
        <v>219</v>
      </c>
      <c r="O20" s="50">
        <v>2</v>
      </c>
      <c r="P20" s="27">
        <v>0.84722222222222221</v>
      </c>
      <c r="Q20" s="29">
        <v>0.86944444444444446</v>
      </c>
      <c r="R20" s="29">
        <v>0.9</v>
      </c>
      <c r="S20" s="20">
        <f t="shared" ref="S20:S22" si="10">R20-P20</f>
        <v>5.2777777777777812E-2</v>
      </c>
      <c r="T20" s="58">
        <v>219</v>
      </c>
      <c r="U20" s="64">
        <v>3</v>
      </c>
      <c r="V20" s="27">
        <v>0.56944444444444442</v>
      </c>
      <c r="W20" s="28">
        <f t="shared" si="2"/>
        <v>2.430555555555558E-2</v>
      </c>
      <c r="X20" s="29">
        <v>1.0208333333333333</v>
      </c>
      <c r="Y20" s="30">
        <f t="shared" si="3"/>
        <v>3.4722222222222099E-2</v>
      </c>
    </row>
    <row r="21" spans="1:26" ht="24" customHeight="1" thickBot="1" x14ac:dyDescent="0.3">
      <c r="B21" s="311"/>
      <c r="C21" s="303"/>
      <c r="D21" s="31">
        <f>IF(F20="",E20,F20)</f>
        <v>0.83125000000000004</v>
      </c>
      <c r="E21" s="32"/>
      <c r="F21" s="31">
        <f>IF(D22="",E22,D22)</f>
        <v>0.88194444444444442</v>
      </c>
      <c r="G21" s="32"/>
      <c r="H21" s="32">
        <f>F21-D21</f>
        <v>5.0694444444444375E-2</v>
      </c>
      <c r="I21" s="32"/>
      <c r="J21" s="31">
        <f>IF(L20="",K20,L20)</f>
        <v>0.87013888888888891</v>
      </c>
      <c r="K21" s="32"/>
      <c r="L21" s="31">
        <f>IF(J22="",K22,J22)</f>
        <v>0.95138888888888884</v>
      </c>
      <c r="M21" s="32"/>
      <c r="N21" s="32">
        <f>L21-J21</f>
        <v>8.1249999999999933E-2</v>
      </c>
      <c r="O21" s="32"/>
      <c r="P21" s="27">
        <v>0.91666666666666663</v>
      </c>
      <c r="Q21" s="29">
        <v>0.93819444444444444</v>
      </c>
      <c r="R21" s="29">
        <v>0.96111111111111114</v>
      </c>
      <c r="S21" s="20">
        <f t="shared" si="10"/>
        <v>4.4444444444444509E-2</v>
      </c>
      <c r="T21" s="58">
        <v>219</v>
      </c>
      <c r="U21" s="64">
        <v>3</v>
      </c>
      <c r="V21" s="43">
        <v>0.59513888888888888</v>
      </c>
      <c r="W21" s="44">
        <f t="shared" si="2"/>
        <v>2.5694444444444464E-2</v>
      </c>
      <c r="X21" s="45">
        <v>1.0555555555555556</v>
      </c>
      <c r="Y21" s="46">
        <f t="shared" si="3"/>
        <v>3.4722222222222321E-2</v>
      </c>
    </row>
    <row r="22" spans="1:26" ht="24" customHeight="1" x14ac:dyDescent="0.25">
      <c r="B22" s="311"/>
      <c r="C22" s="303"/>
      <c r="D22" s="59">
        <v>0.88194444444444442</v>
      </c>
      <c r="E22" s="60">
        <v>0.90277777777777779</v>
      </c>
      <c r="F22" s="60">
        <v>0.92638888888888893</v>
      </c>
      <c r="G22" s="20">
        <f>F22-D22</f>
        <v>4.4444444444444509E-2</v>
      </c>
      <c r="H22" s="61">
        <v>219</v>
      </c>
      <c r="I22" s="62">
        <v>1</v>
      </c>
      <c r="J22" s="59">
        <v>0.95138888888888884</v>
      </c>
      <c r="K22" s="60">
        <v>0.97291666666666665</v>
      </c>
      <c r="L22" s="60">
        <v>0.99583333333333335</v>
      </c>
      <c r="M22" s="20">
        <f t="shared" ref="M22" si="11">L22-J22</f>
        <v>4.4444444444444509E-2</v>
      </c>
      <c r="N22" s="61">
        <v>219</v>
      </c>
      <c r="O22" s="62">
        <v>2</v>
      </c>
      <c r="P22" s="59">
        <v>0.98611111111111116</v>
      </c>
      <c r="Q22" s="60">
        <v>1.0034722222222223</v>
      </c>
      <c r="R22" s="60">
        <v>1.0243055555555556</v>
      </c>
      <c r="S22" s="20">
        <f t="shared" si="10"/>
        <v>3.819444444444442E-2</v>
      </c>
      <c r="T22" s="61">
        <v>219</v>
      </c>
      <c r="U22" s="62">
        <v>3</v>
      </c>
    </row>
    <row r="23" spans="1:26" ht="24" customHeight="1" thickBot="1" x14ac:dyDescent="0.3">
      <c r="B23" s="311"/>
      <c r="C23" s="303"/>
      <c r="D23" s="59"/>
      <c r="E23" s="60"/>
      <c r="F23" s="60"/>
      <c r="G23" s="66"/>
      <c r="H23" s="61"/>
      <c r="I23" s="62"/>
      <c r="J23" s="59">
        <v>1.0208333333333333</v>
      </c>
      <c r="K23" s="60">
        <v>1.0381944444444444</v>
      </c>
      <c r="L23" s="60">
        <v>1.0590277777777777</v>
      </c>
      <c r="M23" s="20">
        <f>L23-J23</f>
        <v>3.819444444444442E-2</v>
      </c>
      <c r="N23" s="61">
        <v>219</v>
      </c>
      <c r="O23" s="62">
        <v>2</v>
      </c>
      <c r="P23" s="59">
        <v>1.0555555555555556</v>
      </c>
      <c r="Q23" s="60">
        <v>1.0729166666666667</v>
      </c>
      <c r="R23" s="60">
        <v>1.09375</v>
      </c>
      <c r="S23" s="20">
        <f>R23-P23</f>
        <v>3.819444444444442E-2</v>
      </c>
      <c r="T23" s="61">
        <v>219</v>
      </c>
      <c r="U23" s="62">
        <v>3</v>
      </c>
    </row>
    <row r="24" spans="1:26" s="35" customFormat="1" ht="24" customHeight="1" thickBot="1" x14ac:dyDescent="0.3">
      <c r="A24" s="34"/>
      <c r="B24" s="311"/>
      <c r="C24" s="304"/>
      <c r="D24" s="341" t="s">
        <v>121</v>
      </c>
      <c r="E24" s="372"/>
      <c r="F24" s="372"/>
      <c r="G24" s="372"/>
      <c r="H24" s="372"/>
      <c r="I24" s="373"/>
      <c r="J24" s="341" t="s">
        <v>121</v>
      </c>
      <c r="K24" s="372"/>
      <c r="L24" s="372"/>
      <c r="M24" s="372"/>
      <c r="N24" s="372"/>
      <c r="O24" s="373"/>
      <c r="P24" s="341" t="s">
        <v>121</v>
      </c>
      <c r="Q24" s="372"/>
      <c r="R24" s="372"/>
      <c r="S24" s="372"/>
      <c r="T24" s="372"/>
      <c r="U24" s="373"/>
      <c r="V24" s="1"/>
      <c r="W24" s="1"/>
      <c r="X24" s="1"/>
      <c r="Y24" s="1"/>
      <c r="Z24" s="1"/>
    </row>
    <row r="25" spans="1:26" ht="24" customHeight="1" thickBot="1" x14ac:dyDescent="0.3">
      <c r="B25" s="312"/>
      <c r="C25" s="36" t="s">
        <v>17</v>
      </c>
      <c r="D25" s="37">
        <f>MAX(E17:F23)-IF(D17="",E17,D17)-MIN(H17:H23)+$C14</f>
        <v>0.28750000000000009</v>
      </c>
      <c r="E25" s="51"/>
      <c r="F25" s="51"/>
      <c r="G25" s="52"/>
      <c r="H25" s="53">
        <f ca="1">OFFSET(H16,MATCH(MIN(H17:H23),H17:H23,0),-4)-IF(D17="",E17,D17)</f>
        <v>0.23611111111111116</v>
      </c>
      <c r="I25" s="54"/>
      <c r="J25" s="37">
        <f>MAX(K17:L23)-IF(J17="",K17,J17)-MIN(N17:N23)+$C14</f>
        <v>0.36319444444444438</v>
      </c>
      <c r="K25" s="38"/>
      <c r="L25" s="38"/>
      <c r="M25" s="39"/>
      <c r="N25" s="53">
        <f ca="1">OFFSET(N16,MATCH(MIN(N17:N23),N17:N23,0),-4)-IF(J17="",K17,J17)</f>
        <v>0.24861111111111112</v>
      </c>
      <c r="O25" s="41"/>
      <c r="P25" s="37">
        <f>MAX(Q17:R23)-IF(P17="",Q17,P17)-MIN(T17:T23)+$C14</f>
        <v>0.36527777777777781</v>
      </c>
      <c r="Q25" s="38"/>
      <c r="R25" s="38"/>
      <c r="S25" s="39"/>
      <c r="T25" s="53">
        <f ca="1">OFFSET(T16,MATCH(MIN(T17:T23),T17:T23,0),-4)-IF(P17="",Q17,P17)</f>
        <v>0.1118055555555556</v>
      </c>
      <c r="U25" s="41"/>
    </row>
    <row r="28" spans="1:26" ht="24" customHeight="1" x14ac:dyDescent="0.25">
      <c r="D28"/>
      <c r="E28"/>
      <c r="F28"/>
      <c r="G28"/>
      <c r="H28"/>
      <c r="I28"/>
      <c r="J28"/>
    </row>
    <row r="29" spans="1:26" ht="24" customHeight="1" thickBo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6" ht="24" customHeight="1" thickBot="1" x14ac:dyDescent="0.3">
      <c r="B30" s="310" t="s">
        <v>36</v>
      </c>
      <c r="C30" s="2" t="s">
        <v>135</v>
      </c>
      <c r="D30" s="3"/>
      <c r="E30" s="3"/>
      <c r="F30" s="3"/>
      <c r="G30" s="3"/>
      <c r="H30" s="4"/>
      <c r="I30" s="5"/>
      <c r="J30" s="3"/>
      <c r="K30" s="3"/>
      <c r="L30" s="3"/>
      <c r="M30" s="3"/>
      <c r="N30" s="4"/>
      <c r="O30" s="5"/>
      <c r="P30" s="3"/>
      <c r="Q30" s="3"/>
      <c r="R30" s="3"/>
      <c r="S30" s="3"/>
      <c r="T30" s="4"/>
      <c r="U30" s="5"/>
      <c r="V30" s="6" t="s">
        <v>133</v>
      </c>
      <c r="W30" s="7"/>
      <c r="X30" s="7"/>
      <c r="Y30" s="8"/>
    </row>
    <row r="31" spans="1:26" ht="24" customHeight="1" thickBot="1" x14ac:dyDescent="0.3">
      <c r="B31" s="316"/>
      <c r="C31" s="349">
        <v>6.9444444444444441E-3</v>
      </c>
      <c r="D31" s="9" t="s">
        <v>2</v>
      </c>
      <c r="E31" s="7"/>
      <c r="F31" s="7"/>
      <c r="G31" s="7"/>
      <c r="H31" s="7"/>
      <c r="I31" s="8"/>
      <c r="J31" s="9"/>
      <c r="K31" s="7"/>
      <c r="L31" s="7"/>
      <c r="M31" s="7"/>
      <c r="N31" s="7"/>
      <c r="O31" s="8"/>
      <c r="P31" s="9"/>
      <c r="Q31" s="7"/>
      <c r="R31" s="7"/>
      <c r="S31" s="7"/>
      <c r="T31" s="7"/>
      <c r="U31" s="8"/>
      <c r="V31" s="10" t="s">
        <v>23</v>
      </c>
      <c r="W31" s="11"/>
      <c r="X31" s="11"/>
      <c r="Y31" s="12"/>
    </row>
    <row r="32" spans="1:26" ht="24" customHeight="1" thickBot="1" x14ac:dyDescent="0.3">
      <c r="B32" s="316"/>
      <c r="C32" s="371"/>
      <c r="D32" s="9" t="s">
        <v>4</v>
      </c>
      <c r="E32" s="7"/>
      <c r="F32" s="7"/>
      <c r="G32" s="7"/>
      <c r="H32" s="7"/>
      <c r="I32" s="8"/>
      <c r="J32" s="9" t="s">
        <v>5</v>
      </c>
      <c r="K32" s="7"/>
      <c r="L32" s="7"/>
      <c r="M32" s="7"/>
      <c r="N32" s="7"/>
      <c r="O32" s="8"/>
      <c r="P32" s="9" t="s">
        <v>6</v>
      </c>
      <c r="Q32" s="7"/>
      <c r="R32" s="7"/>
      <c r="S32" s="7"/>
      <c r="T32" s="7"/>
      <c r="U32" s="8"/>
      <c r="V32" s="6" t="str">
        <f>CONCATENATE(COUNT(V34:V49,X34:X49)," VIAGENS")</f>
        <v>32 VIAGENS</v>
      </c>
      <c r="W32" s="7"/>
      <c r="X32" s="7"/>
      <c r="Y32" s="8"/>
    </row>
    <row r="33" spans="2:25" ht="24" customHeight="1" thickBot="1" x14ac:dyDescent="0.3">
      <c r="B33" s="316"/>
      <c r="C33" s="313" t="s">
        <v>7</v>
      </c>
      <c r="D33" s="13" t="s">
        <v>8</v>
      </c>
      <c r="E33" s="14" t="s">
        <v>9</v>
      </c>
      <c r="F33" s="15" t="s">
        <v>10</v>
      </c>
      <c r="G33" s="14" t="s">
        <v>11</v>
      </c>
      <c r="H33" s="15" t="s">
        <v>12</v>
      </c>
      <c r="I33" s="14" t="s">
        <v>13</v>
      </c>
      <c r="J33" s="13" t="s">
        <v>8</v>
      </c>
      <c r="K33" s="14" t="s">
        <v>9</v>
      </c>
      <c r="L33" s="15" t="s">
        <v>10</v>
      </c>
      <c r="M33" s="14" t="s">
        <v>11</v>
      </c>
      <c r="N33" s="15" t="s">
        <v>12</v>
      </c>
      <c r="O33" s="14" t="s">
        <v>13</v>
      </c>
      <c r="P33" s="13" t="s">
        <v>8</v>
      </c>
      <c r="Q33" s="14" t="s">
        <v>9</v>
      </c>
      <c r="R33" s="15" t="s">
        <v>10</v>
      </c>
      <c r="S33" s="14" t="s">
        <v>11</v>
      </c>
      <c r="T33" s="15" t="s">
        <v>12</v>
      </c>
      <c r="U33" s="14" t="s">
        <v>13</v>
      </c>
      <c r="V33" s="16" t="s">
        <v>14</v>
      </c>
      <c r="W33" s="17" t="s">
        <v>15</v>
      </c>
      <c r="X33" s="16" t="s">
        <v>14</v>
      </c>
      <c r="Y33" s="17" t="s">
        <v>15</v>
      </c>
    </row>
    <row r="34" spans="2:25" ht="24" customHeight="1" x14ac:dyDescent="0.25">
      <c r="B34" s="316"/>
      <c r="C34" s="314"/>
      <c r="D34" s="18">
        <v>0.20833333333333329</v>
      </c>
      <c r="E34" s="19">
        <v>0.23125000000000001</v>
      </c>
      <c r="F34" s="19">
        <v>0.26527777777777778</v>
      </c>
      <c r="G34" s="20">
        <f>F34-D34</f>
        <v>5.6944444444444492E-2</v>
      </c>
      <c r="H34" s="55">
        <v>219</v>
      </c>
      <c r="I34" s="22">
        <v>1</v>
      </c>
      <c r="J34" s="18">
        <v>0.22916666666666671</v>
      </c>
      <c r="K34" s="19">
        <v>0.25416666666666671</v>
      </c>
      <c r="L34" s="19">
        <v>0.27777777777777779</v>
      </c>
      <c r="M34" s="20">
        <f t="shared" ref="M34:M36" si="12">L34-J34</f>
        <v>4.8611111111111077E-2</v>
      </c>
      <c r="N34" s="55">
        <v>219</v>
      </c>
      <c r="O34" s="22">
        <v>2</v>
      </c>
      <c r="P34" s="18">
        <v>0.25</v>
      </c>
      <c r="Q34" s="19">
        <v>0.27847222222222218</v>
      </c>
      <c r="R34" s="19">
        <v>0.30833333333333329</v>
      </c>
      <c r="S34" s="20">
        <f t="shared" ref="S34:S35" si="13">R34-P34</f>
        <v>5.8333333333333293E-2</v>
      </c>
      <c r="T34" s="55">
        <v>219</v>
      </c>
      <c r="U34" s="22">
        <v>3</v>
      </c>
      <c r="V34" s="23">
        <v>0.20833333333333329</v>
      </c>
      <c r="W34" s="24"/>
      <c r="X34" s="25">
        <v>0.62152777777777779</v>
      </c>
      <c r="Y34" s="26">
        <f>X34-V49</f>
        <v>2.6388888888888906E-2</v>
      </c>
    </row>
    <row r="35" spans="2:25" ht="24" customHeight="1" thickBot="1" x14ac:dyDescent="0.3">
      <c r="B35" s="316"/>
      <c r="C35" s="314"/>
      <c r="D35" s="18">
        <v>0.27083333333333331</v>
      </c>
      <c r="E35" s="19">
        <v>0.3</v>
      </c>
      <c r="F35" s="19">
        <v>0.32013888888888892</v>
      </c>
      <c r="G35" s="20">
        <f>F35-D35</f>
        <v>4.9305555555555602E-2</v>
      </c>
      <c r="H35" s="55">
        <v>219</v>
      </c>
      <c r="I35" s="22">
        <v>1</v>
      </c>
      <c r="J35" s="18">
        <v>0.29166666666666669</v>
      </c>
      <c r="K35" s="19">
        <v>0.31805555555555548</v>
      </c>
      <c r="L35" s="19">
        <v>0.34236111111111112</v>
      </c>
      <c r="M35" s="20">
        <f t="shared" si="12"/>
        <v>5.0694444444444431E-2</v>
      </c>
      <c r="N35" s="55">
        <v>219</v>
      </c>
      <c r="O35" s="22">
        <v>2</v>
      </c>
      <c r="P35" s="18">
        <v>0.31597222222222221</v>
      </c>
      <c r="Q35" s="19">
        <v>0.33888888888888891</v>
      </c>
      <c r="R35" s="19">
        <v>0.36805555555555558</v>
      </c>
      <c r="S35" s="20">
        <f t="shared" si="13"/>
        <v>5.208333333333337E-2</v>
      </c>
      <c r="T35" s="55">
        <v>219</v>
      </c>
      <c r="U35" s="22">
        <v>3</v>
      </c>
      <c r="V35" s="27">
        <v>0.22916666666666671</v>
      </c>
      <c r="W35" s="28">
        <f t="shared" ref="W35:W49" si="14">V35-V34</f>
        <v>2.0833333333333426E-2</v>
      </c>
      <c r="X35" s="29">
        <v>0.65</v>
      </c>
      <c r="Y35" s="30">
        <f t="shared" ref="Y35:Y49" si="15">X35-X34</f>
        <v>2.8472222222222232E-2</v>
      </c>
    </row>
    <row r="36" spans="2:25" ht="24" customHeight="1" thickBot="1" x14ac:dyDescent="0.3">
      <c r="B36" s="316"/>
      <c r="C36" s="314"/>
      <c r="D36" s="31">
        <f>IF(F35="",E35,F35)</f>
        <v>0.32013888888888892</v>
      </c>
      <c r="E36" s="32"/>
      <c r="F36" s="31">
        <f>IF(D37="",E37,D37)</f>
        <v>0.38194444444444442</v>
      </c>
      <c r="G36" s="32"/>
      <c r="H36" s="32">
        <f>F36-D36</f>
        <v>6.1805555555555503E-2</v>
      </c>
      <c r="I36" s="32"/>
      <c r="J36" s="18">
        <v>0.35069444444444442</v>
      </c>
      <c r="K36" s="19">
        <v>0.375</v>
      </c>
      <c r="L36" s="19">
        <v>0.41111111111111109</v>
      </c>
      <c r="M36" s="20">
        <f t="shared" si="12"/>
        <v>6.0416666666666674E-2</v>
      </c>
      <c r="N36" s="55">
        <v>219</v>
      </c>
      <c r="O36" s="22">
        <v>2</v>
      </c>
      <c r="P36" s="31">
        <f>IF(R35="",Q35,R35)</f>
        <v>0.36805555555555558</v>
      </c>
      <c r="Q36" s="32"/>
      <c r="R36" s="31">
        <f>IF(P37="",Q37,P37)</f>
        <v>0.41319444444444442</v>
      </c>
      <c r="S36" s="32"/>
      <c r="T36" s="32">
        <f>R36-P36</f>
        <v>4.513888888888884E-2</v>
      </c>
      <c r="U36" s="32"/>
      <c r="V36" s="27">
        <v>0.25</v>
      </c>
      <c r="W36" s="28">
        <f t="shared" si="14"/>
        <v>2.0833333333333287E-2</v>
      </c>
      <c r="X36" s="29">
        <v>0.66666666666666663</v>
      </c>
      <c r="Y36" s="30">
        <f t="shared" si="15"/>
        <v>1.6666666666666607E-2</v>
      </c>
    </row>
    <row r="37" spans="2:25" ht="24" customHeight="1" thickBot="1" x14ac:dyDescent="0.3">
      <c r="B37" s="316"/>
      <c r="C37" s="314"/>
      <c r="D37" s="18">
        <v>0.38194444444444442</v>
      </c>
      <c r="E37" s="19">
        <v>0.40763888888888888</v>
      </c>
      <c r="F37" s="19">
        <v>0.44166666666666671</v>
      </c>
      <c r="G37" s="20">
        <f t="shared" ref="G37:G39" si="16">F37-D37</f>
        <v>5.9722222222222288E-2</v>
      </c>
      <c r="H37" s="55">
        <v>219</v>
      </c>
      <c r="I37" s="22">
        <v>1</v>
      </c>
      <c r="J37" s="31">
        <f>IF(L36="",K36,L36)</f>
        <v>0.41111111111111109</v>
      </c>
      <c r="K37" s="32"/>
      <c r="L37" s="31">
        <f>IF(J38="",K38,J38)</f>
        <v>0.47916666666666669</v>
      </c>
      <c r="M37" s="32"/>
      <c r="N37" s="32">
        <f>L37-J37</f>
        <v>6.8055555555555591E-2</v>
      </c>
      <c r="O37" s="32"/>
      <c r="P37" s="18">
        <v>0.41319444444444442</v>
      </c>
      <c r="Q37" s="19">
        <v>0.4375</v>
      </c>
      <c r="R37" s="19">
        <v>0.47152777777777782</v>
      </c>
      <c r="S37" s="20">
        <f t="shared" ref="S37:S39" si="17">R37-P37</f>
        <v>5.8333333333333404E-2</v>
      </c>
      <c r="T37" s="55">
        <v>219</v>
      </c>
      <c r="U37" s="22">
        <v>3</v>
      </c>
      <c r="V37" s="27">
        <v>0.27083333333333331</v>
      </c>
      <c r="W37" s="28">
        <f t="shared" si="14"/>
        <v>2.0833333333333315E-2</v>
      </c>
      <c r="X37" s="29">
        <v>0.68333333333333335</v>
      </c>
      <c r="Y37" s="30">
        <f t="shared" si="15"/>
        <v>1.6666666666666718E-2</v>
      </c>
    </row>
    <row r="38" spans="2:25" ht="24" customHeight="1" x14ac:dyDescent="0.25">
      <c r="B38" s="316"/>
      <c r="C38" s="314"/>
      <c r="D38" s="18">
        <v>0.44791666666666669</v>
      </c>
      <c r="E38" s="19">
        <v>0.47152777777777782</v>
      </c>
      <c r="F38" s="19">
        <v>0.50694444444444442</v>
      </c>
      <c r="G38" s="20">
        <f t="shared" si="16"/>
        <v>5.9027777777777735E-2</v>
      </c>
      <c r="H38" s="55">
        <v>219</v>
      </c>
      <c r="I38" s="22">
        <v>1</v>
      </c>
      <c r="J38" s="18">
        <v>0.47916666666666669</v>
      </c>
      <c r="K38" s="19">
        <v>0.50624999999999998</v>
      </c>
      <c r="L38" s="19">
        <v>0.53402777777777777</v>
      </c>
      <c r="M38" s="20">
        <f t="shared" ref="M38:M39" si="18">L38-J38</f>
        <v>5.4861111111111083E-2</v>
      </c>
      <c r="N38" s="55">
        <v>219</v>
      </c>
      <c r="O38" s="22">
        <v>2</v>
      </c>
      <c r="P38" s="18">
        <v>0.5</v>
      </c>
      <c r="Q38" s="19">
        <v>0.5229166666666667</v>
      </c>
      <c r="R38" s="19">
        <v>0.55138888888888893</v>
      </c>
      <c r="S38" s="20">
        <f t="shared" si="17"/>
        <v>5.1388888888888928E-2</v>
      </c>
      <c r="T38" s="55">
        <v>219</v>
      </c>
      <c r="U38" s="22">
        <v>3</v>
      </c>
      <c r="V38" s="27">
        <v>0.29166666666666669</v>
      </c>
      <c r="W38" s="28">
        <f t="shared" si="14"/>
        <v>2.083333333333337E-2</v>
      </c>
      <c r="X38" s="29">
        <v>0.70833333333333337</v>
      </c>
      <c r="Y38" s="30">
        <f t="shared" si="15"/>
        <v>2.5000000000000022E-2</v>
      </c>
    </row>
    <row r="39" spans="2:25" ht="24" customHeight="1" thickBot="1" x14ac:dyDescent="0.3">
      <c r="B39" s="316"/>
      <c r="C39" s="314"/>
      <c r="D39" s="18">
        <v>0.52083333333333337</v>
      </c>
      <c r="E39" s="19">
        <v>0.54236111111111107</v>
      </c>
      <c r="F39" s="19">
        <v>0.56874999999999998</v>
      </c>
      <c r="G39" s="20">
        <f t="shared" si="16"/>
        <v>4.7916666666666607E-2</v>
      </c>
      <c r="H39" s="55">
        <v>219</v>
      </c>
      <c r="I39" s="22">
        <v>1</v>
      </c>
      <c r="J39" s="18">
        <v>0.54513888888888884</v>
      </c>
      <c r="K39" s="19">
        <v>0.56874999999999998</v>
      </c>
      <c r="L39" s="19">
        <v>0.60138888888888886</v>
      </c>
      <c r="M39" s="20">
        <f t="shared" si="18"/>
        <v>5.6250000000000022E-2</v>
      </c>
      <c r="N39" s="55">
        <v>219</v>
      </c>
      <c r="O39" s="22">
        <v>2</v>
      </c>
      <c r="P39" s="18">
        <v>0.56944444444444442</v>
      </c>
      <c r="Q39" s="19">
        <v>0.59375</v>
      </c>
      <c r="R39" s="19">
        <v>0.62083333333333335</v>
      </c>
      <c r="S39" s="20">
        <f t="shared" si="17"/>
        <v>5.1388888888888928E-2</v>
      </c>
      <c r="T39" s="55">
        <v>219</v>
      </c>
      <c r="U39" s="22">
        <v>3</v>
      </c>
      <c r="V39" s="27">
        <v>0.31597222222222221</v>
      </c>
      <c r="W39" s="28">
        <f t="shared" si="14"/>
        <v>2.4305555555555525E-2</v>
      </c>
      <c r="X39" s="29">
        <v>0.72916666666666663</v>
      </c>
      <c r="Y39" s="30">
        <f t="shared" si="15"/>
        <v>2.0833333333333259E-2</v>
      </c>
    </row>
    <row r="40" spans="2:25" ht="24" customHeight="1" thickBot="1" x14ac:dyDescent="0.3">
      <c r="B40" s="316"/>
      <c r="C40" s="315"/>
      <c r="D40" s="341" t="s">
        <v>121</v>
      </c>
      <c r="E40" s="372"/>
      <c r="F40" s="372"/>
      <c r="G40" s="372"/>
      <c r="H40" s="372"/>
      <c r="I40" s="373"/>
      <c r="J40" s="341" t="s">
        <v>121</v>
      </c>
      <c r="K40" s="372"/>
      <c r="L40" s="372"/>
      <c r="M40" s="372"/>
      <c r="N40" s="372"/>
      <c r="O40" s="373"/>
      <c r="P40" s="341" t="s">
        <v>121</v>
      </c>
      <c r="Q40" s="372"/>
      <c r="R40" s="372"/>
      <c r="S40" s="372"/>
      <c r="T40" s="372"/>
      <c r="U40" s="373"/>
      <c r="V40" s="27">
        <v>0.35069444444444442</v>
      </c>
      <c r="W40" s="28">
        <f t="shared" si="14"/>
        <v>3.472222222222221E-2</v>
      </c>
      <c r="X40" s="29">
        <v>0.75</v>
      </c>
      <c r="Y40" s="30">
        <f t="shared" si="15"/>
        <v>2.083333333333337E-2</v>
      </c>
    </row>
    <row r="41" spans="2:25" ht="24" customHeight="1" thickBot="1" x14ac:dyDescent="0.3">
      <c r="B41" s="316"/>
      <c r="C41" s="36" t="s">
        <v>17</v>
      </c>
      <c r="D41" s="37">
        <f>MAX(E34:F39)-IF(D34="",E34,D34)-MIN(H34:H39)+$C31</f>
        <v>0.30555555555555564</v>
      </c>
      <c r="E41" s="38"/>
      <c r="F41" s="38"/>
      <c r="G41" s="39"/>
      <c r="H41" s="40">
        <f ca="1">OFFSET(H33,MATCH(MIN(H34:H39),H34:H39,0),-4)-IF(D34="",E34,D34)+$C31</f>
        <v>0.11875000000000008</v>
      </c>
      <c r="I41" s="41"/>
      <c r="J41" s="37">
        <f>MAX(K34:L39)-IF(J34="",K34,J34)-MIN(N34:N39)+$C31</f>
        <v>0.31111111111111095</v>
      </c>
      <c r="K41" s="38"/>
      <c r="L41" s="38"/>
      <c r="M41" s="39"/>
      <c r="N41" s="40">
        <f ca="1">OFFSET(N33,MATCH(MIN(N34:N39),N34:N39,0),-4)-IF(J34="",K34,J34)+$C31</f>
        <v>0.18888888888888883</v>
      </c>
      <c r="O41" s="41"/>
      <c r="P41" s="37">
        <f>MAX(Q34:R39)-IF(P34="",Q34,P34)-MIN(T34:T39)+$C31</f>
        <v>0.33263888888888893</v>
      </c>
      <c r="Q41" s="38"/>
      <c r="R41" s="38"/>
      <c r="S41" s="39"/>
      <c r="T41" s="40">
        <f ca="1">OFFSET(T33,MATCH(MIN(T34:T39),T34:T39,0),-4)-IF(P34="",Q34,P34)+$C31</f>
        <v>0.12500000000000003</v>
      </c>
      <c r="U41" s="42"/>
      <c r="V41" s="27">
        <v>0.38194444444444442</v>
      </c>
      <c r="W41" s="28">
        <f t="shared" si="14"/>
        <v>3.125E-2</v>
      </c>
      <c r="X41" s="29">
        <v>0.78125</v>
      </c>
      <c r="Y41" s="30">
        <f t="shared" si="15"/>
        <v>3.125E-2</v>
      </c>
    </row>
    <row r="42" spans="2:25" ht="24" customHeight="1" thickBot="1" x14ac:dyDescent="0.3">
      <c r="B42" s="316"/>
      <c r="C42" s="349">
        <v>6.9444444444444441E-3</v>
      </c>
      <c r="D42" s="9" t="s">
        <v>18</v>
      </c>
      <c r="E42" s="7"/>
      <c r="F42" s="7"/>
      <c r="G42" s="7"/>
      <c r="H42" s="7"/>
      <c r="I42" s="8"/>
      <c r="J42" s="9"/>
      <c r="K42" s="7"/>
      <c r="L42" s="7"/>
      <c r="M42" s="7"/>
      <c r="N42" s="7"/>
      <c r="O42" s="8"/>
      <c r="P42" s="9"/>
      <c r="Q42" s="7"/>
      <c r="R42" s="7"/>
      <c r="S42" s="7"/>
      <c r="T42" s="7"/>
      <c r="U42" s="7"/>
      <c r="V42" s="27">
        <v>0.41319444444444442</v>
      </c>
      <c r="W42" s="28">
        <f t="shared" si="14"/>
        <v>3.125E-2</v>
      </c>
      <c r="X42" s="29">
        <v>0.81597222222222221</v>
      </c>
      <c r="Y42" s="30">
        <f t="shared" si="15"/>
        <v>3.472222222222221E-2</v>
      </c>
    </row>
    <row r="43" spans="2:25" ht="24" customHeight="1" thickBot="1" x14ac:dyDescent="0.3">
      <c r="B43" s="316"/>
      <c r="C43" s="371"/>
      <c r="D43" s="9" t="s">
        <v>19</v>
      </c>
      <c r="E43" s="7"/>
      <c r="F43" s="7"/>
      <c r="G43" s="7"/>
      <c r="H43" s="7"/>
      <c r="I43" s="8"/>
      <c r="J43" s="9" t="s">
        <v>20</v>
      </c>
      <c r="K43" s="7"/>
      <c r="L43" s="7"/>
      <c r="M43" s="7"/>
      <c r="N43" s="7"/>
      <c r="O43" s="8"/>
      <c r="P43" s="9" t="s">
        <v>21</v>
      </c>
      <c r="Q43" s="7"/>
      <c r="R43" s="7"/>
      <c r="S43" s="7"/>
      <c r="T43" s="7"/>
      <c r="U43" s="7"/>
      <c r="V43" s="27">
        <v>0.44791666666666669</v>
      </c>
      <c r="W43" s="28">
        <f t="shared" si="14"/>
        <v>3.4722222222222265E-2</v>
      </c>
      <c r="X43" s="29">
        <v>0.84722222222222221</v>
      </c>
      <c r="Y43" s="30">
        <f t="shared" si="15"/>
        <v>3.125E-2</v>
      </c>
    </row>
    <row r="44" spans="2:25" ht="24" customHeight="1" thickBot="1" x14ac:dyDescent="0.3">
      <c r="B44" s="316"/>
      <c r="C44" s="302" t="s">
        <v>7</v>
      </c>
      <c r="D44" s="13" t="s">
        <v>8</v>
      </c>
      <c r="E44" s="14" t="s">
        <v>9</v>
      </c>
      <c r="F44" s="15" t="s">
        <v>10</v>
      </c>
      <c r="G44" s="14" t="s">
        <v>11</v>
      </c>
      <c r="H44" s="15" t="s">
        <v>12</v>
      </c>
      <c r="I44" s="14" t="s">
        <v>13</v>
      </c>
      <c r="J44" s="15" t="s">
        <v>8</v>
      </c>
      <c r="K44" s="14" t="s">
        <v>9</v>
      </c>
      <c r="L44" s="15" t="s">
        <v>10</v>
      </c>
      <c r="M44" s="14" t="s">
        <v>11</v>
      </c>
      <c r="N44" s="15" t="s">
        <v>12</v>
      </c>
      <c r="O44" s="14" t="s">
        <v>13</v>
      </c>
      <c r="P44" s="13" t="s">
        <v>8</v>
      </c>
      <c r="Q44" s="14" t="s">
        <v>9</v>
      </c>
      <c r="R44" s="15" t="s">
        <v>10</v>
      </c>
      <c r="S44" s="14" t="s">
        <v>11</v>
      </c>
      <c r="T44" s="15" t="s">
        <v>12</v>
      </c>
      <c r="U44" s="13" t="s">
        <v>13</v>
      </c>
      <c r="V44" s="27">
        <v>0.47916666666666669</v>
      </c>
      <c r="W44" s="28">
        <f t="shared" si="14"/>
        <v>3.125E-2</v>
      </c>
      <c r="X44" s="29">
        <v>0.88194444444444442</v>
      </c>
      <c r="Y44" s="30">
        <f t="shared" si="15"/>
        <v>3.472222222222221E-2</v>
      </c>
    </row>
    <row r="45" spans="2:25" ht="24" customHeight="1" x14ac:dyDescent="0.25">
      <c r="B45" s="316"/>
      <c r="C45" s="303"/>
      <c r="D45" s="23">
        <v>0.59513888888888888</v>
      </c>
      <c r="E45" s="25">
        <v>0.61736111111111114</v>
      </c>
      <c r="F45" s="25">
        <v>0.6430555555555556</v>
      </c>
      <c r="G45" s="20">
        <f t="shared" ref="G45:G48" si="19">F45-D45</f>
        <v>4.7916666666666718E-2</v>
      </c>
      <c r="H45" s="56">
        <v>219</v>
      </c>
      <c r="I45" s="48">
        <v>1</v>
      </c>
      <c r="J45" s="23">
        <v>0.62152777777777779</v>
      </c>
      <c r="K45" s="25">
        <v>0.64513888888888893</v>
      </c>
      <c r="L45" s="25">
        <v>0.67361111111111116</v>
      </c>
      <c r="M45" s="20">
        <f t="shared" ref="M45:M48" si="20">L45-J45</f>
        <v>5.208333333333337E-2</v>
      </c>
      <c r="N45" s="56">
        <v>219</v>
      </c>
      <c r="O45" s="48">
        <v>2</v>
      </c>
      <c r="P45" s="23">
        <v>0.66666666666666663</v>
      </c>
      <c r="Q45" s="25">
        <v>0.68680555555555556</v>
      </c>
      <c r="R45" s="25">
        <v>0.71458333333333335</v>
      </c>
      <c r="S45" s="20">
        <f t="shared" ref="S45:S46" si="21">R45-P45</f>
        <v>4.7916666666666718E-2</v>
      </c>
      <c r="T45" s="56">
        <v>219</v>
      </c>
      <c r="U45" s="57">
        <v>3</v>
      </c>
      <c r="V45" s="27">
        <v>0.5</v>
      </c>
      <c r="W45" s="28">
        <f t="shared" si="14"/>
        <v>2.0833333333333315E-2</v>
      </c>
      <c r="X45" s="29">
        <v>0.91666666666666663</v>
      </c>
      <c r="Y45" s="30">
        <f t="shared" si="15"/>
        <v>3.472222222222221E-2</v>
      </c>
    </row>
    <row r="46" spans="2:25" ht="24" customHeight="1" thickBot="1" x14ac:dyDescent="0.3">
      <c r="B46" s="316"/>
      <c r="C46" s="303"/>
      <c r="D46" s="27">
        <v>0.65</v>
      </c>
      <c r="E46" s="29">
        <v>0.67291666666666672</v>
      </c>
      <c r="F46" s="29">
        <v>0.7006944444444444</v>
      </c>
      <c r="G46" s="20">
        <f t="shared" si="19"/>
        <v>5.0694444444444375E-2</v>
      </c>
      <c r="H46" s="58">
        <v>219</v>
      </c>
      <c r="I46" s="50">
        <v>1</v>
      </c>
      <c r="J46" s="27">
        <v>0.68333333333333335</v>
      </c>
      <c r="K46" s="29">
        <v>0.70347222222222228</v>
      </c>
      <c r="L46" s="29">
        <v>0.73402777777777772</v>
      </c>
      <c r="M46" s="20">
        <f t="shared" si="20"/>
        <v>5.0694444444444375E-2</v>
      </c>
      <c r="N46" s="58">
        <v>219</v>
      </c>
      <c r="O46" s="50">
        <v>2</v>
      </c>
      <c r="P46" s="27">
        <v>0.72916666666666663</v>
      </c>
      <c r="Q46" s="29">
        <v>0.75</v>
      </c>
      <c r="R46" s="29">
        <v>0.77847222222222223</v>
      </c>
      <c r="S46" s="20">
        <f t="shared" si="21"/>
        <v>4.9305555555555602E-2</v>
      </c>
      <c r="T46" s="58">
        <v>219</v>
      </c>
      <c r="U46" s="64">
        <v>3</v>
      </c>
      <c r="V46" s="27">
        <v>0.52083333333333337</v>
      </c>
      <c r="W46" s="28">
        <f t="shared" si="14"/>
        <v>2.083333333333337E-2</v>
      </c>
      <c r="X46" s="29">
        <v>0.95138888888888884</v>
      </c>
      <c r="Y46" s="30">
        <f t="shared" si="15"/>
        <v>3.472222222222221E-2</v>
      </c>
    </row>
    <row r="47" spans="2:25" ht="24" customHeight="1" thickBot="1" x14ac:dyDescent="0.3">
      <c r="B47" s="316"/>
      <c r="C47" s="303"/>
      <c r="D47" s="27">
        <v>0.70833333333333337</v>
      </c>
      <c r="E47" s="29">
        <v>0.73124999999999996</v>
      </c>
      <c r="F47" s="29">
        <v>0.76041666666666663</v>
      </c>
      <c r="G47" s="20">
        <f t="shared" si="19"/>
        <v>5.2083333333333259E-2</v>
      </c>
      <c r="H47" s="58">
        <v>219</v>
      </c>
      <c r="I47" s="50">
        <v>1</v>
      </c>
      <c r="J47" s="27">
        <v>0.75</v>
      </c>
      <c r="K47" s="29">
        <v>0.77569444444444446</v>
      </c>
      <c r="L47" s="29">
        <v>0.80763888888888891</v>
      </c>
      <c r="M47" s="20">
        <f t="shared" si="20"/>
        <v>5.7638888888888906E-2</v>
      </c>
      <c r="N47" s="58">
        <v>219</v>
      </c>
      <c r="O47" s="50">
        <v>2</v>
      </c>
      <c r="P47" s="31">
        <f>IF(R46="",Q46,R46)</f>
        <v>0.77847222222222223</v>
      </c>
      <c r="Q47" s="32"/>
      <c r="R47" s="31">
        <f>IF(P48="",Q48,P48)</f>
        <v>0.84722222222222221</v>
      </c>
      <c r="S47" s="32"/>
      <c r="T47" s="32">
        <f>R47-P47</f>
        <v>6.8749999999999978E-2</v>
      </c>
      <c r="U47" s="32"/>
      <c r="V47" s="27">
        <v>0.54513888888888884</v>
      </c>
      <c r="W47" s="28">
        <f t="shared" si="14"/>
        <v>2.4305555555555469E-2</v>
      </c>
      <c r="X47" s="29">
        <v>0.98611111111111116</v>
      </c>
      <c r="Y47" s="30">
        <f t="shared" si="15"/>
        <v>3.4722222222222321E-2</v>
      </c>
    </row>
    <row r="48" spans="2:25" ht="24" customHeight="1" thickBot="1" x14ac:dyDescent="0.3">
      <c r="B48" s="316"/>
      <c r="C48" s="303"/>
      <c r="D48" s="27">
        <v>0.78125</v>
      </c>
      <c r="E48" s="29">
        <v>0.80347222222222225</v>
      </c>
      <c r="F48" s="29">
        <v>0.83125000000000004</v>
      </c>
      <c r="G48" s="20">
        <f t="shared" si="19"/>
        <v>5.0000000000000044E-2</v>
      </c>
      <c r="H48" s="58">
        <v>219</v>
      </c>
      <c r="I48" s="50">
        <v>1</v>
      </c>
      <c r="J48" s="27">
        <v>0.81597222222222221</v>
      </c>
      <c r="K48" s="29">
        <v>0.83888888888888891</v>
      </c>
      <c r="L48" s="29">
        <v>0.87013888888888891</v>
      </c>
      <c r="M48" s="20">
        <f t="shared" si="20"/>
        <v>5.4166666666666696E-2</v>
      </c>
      <c r="N48" s="58">
        <v>219</v>
      </c>
      <c r="O48" s="50">
        <v>2</v>
      </c>
      <c r="P48" s="27">
        <v>0.84722222222222221</v>
      </c>
      <c r="Q48" s="29">
        <v>0.86944444444444446</v>
      </c>
      <c r="R48" s="29">
        <v>0.9</v>
      </c>
      <c r="S48" s="20">
        <f t="shared" ref="S48:S50" si="22">R48-P48</f>
        <v>5.2777777777777812E-2</v>
      </c>
      <c r="T48" s="58">
        <v>219</v>
      </c>
      <c r="U48" s="64">
        <v>3</v>
      </c>
      <c r="V48" s="27">
        <v>0.56944444444444442</v>
      </c>
      <c r="W48" s="28">
        <f t="shared" si="14"/>
        <v>2.430555555555558E-2</v>
      </c>
      <c r="X48" s="29">
        <v>1.0208333333333333</v>
      </c>
      <c r="Y48" s="30">
        <f t="shared" si="15"/>
        <v>3.4722222222222099E-2</v>
      </c>
    </row>
    <row r="49" spans="2:25" ht="24" customHeight="1" thickBot="1" x14ac:dyDescent="0.3">
      <c r="B49" s="316"/>
      <c r="C49" s="303"/>
      <c r="D49" s="31">
        <f>IF(F48="",E48,F48)</f>
        <v>0.83125000000000004</v>
      </c>
      <c r="E49" s="32"/>
      <c r="F49" s="31">
        <f>IF(D50="",E50,D50)</f>
        <v>0.88194444444444442</v>
      </c>
      <c r="G49" s="32"/>
      <c r="H49" s="32">
        <f>F49-D49</f>
        <v>5.0694444444444375E-2</v>
      </c>
      <c r="I49" s="32"/>
      <c r="J49" s="31">
        <f>IF(L48="",K48,L48)</f>
        <v>0.87013888888888891</v>
      </c>
      <c r="K49" s="32"/>
      <c r="L49" s="31">
        <f>IF(J50="",K50,J50)</f>
        <v>0.95138888888888884</v>
      </c>
      <c r="M49" s="32"/>
      <c r="N49" s="32">
        <f>L49-J49</f>
        <v>8.1249999999999933E-2</v>
      </c>
      <c r="O49" s="32"/>
      <c r="P49" s="27">
        <v>0.91666666666666663</v>
      </c>
      <c r="Q49" s="29">
        <v>0.93819444444444444</v>
      </c>
      <c r="R49" s="29">
        <v>0.96111111111111114</v>
      </c>
      <c r="S49" s="20">
        <f t="shared" si="22"/>
        <v>4.4444444444444509E-2</v>
      </c>
      <c r="T49" s="58">
        <v>219</v>
      </c>
      <c r="U49" s="64">
        <v>3</v>
      </c>
      <c r="V49" s="43">
        <v>0.59513888888888888</v>
      </c>
      <c r="W49" s="44">
        <f t="shared" si="14"/>
        <v>2.5694444444444464E-2</v>
      </c>
      <c r="X49" s="45">
        <v>1.0555555555555556</v>
      </c>
      <c r="Y49" s="46">
        <f t="shared" si="15"/>
        <v>3.4722222222222321E-2</v>
      </c>
    </row>
    <row r="50" spans="2:25" ht="24" customHeight="1" x14ac:dyDescent="0.25">
      <c r="B50" s="316"/>
      <c r="C50" s="303"/>
      <c r="D50" s="59">
        <v>0.88194444444444442</v>
      </c>
      <c r="E50" s="60">
        <v>0.90277777777777779</v>
      </c>
      <c r="F50" s="60">
        <v>0.92638888888888893</v>
      </c>
      <c r="G50" s="20">
        <f>F50-D50</f>
        <v>4.4444444444444509E-2</v>
      </c>
      <c r="H50" s="61">
        <v>219</v>
      </c>
      <c r="I50" s="62">
        <v>1</v>
      </c>
      <c r="J50" s="59">
        <v>0.95138888888888884</v>
      </c>
      <c r="K50" s="60">
        <v>0.97291666666666665</v>
      </c>
      <c r="L50" s="60">
        <v>0.99583333333333335</v>
      </c>
      <c r="M50" s="20">
        <f t="shared" ref="M50" si="23">L50-J50</f>
        <v>4.4444444444444509E-2</v>
      </c>
      <c r="N50" s="61">
        <v>219</v>
      </c>
      <c r="O50" s="62">
        <v>2</v>
      </c>
      <c r="P50" s="59">
        <v>0.98611111111111116</v>
      </c>
      <c r="Q50" s="60">
        <v>1.0034722222222223</v>
      </c>
      <c r="R50" s="60">
        <v>1.0243055555555556</v>
      </c>
      <c r="S50" s="20">
        <f t="shared" si="22"/>
        <v>3.819444444444442E-2</v>
      </c>
      <c r="T50" s="61">
        <v>219</v>
      </c>
      <c r="U50" s="62">
        <v>3</v>
      </c>
    </row>
    <row r="51" spans="2:25" ht="24" customHeight="1" thickBot="1" x14ac:dyDescent="0.3">
      <c r="B51" s="316"/>
      <c r="C51" s="303"/>
      <c r="D51" s="59"/>
      <c r="E51" s="60"/>
      <c r="F51" s="60"/>
      <c r="G51" s="66"/>
      <c r="H51" s="61"/>
      <c r="I51" s="62"/>
      <c r="J51" s="59">
        <v>1.0208333333333333</v>
      </c>
      <c r="K51" s="60">
        <v>1.0381944444444444</v>
      </c>
      <c r="L51" s="60">
        <v>1.0590277777777777</v>
      </c>
      <c r="M51" s="20">
        <f>L51-J51</f>
        <v>3.819444444444442E-2</v>
      </c>
      <c r="N51" s="61">
        <v>219</v>
      </c>
      <c r="O51" s="62">
        <v>2</v>
      </c>
      <c r="P51" s="59">
        <v>1.0555555555555556</v>
      </c>
      <c r="Q51" s="60">
        <v>1.0729166666666667</v>
      </c>
      <c r="R51" s="60">
        <v>1.09375</v>
      </c>
      <c r="S51" s="20">
        <f>R51-P51</f>
        <v>3.819444444444442E-2</v>
      </c>
      <c r="T51" s="61">
        <v>219</v>
      </c>
      <c r="U51" s="62">
        <v>3</v>
      </c>
    </row>
    <row r="52" spans="2:25" ht="24" customHeight="1" thickBot="1" x14ac:dyDescent="0.3">
      <c r="B52" s="316"/>
      <c r="C52" s="304"/>
      <c r="D52" s="341" t="s">
        <v>121</v>
      </c>
      <c r="E52" s="372"/>
      <c r="F52" s="372"/>
      <c r="G52" s="372"/>
      <c r="H52" s="372"/>
      <c r="I52" s="373"/>
      <c r="J52" s="341" t="s">
        <v>121</v>
      </c>
      <c r="K52" s="372"/>
      <c r="L52" s="372"/>
      <c r="M52" s="372"/>
      <c r="N52" s="372"/>
      <c r="O52" s="373"/>
      <c r="P52" s="341" t="s">
        <v>121</v>
      </c>
      <c r="Q52" s="372"/>
      <c r="R52" s="372"/>
      <c r="S52" s="372"/>
      <c r="T52" s="372"/>
      <c r="U52" s="373"/>
    </row>
    <row r="53" spans="2:25" ht="24" customHeight="1" thickBot="1" x14ac:dyDescent="0.3">
      <c r="B53" s="317"/>
      <c r="C53" s="36" t="s">
        <v>17</v>
      </c>
      <c r="D53" s="37">
        <f>MAX(E45:F51)-IF(D45="",E45,D45)-MIN(H45:H51)+$C42</f>
        <v>0.28750000000000009</v>
      </c>
      <c r="E53" s="51"/>
      <c r="F53" s="51"/>
      <c r="G53" s="52"/>
      <c r="H53" s="53">
        <f ca="1">OFFSET(H44,MATCH(MIN(H45:H51),H45:H51,0),-4)-IF(D45="",E45,D45)</f>
        <v>0.23611111111111116</v>
      </c>
      <c r="I53" s="54"/>
      <c r="J53" s="37">
        <f>MAX(K45:L51)-IF(J45="",K45,J45)-MIN(N45:N51)+$C42</f>
        <v>0.36319444444444438</v>
      </c>
      <c r="K53" s="38"/>
      <c r="L53" s="38"/>
      <c r="M53" s="39"/>
      <c r="N53" s="53">
        <f ca="1">OFFSET(N44,MATCH(MIN(N45:N51),N45:N51,0),-4)-IF(J45="",K45,J45)</f>
        <v>0.24861111111111112</v>
      </c>
      <c r="O53" s="41"/>
      <c r="P53" s="37">
        <f>MAX(Q45:R51)-IF(P45="",Q45,P45)-MIN(T45:T51)+$C42</f>
        <v>0.36527777777777781</v>
      </c>
      <c r="Q53" s="38"/>
      <c r="R53" s="38"/>
      <c r="S53" s="39"/>
      <c r="T53" s="53">
        <f ca="1">OFFSET(T44,MATCH(MIN(T45:T51),T45:T51,0),-4)-IF(P45="",Q45,P45)</f>
        <v>0.1118055555555556</v>
      </c>
      <c r="U53" s="41"/>
    </row>
    <row r="54" spans="2:25" ht="24" customHeigh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2:25" ht="24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2:25" ht="24" customHeigh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2:25" ht="24" customHeight="1" thickBot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2:25" ht="24" customHeight="1" thickBot="1" x14ac:dyDescent="0.3">
      <c r="B58" s="310" t="s">
        <v>38</v>
      </c>
      <c r="C58" s="2" t="s">
        <v>136</v>
      </c>
      <c r="D58" s="3"/>
      <c r="E58" s="3"/>
      <c r="F58" s="3"/>
      <c r="G58" s="3"/>
      <c r="H58" s="4"/>
      <c r="I58" s="5"/>
      <c r="J58" s="3"/>
      <c r="K58" s="3"/>
      <c r="L58" s="3"/>
      <c r="M58" s="3"/>
      <c r="N58" s="4"/>
      <c r="O58" s="5"/>
      <c r="P58" s="3"/>
      <c r="Q58" s="3"/>
      <c r="R58" s="3"/>
      <c r="S58" s="3"/>
      <c r="T58" s="4"/>
      <c r="U58" s="5"/>
      <c r="V58" s="6" t="s">
        <v>133</v>
      </c>
      <c r="W58" s="7"/>
      <c r="X58" s="7"/>
      <c r="Y58" s="8"/>
    </row>
    <row r="59" spans="2:25" ht="24" customHeight="1" thickBot="1" x14ac:dyDescent="0.3">
      <c r="B59" s="316"/>
      <c r="C59" s="349">
        <v>6.9444444444444441E-3</v>
      </c>
      <c r="D59" s="9" t="s">
        <v>2</v>
      </c>
      <c r="E59" s="7"/>
      <c r="F59" s="7"/>
      <c r="G59" s="7"/>
      <c r="H59" s="7"/>
      <c r="I59" s="8"/>
      <c r="J59" s="9"/>
      <c r="K59" s="7"/>
      <c r="L59" s="7"/>
      <c r="M59" s="7"/>
      <c r="N59" s="7"/>
      <c r="O59" s="8"/>
      <c r="P59" s="9"/>
      <c r="Q59" s="7"/>
      <c r="R59" s="7"/>
      <c r="S59" s="7"/>
      <c r="T59" s="7"/>
      <c r="U59" s="8"/>
      <c r="V59" s="10" t="s">
        <v>25</v>
      </c>
      <c r="W59" s="11"/>
      <c r="X59" s="11"/>
      <c r="Y59" s="12"/>
    </row>
    <row r="60" spans="2:25" ht="24" customHeight="1" thickBot="1" x14ac:dyDescent="0.3">
      <c r="B60" s="316"/>
      <c r="C60" s="371"/>
      <c r="D60" s="9" t="s">
        <v>4</v>
      </c>
      <c r="E60" s="7"/>
      <c r="F60" s="7"/>
      <c r="G60" s="7"/>
      <c r="H60" s="7"/>
      <c r="I60" s="8"/>
      <c r="J60" s="9" t="s">
        <v>5</v>
      </c>
      <c r="K60" s="7"/>
      <c r="L60" s="7"/>
      <c r="M60" s="7"/>
      <c r="N60" s="7"/>
      <c r="O60" s="8"/>
      <c r="P60" s="9" t="s">
        <v>6</v>
      </c>
      <c r="Q60" s="7"/>
      <c r="R60" s="7"/>
      <c r="S60" s="7"/>
      <c r="T60" s="7"/>
      <c r="U60" s="8"/>
      <c r="V60" s="6" t="str">
        <f>CONCATENATE(COUNT(V62:V77,X62:X77)," VIAGENS")</f>
        <v>32 VIAGENS</v>
      </c>
      <c r="W60" s="7"/>
      <c r="X60" s="7"/>
      <c r="Y60" s="8"/>
    </row>
    <row r="61" spans="2:25" ht="24" customHeight="1" thickBot="1" x14ac:dyDescent="0.3">
      <c r="B61" s="316"/>
      <c r="C61" s="313" t="s">
        <v>7</v>
      </c>
      <c r="D61" s="13" t="s">
        <v>8</v>
      </c>
      <c r="E61" s="14" t="s">
        <v>9</v>
      </c>
      <c r="F61" s="15" t="s">
        <v>10</v>
      </c>
      <c r="G61" s="14" t="s">
        <v>11</v>
      </c>
      <c r="H61" s="15" t="s">
        <v>12</v>
      </c>
      <c r="I61" s="14" t="s">
        <v>13</v>
      </c>
      <c r="J61" s="13" t="s">
        <v>8</v>
      </c>
      <c r="K61" s="14" t="s">
        <v>9</v>
      </c>
      <c r="L61" s="15" t="s">
        <v>10</v>
      </c>
      <c r="M61" s="14" t="s">
        <v>11</v>
      </c>
      <c r="N61" s="15" t="s">
        <v>12</v>
      </c>
      <c r="O61" s="14" t="s">
        <v>13</v>
      </c>
      <c r="P61" s="13" t="s">
        <v>8</v>
      </c>
      <c r="Q61" s="14" t="s">
        <v>9</v>
      </c>
      <c r="R61" s="15" t="s">
        <v>10</v>
      </c>
      <c r="S61" s="14" t="s">
        <v>11</v>
      </c>
      <c r="T61" s="15" t="s">
        <v>12</v>
      </c>
      <c r="U61" s="14" t="s">
        <v>13</v>
      </c>
      <c r="V61" s="16" t="s">
        <v>14</v>
      </c>
      <c r="W61" s="17" t="s">
        <v>15</v>
      </c>
      <c r="X61" s="16" t="s">
        <v>14</v>
      </c>
      <c r="Y61" s="17" t="s">
        <v>15</v>
      </c>
    </row>
    <row r="62" spans="2:25" ht="24" customHeight="1" x14ac:dyDescent="0.25">
      <c r="B62" s="316"/>
      <c r="C62" s="314"/>
      <c r="D62" s="18">
        <v>0.20833333333333329</v>
      </c>
      <c r="E62" s="19">
        <v>0.23125000000000001</v>
      </c>
      <c r="F62" s="19">
        <v>0.26527777777777778</v>
      </c>
      <c r="G62" s="20">
        <f>F62-D62</f>
        <v>5.6944444444444492E-2</v>
      </c>
      <c r="H62" s="55">
        <v>219</v>
      </c>
      <c r="I62" s="22">
        <v>1</v>
      </c>
      <c r="J62" s="18">
        <v>0.22916666666666671</v>
      </c>
      <c r="K62" s="19">
        <v>0.25416666666666671</v>
      </c>
      <c r="L62" s="19">
        <v>0.27777777777777779</v>
      </c>
      <c r="M62" s="20">
        <f t="shared" ref="M62:M64" si="24">L62-J62</f>
        <v>4.8611111111111077E-2</v>
      </c>
      <c r="N62" s="55">
        <v>219</v>
      </c>
      <c r="O62" s="22">
        <v>2</v>
      </c>
      <c r="P62" s="18">
        <v>0.25</v>
      </c>
      <c r="Q62" s="19">
        <v>0.27847222222222218</v>
      </c>
      <c r="R62" s="19">
        <v>0.30833333333333329</v>
      </c>
      <c r="S62" s="20">
        <f t="shared" ref="S62:S63" si="25">R62-P62</f>
        <v>5.8333333333333293E-2</v>
      </c>
      <c r="T62" s="55">
        <v>219</v>
      </c>
      <c r="U62" s="22">
        <v>3</v>
      </c>
      <c r="V62" s="23">
        <v>0.20833333333333329</v>
      </c>
      <c r="W62" s="24"/>
      <c r="X62" s="25">
        <v>0.62152777777777779</v>
      </c>
      <c r="Y62" s="26">
        <f>X62-V77</f>
        <v>2.6388888888888906E-2</v>
      </c>
    </row>
    <row r="63" spans="2:25" ht="24" customHeight="1" thickBot="1" x14ac:dyDescent="0.3">
      <c r="B63" s="316"/>
      <c r="C63" s="314"/>
      <c r="D63" s="18">
        <v>0.27083333333333331</v>
      </c>
      <c r="E63" s="19">
        <v>0.3</v>
      </c>
      <c r="F63" s="19">
        <v>0.32013888888888892</v>
      </c>
      <c r="G63" s="20">
        <f>F63-D63</f>
        <v>4.9305555555555602E-2</v>
      </c>
      <c r="H63" s="55">
        <v>219</v>
      </c>
      <c r="I63" s="22">
        <v>1</v>
      </c>
      <c r="J63" s="18">
        <v>0.29166666666666669</v>
      </c>
      <c r="K63" s="19">
        <v>0.31805555555555548</v>
      </c>
      <c r="L63" s="19">
        <v>0.34236111111111112</v>
      </c>
      <c r="M63" s="20">
        <f t="shared" si="24"/>
        <v>5.0694444444444431E-2</v>
      </c>
      <c r="N63" s="55">
        <v>219</v>
      </c>
      <c r="O63" s="22">
        <v>2</v>
      </c>
      <c r="P63" s="18">
        <v>0.31597222222222221</v>
      </c>
      <c r="Q63" s="19">
        <v>0.33888888888888891</v>
      </c>
      <c r="R63" s="19">
        <v>0.36805555555555558</v>
      </c>
      <c r="S63" s="20">
        <f t="shared" si="25"/>
        <v>5.208333333333337E-2</v>
      </c>
      <c r="T63" s="55">
        <v>219</v>
      </c>
      <c r="U63" s="22">
        <v>3</v>
      </c>
      <c r="V63" s="27">
        <v>0.22916666666666671</v>
      </c>
      <c r="W63" s="28">
        <f t="shared" ref="W63:W77" si="26">V63-V62</f>
        <v>2.0833333333333426E-2</v>
      </c>
      <c r="X63" s="29">
        <v>0.65</v>
      </c>
      <c r="Y63" s="30">
        <f t="shared" ref="Y63:Y77" si="27">X63-X62</f>
        <v>2.8472222222222232E-2</v>
      </c>
    </row>
    <row r="64" spans="2:25" ht="24" customHeight="1" thickBot="1" x14ac:dyDescent="0.3">
      <c r="B64" s="316"/>
      <c r="C64" s="314"/>
      <c r="D64" s="31">
        <f>IF(F63="",E63,F63)</f>
        <v>0.32013888888888892</v>
      </c>
      <c r="E64" s="32"/>
      <c r="F64" s="31">
        <f>IF(D65="",E65,D65)</f>
        <v>0.38194444444444442</v>
      </c>
      <c r="G64" s="32"/>
      <c r="H64" s="32">
        <f>F64-D64</f>
        <v>6.1805555555555503E-2</v>
      </c>
      <c r="I64" s="32"/>
      <c r="J64" s="18">
        <v>0.35069444444444442</v>
      </c>
      <c r="K64" s="19">
        <v>0.375</v>
      </c>
      <c r="L64" s="19">
        <v>0.41111111111111109</v>
      </c>
      <c r="M64" s="20">
        <f t="shared" si="24"/>
        <v>6.0416666666666674E-2</v>
      </c>
      <c r="N64" s="55">
        <v>219</v>
      </c>
      <c r="O64" s="22">
        <v>2</v>
      </c>
      <c r="P64" s="31">
        <f>IF(R63="",Q63,R63)</f>
        <v>0.36805555555555558</v>
      </c>
      <c r="Q64" s="32"/>
      <c r="R64" s="31">
        <f>IF(P65="",Q65,P65)</f>
        <v>0.41319444444444442</v>
      </c>
      <c r="S64" s="32"/>
      <c r="T64" s="32">
        <f>R64-P64</f>
        <v>4.513888888888884E-2</v>
      </c>
      <c r="U64" s="32"/>
      <c r="V64" s="27">
        <v>0.25</v>
      </c>
      <c r="W64" s="28">
        <f t="shared" si="26"/>
        <v>2.0833333333333287E-2</v>
      </c>
      <c r="X64" s="29">
        <v>0.66666666666666663</v>
      </c>
      <c r="Y64" s="30">
        <f t="shared" si="27"/>
        <v>1.6666666666666607E-2</v>
      </c>
    </row>
    <row r="65" spans="2:25" ht="24" customHeight="1" thickBot="1" x14ac:dyDescent="0.3">
      <c r="B65" s="316"/>
      <c r="C65" s="314"/>
      <c r="D65" s="18">
        <v>0.38194444444444442</v>
      </c>
      <c r="E65" s="19">
        <v>0.40763888888888888</v>
      </c>
      <c r="F65" s="19">
        <v>0.44166666666666671</v>
      </c>
      <c r="G65" s="20">
        <f t="shared" ref="G65:G67" si="28">F65-D65</f>
        <v>5.9722222222222288E-2</v>
      </c>
      <c r="H65" s="55">
        <v>219</v>
      </c>
      <c r="I65" s="22">
        <v>1</v>
      </c>
      <c r="J65" s="31">
        <f>IF(L64="",K64,L64)</f>
        <v>0.41111111111111109</v>
      </c>
      <c r="K65" s="32"/>
      <c r="L65" s="31">
        <f>IF(J66="",K66,J66)</f>
        <v>0.47916666666666669</v>
      </c>
      <c r="M65" s="32"/>
      <c r="N65" s="32">
        <f>L65-J65</f>
        <v>6.8055555555555591E-2</v>
      </c>
      <c r="O65" s="32"/>
      <c r="P65" s="18">
        <v>0.41319444444444442</v>
      </c>
      <c r="Q65" s="19">
        <v>0.4375</v>
      </c>
      <c r="R65" s="19">
        <v>0.47152777777777782</v>
      </c>
      <c r="S65" s="20">
        <f t="shared" ref="S65:S67" si="29">R65-P65</f>
        <v>5.8333333333333404E-2</v>
      </c>
      <c r="T65" s="55">
        <v>219</v>
      </c>
      <c r="U65" s="22">
        <v>3</v>
      </c>
      <c r="V65" s="27">
        <v>0.27083333333333331</v>
      </c>
      <c r="W65" s="28">
        <f t="shared" si="26"/>
        <v>2.0833333333333315E-2</v>
      </c>
      <c r="X65" s="29">
        <v>0.68333333333333335</v>
      </c>
      <c r="Y65" s="30">
        <f t="shared" si="27"/>
        <v>1.6666666666666718E-2</v>
      </c>
    </row>
    <row r="66" spans="2:25" ht="24" customHeight="1" x14ac:dyDescent="0.25">
      <c r="B66" s="316"/>
      <c r="C66" s="314"/>
      <c r="D66" s="18">
        <v>0.44791666666666669</v>
      </c>
      <c r="E66" s="19">
        <v>0.47152777777777782</v>
      </c>
      <c r="F66" s="19">
        <v>0.50694444444444442</v>
      </c>
      <c r="G66" s="20">
        <f t="shared" si="28"/>
        <v>5.9027777777777735E-2</v>
      </c>
      <c r="H66" s="55">
        <v>219</v>
      </c>
      <c r="I66" s="22">
        <v>1</v>
      </c>
      <c r="J66" s="18">
        <v>0.47916666666666669</v>
      </c>
      <c r="K66" s="19">
        <v>0.50624999999999998</v>
      </c>
      <c r="L66" s="19">
        <v>0.53402777777777777</v>
      </c>
      <c r="M66" s="20">
        <f t="shared" ref="M66:M67" si="30">L66-J66</f>
        <v>5.4861111111111083E-2</v>
      </c>
      <c r="N66" s="55">
        <v>219</v>
      </c>
      <c r="O66" s="22">
        <v>2</v>
      </c>
      <c r="P66" s="18">
        <v>0.5</v>
      </c>
      <c r="Q66" s="19">
        <v>0.5229166666666667</v>
      </c>
      <c r="R66" s="19">
        <v>0.55138888888888893</v>
      </c>
      <c r="S66" s="20">
        <f t="shared" si="29"/>
        <v>5.1388888888888928E-2</v>
      </c>
      <c r="T66" s="55">
        <v>219</v>
      </c>
      <c r="U66" s="22">
        <v>3</v>
      </c>
      <c r="V66" s="27">
        <v>0.29166666666666669</v>
      </c>
      <c r="W66" s="28">
        <f t="shared" si="26"/>
        <v>2.083333333333337E-2</v>
      </c>
      <c r="X66" s="29">
        <v>0.70833333333333337</v>
      </c>
      <c r="Y66" s="30">
        <f t="shared" si="27"/>
        <v>2.5000000000000022E-2</v>
      </c>
    </row>
    <row r="67" spans="2:25" ht="24" customHeight="1" thickBot="1" x14ac:dyDescent="0.3">
      <c r="B67" s="316"/>
      <c r="C67" s="314"/>
      <c r="D67" s="18">
        <v>0.52083333333333337</v>
      </c>
      <c r="E67" s="19">
        <v>0.54236111111111107</v>
      </c>
      <c r="F67" s="19">
        <v>0.56874999999999998</v>
      </c>
      <c r="G67" s="20">
        <f t="shared" si="28"/>
        <v>4.7916666666666607E-2</v>
      </c>
      <c r="H67" s="55">
        <v>219</v>
      </c>
      <c r="I67" s="22">
        <v>1</v>
      </c>
      <c r="J67" s="18">
        <v>0.54513888888888884</v>
      </c>
      <c r="K67" s="19">
        <v>0.56874999999999998</v>
      </c>
      <c r="L67" s="19">
        <v>0.60138888888888886</v>
      </c>
      <c r="M67" s="20">
        <f t="shared" si="30"/>
        <v>5.6250000000000022E-2</v>
      </c>
      <c r="N67" s="55">
        <v>219</v>
      </c>
      <c r="O67" s="22">
        <v>2</v>
      </c>
      <c r="P67" s="18">
        <v>0.56944444444444442</v>
      </c>
      <c r="Q67" s="19">
        <v>0.59375</v>
      </c>
      <c r="R67" s="19">
        <v>0.62083333333333335</v>
      </c>
      <c r="S67" s="20">
        <f t="shared" si="29"/>
        <v>5.1388888888888928E-2</v>
      </c>
      <c r="T67" s="55">
        <v>219</v>
      </c>
      <c r="U67" s="22">
        <v>3</v>
      </c>
      <c r="V67" s="27">
        <v>0.31597222222222221</v>
      </c>
      <c r="W67" s="28">
        <f t="shared" si="26"/>
        <v>2.4305555555555525E-2</v>
      </c>
      <c r="X67" s="29">
        <v>0.72916666666666663</v>
      </c>
      <c r="Y67" s="30">
        <f t="shared" si="27"/>
        <v>2.0833333333333259E-2</v>
      </c>
    </row>
    <row r="68" spans="2:25" ht="24" customHeight="1" thickBot="1" x14ac:dyDescent="0.3">
      <c r="B68" s="316"/>
      <c r="C68" s="315"/>
      <c r="D68" s="341" t="s">
        <v>121</v>
      </c>
      <c r="E68" s="372"/>
      <c r="F68" s="372"/>
      <c r="G68" s="372"/>
      <c r="H68" s="372"/>
      <c r="I68" s="373"/>
      <c r="J68" s="341" t="s">
        <v>121</v>
      </c>
      <c r="K68" s="372"/>
      <c r="L68" s="372"/>
      <c r="M68" s="372"/>
      <c r="N68" s="372"/>
      <c r="O68" s="373"/>
      <c r="P68" s="341" t="s">
        <v>121</v>
      </c>
      <c r="Q68" s="372"/>
      <c r="R68" s="372"/>
      <c r="S68" s="372"/>
      <c r="T68" s="372"/>
      <c r="U68" s="373"/>
      <c r="V68" s="27">
        <v>0.35069444444444442</v>
      </c>
      <c r="W68" s="28">
        <f t="shared" si="26"/>
        <v>3.472222222222221E-2</v>
      </c>
      <c r="X68" s="29">
        <v>0.75</v>
      </c>
      <c r="Y68" s="30">
        <f t="shared" si="27"/>
        <v>2.083333333333337E-2</v>
      </c>
    </row>
    <row r="69" spans="2:25" ht="24" customHeight="1" thickBot="1" x14ac:dyDescent="0.3">
      <c r="B69" s="316"/>
      <c r="C69" s="36" t="s">
        <v>17</v>
      </c>
      <c r="D69" s="37">
        <f>MAX(E62:F67)-IF(D62="",E62,D62)-MIN(H62:H67)+$C59</f>
        <v>0.30555555555555564</v>
      </c>
      <c r="E69" s="38"/>
      <c r="F69" s="38"/>
      <c r="G69" s="39"/>
      <c r="H69" s="40">
        <f ca="1">OFFSET(H61,MATCH(MIN(H62:H67),H62:H67,0),-4)-IF(D62="",E62,D62)+$C59</f>
        <v>0.11875000000000008</v>
      </c>
      <c r="I69" s="41"/>
      <c r="J69" s="37">
        <f>MAX(K62:L67)-IF(J62="",K62,J62)-MIN(N62:N67)+$C59</f>
        <v>0.31111111111111095</v>
      </c>
      <c r="K69" s="38"/>
      <c r="L69" s="38"/>
      <c r="M69" s="39"/>
      <c r="N69" s="40">
        <f ca="1">OFFSET(N61,MATCH(MIN(N62:N67),N62:N67,0),-4)-IF(J62="",K62,J62)+$C59</f>
        <v>0.18888888888888883</v>
      </c>
      <c r="O69" s="41"/>
      <c r="P69" s="37">
        <f>MAX(Q62:R67)-IF(P62="",Q62,P62)-MIN(T62:T67)+$C59</f>
        <v>0.33263888888888893</v>
      </c>
      <c r="Q69" s="38"/>
      <c r="R69" s="38"/>
      <c r="S69" s="39"/>
      <c r="T69" s="40">
        <f ca="1">OFFSET(T61,MATCH(MIN(T62:T67),T62:T67,0),-4)-IF(P62="",Q62,P62)+$C59</f>
        <v>0.12500000000000003</v>
      </c>
      <c r="U69" s="42"/>
      <c r="V69" s="27">
        <v>0.38194444444444442</v>
      </c>
      <c r="W69" s="28">
        <f t="shared" si="26"/>
        <v>3.125E-2</v>
      </c>
      <c r="X69" s="29">
        <v>0.78125</v>
      </c>
      <c r="Y69" s="30">
        <f t="shared" si="27"/>
        <v>3.125E-2</v>
      </c>
    </row>
    <row r="70" spans="2:25" ht="24" customHeight="1" thickBot="1" x14ac:dyDescent="0.3">
      <c r="B70" s="316"/>
      <c r="C70" s="349">
        <v>6.9444444444444441E-3</v>
      </c>
      <c r="D70" s="9" t="s">
        <v>18</v>
      </c>
      <c r="E70" s="7"/>
      <c r="F70" s="7"/>
      <c r="G70" s="7"/>
      <c r="H70" s="7"/>
      <c r="I70" s="8"/>
      <c r="J70" s="9"/>
      <c r="K70" s="7"/>
      <c r="L70" s="7"/>
      <c r="M70" s="7"/>
      <c r="N70" s="7"/>
      <c r="O70" s="8"/>
      <c r="P70" s="9"/>
      <c r="Q70" s="7"/>
      <c r="R70" s="7"/>
      <c r="S70" s="7"/>
      <c r="T70" s="7"/>
      <c r="U70" s="7"/>
      <c r="V70" s="27">
        <v>0.41319444444444442</v>
      </c>
      <c r="W70" s="28">
        <f t="shared" si="26"/>
        <v>3.125E-2</v>
      </c>
      <c r="X70" s="29">
        <v>0.81597222222222221</v>
      </c>
      <c r="Y70" s="30">
        <f t="shared" si="27"/>
        <v>3.472222222222221E-2</v>
      </c>
    </row>
    <row r="71" spans="2:25" ht="24" customHeight="1" thickBot="1" x14ac:dyDescent="0.3">
      <c r="B71" s="316"/>
      <c r="C71" s="371"/>
      <c r="D71" s="9" t="s">
        <v>19</v>
      </c>
      <c r="E71" s="7"/>
      <c r="F71" s="7"/>
      <c r="G71" s="7"/>
      <c r="H71" s="7"/>
      <c r="I71" s="8"/>
      <c r="J71" s="9" t="s">
        <v>20</v>
      </c>
      <c r="K71" s="7"/>
      <c r="L71" s="7"/>
      <c r="M71" s="7"/>
      <c r="N71" s="7"/>
      <c r="O71" s="8"/>
      <c r="P71" s="9" t="s">
        <v>21</v>
      </c>
      <c r="Q71" s="7"/>
      <c r="R71" s="7"/>
      <c r="S71" s="7"/>
      <c r="T71" s="7"/>
      <c r="U71" s="7"/>
      <c r="V71" s="27">
        <v>0.44791666666666669</v>
      </c>
      <c r="W71" s="28">
        <f t="shared" si="26"/>
        <v>3.4722222222222265E-2</v>
      </c>
      <c r="X71" s="29">
        <v>0.84722222222222221</v>
      </c>
      <c r="Y71" s="30">
        <f t="shared" si="27"/>
        <v>3.125E-2</v>
      </c>
    </row>
    <row r="72" spans="2:25" ht="24" customHeight="1" thickBot="1" x14ac:dyDescent="0.3">
      <c r="B72" s="316"/>
      <c r="C72" s="302" t="s">
        <v>7</v>
      </c>
      <c r="D72" s="13" t="s">
        <v>8</v>
      </c>
      <c r="E72" s="14" t="s">
        <v>9</v>
      </c>
      <c r="F72" s="15" t="s">
        <v>10</v>
      </c>
      <c r="G72" s="14" t="s">
        <v>11</v>
      </c>
      <c r="H72" s="15" t="s">
        <v>12</v>
      </c>
      <c r="I72" s="14" t="s">
        <v>13</v>
      </c>
      <c r="J72" s="15" t="s">
        <v>8</v>
      </c>
      <c r="K72" s="14" t="s">
        <v>9</v>
      </c>
      <c r="L72" s="15" t="s">
        <v>10</v>
      </c>
      <c r="M72" s="14" t="s">
        <v>11</v>
      </c>
      <c r="N72" s="15" t="s">
        <v>12</v>
      </c>
      <c r="O72" s="14" t="s">
        <v>13</v>
      </c>
      <c r="P72" s="13" t="s">
        <v>8</v>
      </c>
      <c r="Q72" s="14" t="s">
        <v>9</v>
      </c>
      <c r="R72" s="15" t="s">
        <v>10</v>
      </c>
      <c r="S72" s="14" t="s">
        <v>11</v>
      </c>
      <c r="T72" s="15" t="s">
        <v>12</v>
      </c>
      <c r="U72" s="13" t="s">
        <v>13</v>
      </c>
      <c r="V72" s="27">
        <v>0.47916666666666669</v>
      </c>
      <c r="W72" s="28">
        <f t="shared" si="26"/>
        <v>3.125E-2</v>
      </c>
      <c r="X72" s="29">
        <v>0.88194444444444442</v>
      </c>
      <c r="Y72" s="30">
        <f t="shared" si="27"/>
        <v>3.472222222222221E-2</v>
      </c>
    </row>
    <row r="73" spans="2:25" ht="24" customHeight="1" x14ac:dyDescent="0.25">
      <c r="B73" s="316"/>
      <c r="C73" s="303"/>
      <c r="D73" s="23">
        <v>0.59513888888888888</v>
      </c>
      <c r="E73" s="25">
        <v>0.61736111111111114</v>
      </c>
      <c r="F73" s="25">
        <v>0.6430555555555556</v>
      </c>
      <c r="G73" s="20">
        <f t="shared" ref="G73:G76" si="31">F73-D73</f>
        <v>4.7916666666666718E-2</v>
      </c>
      <c r="H73" s="56">
        <v>219</v>
      </c>
      <c r="I73" s="48">
        <v>1</v>
      </c>
      <c r="J73" s="23">
        <v>0.62152777777777779</v>
      </c>
      <c r="K73" s="25">
        <v>0.64513888888888893</v>
      </c>
      <c r="L73" s="25">
        <v>0.67361111111111116</v>
      </c>
      <c r="M73" s="20">
        <f t="shared" ref="M73:M76" si="32">L73-J73</f>
        <v>5.208333333333337E-2</v>
      </c>
      <c r="N73" s="56">
        <v>219</v>
      </c>
      <c r="O73" s="48">
        <v>2</v>
      </c>
      <c r="P73" s="23">
        <v>0.66666666666666663</v>
      </c>
      <c r="Q73" s="25">
        <v>0.68680555555555556</v>
      </c>
      <c r="R73" s="25">
        <v>0.71458333333333335</v>
      </c>
      <c r="S73" s="20">
        <f t="shared" ref="S73:S74" si="33">R73-P73</f>
        <v>4.7916666666666718E-2</v>
      </c>
      <c r="T73" s="56">
        <v>219</v>
      </c>
      <c r="U73" s="57">
        <v>3</v>
      </c>
      <c r="V73" s="27">
        <v>0.5</v>
      </c>
      <c r="W73" s="28">
        <f t="shared" si="26"/>
        <v>2.0833333333333315E-2</v>
      </c>
      <c r="X73" s="29">
        <v>0.91666666666666663</v>
      </c>
      <c r="Y73" s="30">
        <f t="shared" si="27"/>
        <v>3.472222222222221E-2</v>
      </c>
    </row>
    <row r="74" spans="2:25" ht="24" customHeight="1" thickBot="1" x14ac:dyDescent="0.3">
      <c r="B74" s="316"/>
      <c r="C74" s="303"/>
      <c r="D74" s="27">
        <v>0.65</v>
      </c>
      <c r="E74" s="29">
        <v>0.67291666666666672</v>
      </c>
      <c r="F74" s="29">
        <v>0.7006944444444444</v>
      </c>
      <c r="G74" s="20">
        <f t="shared" si="31"/>
        <v>5.0694444444444375E-2</v>
      </c>
      <c r="H74" s="58">
        <v>219</v>
      </c>
      <c r="I74" s="50">
        <v>1</v>
      </c>
      <c r="J74" s="27">
        <v>0.68333333333333335</v>
      </c>
      <c r="K74" s="29">
        <v>0.70347222222222228</v>
      </c>
      <c r="L74" s="29">
        <v>0.73402777777777772</v>
      </c>
      <c r="M74" s="20">
        <f t="shared" si="32"/>
        <v>5.0694444444444375E-2</v>
      </c>
      <c r="N74" s="58">
        <v>219</v>
      </c>
      <c r="O74" s="50">
        <v>2</v>
      </c>
      <c r="P74" s="27">
        <v>0.72916666666666663</v>
      </c>
      <c r="Q74" s="29">
        <v>0.75</v>
      </c>
      <c r="R74" s="29">
        <v>0.77847222222222223</v>
      </c>
      <c r="S74" s="20">
        <f t="shared" si="33"/>
        <v>4.9305555555555602E-2</v>
      </c>
      <c r="T74" s="58">
        <v>219</v>
      </c>
      <c r="U74" s="64">
        <v>3</v>
      </c>
      <c r="V74" s="27">
        <v>0.52083333333333337</v>
      </c>
      <c r="W74" s="28">
        <f t="shared" si="26"/>
        <v>2.083333333333337E-2</v>
      </c>
      <c r="X74" s="29">
        <v>0.95138888888888884</v>
      </c>
      <c r="Y74" s="30">
        <f t="shared" si="27"/>
        <v>3.472222222222221E-2</v>
      </c>
    </row>
    <row r="75" spans="2:25" ht="24" customHeight="1" thickBot="1" x14ac:dyDescent="0.3">
      <c r="B75" s="316"/>
      <c r="C75" s="303"/>
      <c r="D75" s="27">
        <v>0.70833333333333337</v>
      </c>
      <c r="E75" s="29">
        <v>0.73124999999999996</v>
      </c>
      <c r="F75" s="29">
        <v>0.76041666666666663</v>
      </c>
      <c r="G75" s="20">
        <f t="shared" si="31"/>
        <v>5.2083333333333259E-2</v>
      </c>
      <c r="H75" s="58">
        <v>219</v>
      </c>
      <c r="I75" s="50">
        <v>1</v>
      </c>
      <c r="J75" s="27">
        <v>0.75</v>
      </c>
      <c r="K75" s="29">
        <v>0.77569444444444446</v>
      </c>
      <c r="L75" s="29">
        <v>0.80763888888888891</v>
      </c>
      <c r="M75" s="20">
        <f t="shared" si="32"/>
        <v>5.7638888888888906E-2</v>
      </c>
      <c r="N75" s="58">
        <v>219</v>
      </c>
      <c r="O75" s="50">
        <v>2</v>
      </c>
      <c r="P75" s="31">
        <f>IF(R74="",Q74,R74)</f>
        <v>0.77847222222222223</v>
      </c>
      <c r="Q75" s="32"/>
      <c r="R75" s="31">
        <f>IF(P76="",Q76,P76)</f>
        <v>0.84722222222222221</v>
      </c>
      <c r="S75" s="32"/>
      <c r="T75" s="32">
        <f>R75-P75</f>
        <v>6.8749999999999978E-2</v>
      </c>
      <c r="U75" s="32"/>
      <c r="V75" s="27">
        <v>0.54513888888888884</v>
      </c>
      <c r="W75" s="28">
        <f t="shared" si="26"/>
        <v>2.4305555555555469E-2</v>
      </c>
      <c r="X75" s="29">
        <v>0.98611111111111116</v>
      </c>
      <c r="Y75" s="30">
        <f t="shared" si="27"/>
        <v>3.4722222222222321E-2</v>
      </c>
    </row>
    <row r="76" spans="2:25" ht="24" customHeight="1" thickBot="1" x14ac:dyDescent="0.3">
      <c r="B76" s="316"/>
      <c r="C76" s="303"/>
      <c r="D76" s="27">
        <v>0.78125</v>
      </c>
      <c r="E76" s="29">
        <v>0.80347222222222225</v>
      </c>
      <c r="F76" s="29">
        <v>0.83125000000000004</v>
      </c>
      <c r="G76" s="20">
        <f t="shared" si="31"/>
        <v>5.0000000000000044E-2</v>
      </c>
      <c r="H76" s="58">
        <v>219</v>
      </c>
      <c r="I76" s="50">
        <v>1</v>
      </c>
      <c r="J76" s="27">
        <v>0.81597222222222221</v>
      </c>
      <c r="K76" s="29">
        <v>0.83888888888888891</v>
      </c>
      <c r="L76" s="29">
        <v>0.87013888888888891</v>
      </c>
      <c r="M76" s="20">
        <f t="shared" si="32"/>
        <v>5.4166666666666696E-2</v>
      </c>
      <c r="N76" s="58">
        <v>219</v>
      </c>
      <c r="O76" s="50">
        <v>2</v>
      </c>
      <c r="P76" s="27">
        <v>0.84722222222222221</v>
      </c>
      <c r="Q76" s="29">
        <v>0.86944444444444446</v>
      </c>
      <c r="R76" s="29">
        <v>0.9</v>
      </c>
      <c r="S76" s="20">
        <f t="shared" ref="S76:S78" si="34">R76-P76</f>
        <v>5.2777777777777812E-2</v>
      </c>
      <c r="T76" s="58">
        <v>219</v>
      </c>
      <c r="U76" s="64">
        <v>3</v>
      </c>
      <c r="V76" s="27">
        <v>0.56944444444444442</v>
      </c>
      <c r="W76" s="28">
        <f t="shared" si="26"/>
        <v>2.430555555555558E-2</v>
      </c>
      <c r="X76" s="29">
        <v>1.0208333333333333</v>
      </c>
      <c r="Y76" s="30">
        <f t="shared" si="27"/>
        <v>3.4722222222222099E-2</v>
      </c>
    </row>
    <row r="77" spans="2:25" ht="24" customHeight="1" thickBot="1" x14ac:dyDescent="0.3">
      <c r="B77" s="316"/>
      <c r="C77" s="303"/>
      <c r="D77" s="31">
        <f>IF(F76="",E76,F76)</f>
        <v>0.83125000000000004</v>
      </c>
      <c r="E77" s="32"/>
      <c r="F77" s="31">
        <f>IF(D78="",E78,D78)</f>
        <v>0.88194444444444442</v>
      </c>
      <c r="G77" s="32"/>
      <c r="H77" s="32">
        <f>F77-D77</f>
        <v>5.0694444444444375E-2</v>
      </c>
      <c r="I77" s="32"/>
      <c r="J77" s="31">
        <f>IF(L76="",K76,L76)</f>
        <v>0.87013888888888891</v>
      </c>
      <c r="K77" s="32"/>
      <c r="L77" s="31">
        <f>IF(J78="",K78,J78)</f>
        <v>0.95138888888888884</v>
      </c>
      <c r="M77" s="32"/>
      <c r="N77" s="32">
        <f>L77-J77</f>
        <v>8.1249999999999933E-2</v>
      </c>
      <c r="O77" s="32"/>
      <c r="P77" s="27">
        <v>0.91666666666666663</v>
      </c>
      <c r="Q77" s="29">
        <v>0.93819444444444444</v>
      </c>
      <c r="R77" s="29">
        <v>0.96111111111111114</v>
      </c>
      <c r="S77" s="20">
        <f t="shared" si="34"/>
        <v>4.4444444444444509E-2</v>
      </c>
      <c r="T77" s="58">
        <v>219</v>
      </c>
      <c r="U77" s="64">
        <v>3</v>
      </c>
      <c r="V77" s="43">
        <v>0.59513888888888888</v>
      </c>
      <c r="W77" s="44">
        <f t="shared" si="26"/>
        <v>2.5694444444444464E-2</v>
      </c>
      <c r="X77" s="45">
        <v>1.0555555555555556</v>
      </c>
      <c r="Y77" s="46">
        <f t="shared" si="27"/>
        <v>3.4722222222222321E-2</v>
      </c>
    </row>
    <row r="78" spans="2:25" ht="24" customHeight="1" x14ac:dyDescent="0.25">
      <c r="B78" s="316"/>
      <c r="C78" s="303"/>
      <c r="D78" s="59">
        <v>0.88194444444444442</v>
      </c>
      <c r="E78" s="60">
        <v>0.90277777777777779</v>
      </c>
      <c r="F78" s="60">
        <v>0.92638888888888893</v>
      </c>
      <c r="G78" s="20">
        <f>F78-D78</f>
        <v>4.4444444444444509E-2</v>
      </c>
      <c r="H78" s="61">
        <v>219</v>
      </c>
      <c r="I78" s="62">
        <v>1</v>
      </c>
      <c r="J78" s="59">
        <v>0.95138888888888884</v>
      </c>
      <c r="K78" s="60">
        <v>0.97291666666666665</v>
      </c>
      <c r="L78" s="60">
        <v>0.99583333333333335</v>
      </c>
      <c r="M78" s="20">
        <f t="shared" ref="M78" si="35">L78-J78</f>
        <v>4.4444444444444509E-2</v>
      </c>
      <c r="N78" s="61">
        <v>219</v>
      </c>
      <c r="O78" s="62">
        <v>2</v>
      </c>
      <c r="P78" s="59">
        <v>0.98611111111111116</v>
      </c>
      <c r="Q78" s="60">
        <v>1.0034722222222223</v>
      </c>
      <c r="R78" s="60">
        <v>1.0243055555555556</v>
      </c>
      <c r="S78" s="20">
        <f t="shared" si="34"/>
        <v>3.819444444444442E-2</v>
      </c>
      <c r="T78" s="61">
        <v>219</v>
      </c>
      <c r="U78" s="62">
        <v>3</v>
      </c>
    </row>
    <row r="79" spans="2:25" ht="24" customHeight="1" thickBot="1" x14ac:dyDescent="0.3">
      <c r="B79" s="316"/>
      <c r="C79" s="303"/>
      <c r="D79" s="59"/>
      <c r="E79" s="60"/>
      <c r="F79" s="60"/>
      <c r="G79" s="66"/>
      <c r="H79" s="61"/>
      <c r="I79" s="62"/>
      <c r="J79" s="59">
        <v>1.0208333333333333</v>
      </c>
      <c r="K79" s="60">
        <v>1.0381944444444444</v>
      </c>
      <c r="L79" s="60">
        <v>1.0590277777777777</v>
      </c>
      <c r="M79" s="20">
        <f>L79-J79</f>
        <v>3.819444444444442E-2</v>
      </c>
      <c r="N79" s="61">
        <v>219</v>
      </c>
      <c r="O79" s="62">
        <v>2</v>
      </c>
      <c r="P79" s="59">
        <v>1.0555555555555556</v>
      </c>
      <c r="Q79" s="60">
        <v>1.0729166666666667</v>
      </c>
      <c r="R79" s="60">
        <v>1.09375</v>
      </c>
      <c r="S79" s="20">
        <f>R79-P79</f>
        <v>3.819444444444442E-2</v>
      </c>
      <c r="T79" s="61">
        <v>219</v>
      </c>
      <c r="U79" s="62">
        <v>3</v>
      </c>
    </row>
    <row r="80" spans="2:25" ht="24" customHeight="1" thickBot="1" x14ac:dyDescent="0.3">
      <c r="B80" s="316"/>
      <c r="C80" s="304"/>
      <c r="D80" s="341" t="s">
        <v>121</v>
      </c>
      <c r="E80" s="372"/>
      <c r="F80" s="372"/>
      <c r="G80" s="372"/>
      <c r="H80" s="372"/>
      <c r="I80" s="373"/>
      <c r="J80" s="341" t="s">
        <v>121</v>
      </c>
      <c r="K80" s="372"/>
      <c r="L80" s="372"/>
      <c r="M80" s="372"/>
      <c r="N80" s="372"/>
      <c r="O80" s="373"/>
      <c r="P80" s="341" t="s">
        <v>121</v>
      </c>
      <c r="Q80" s="372"/>
      <c r="R80" s="372"/>
      <c r="S80" s="372"/>
      <c r="T80" s="372"/>
      <c r="U80" s="373"/>
    </row>
    <row r="81" spans="2:21" ht="24" customHeight="1" thickBot="1" x14ac:dyDescent="0.3">
      <c r="B81" s="317"/>
      <c r="C81" s="36" t="s">
        <v>17</v>
      </c>
      <c r="D81" s="37">
        <f>MAX(E73:F79)-IF(D73="",E73,D73)-MIN(H73:H79)+$C70</f>
        <v>0.28750000000000009</v>
      </c>
      <c r="E81" s="51"/>
      <c r="F81" s="51"/>
      <c r="G81" s="52"/>
      <c r="H81" s="53">
        <f ca="1">OFFSET(H72,MATCH(MIN(H73:H79),H73:H79,0),-4)-IF(D73="",E73,D73)</f>
        <v>0.23611111111111116</v>
      </c>
      <c r="I81" s="54"/>
      <c r="J81" s="37">
        <f>MAX(K73:L79)-IF(J73="",K73,J73)-MIN(N73:N79)+$C70</f>
        <v>0.36319444444444438</v>
      </c>
      <c r="K81" s="38"/>
      <c r="L81" s="38"/>
      <c r="M81" s="39"/>
      <c r="N81" s="53">
        <f ca="1">OFFSET(N72,MATCH(MIN(N73:N79),N73:N79,0),-4)-IF(J73="",K73,J73)</f>
        <v>0.24861111111111112</v>
      </c>
      <c r="O81" s="41"/>
      <c r="P81" s="37">
        <f>MAX(Q73:R79)-IF(P73="",Q73,P73)-MIN(T73:T79)+$C70</f>
        <v>0.36527777777777781</v>
      </c>
      <c r="Q81" s="38"/>
      <c r="R81" s="38"/>
      <c r="S81" s="39"/>
      <c r="T81" s="53">
        <f ca="1">OFFSET(T72,MATCH(MIN(T73:T79),T73:T79,0),-4)-IF(P73="",Q73,P73)</f>
        <v>0.1118055555555556</v>
      </c>
      <c r="U81" s="41"/>
    </row>
    <row r="85" spans="2:21" ht="24" customHeight="1" x14ac:dyDescent="0.25">
      <c r="J85"/>
      <c r="K85"/>
      <c r="L85"/>
      <c r="M85"/>
      <c r="N85"/>
      <c r="O85"/>
      <c r="P85"/>
      <c r="Q85"/>
      <c r="R85"/>
      <c r="S85"/>
      <c r="T85"/>
    </row>
    <row r="86" spans="2:21" ht="24" customHeight="1" x14ac:dyDescent="0.25">
      <c r="J86"/>
      <c r="K86"/>
      <c r="L86"/>
      <c r="M86"/>
      <c r="N86"/>
      <c r="O86"/>
      <c r="P86"/>
      <c r="Q86"/>
      <c r="R86"/>
      <c r="S86"/>
      <c r="T86"/>
    </row>
    <row r="87" spans="2:21" ht="24" customHeight="1" x14ac:dyDescent="0.25">
      <c r="J87"/>
      <c r="K87"/>
      <c r="L87"/>
      <c r="M87"/>
      <c r="N87"/>
      <c r="O87"/>
      <c r="P87"/>
      <c r="Q87"/>
      <c r="R87"/>
      <c r="S87"/>
      <c r="T87"/>
    </row>
    <row r="88" spans="2:21" ht="24" customHeight="1" x14ac:dyDescent="0.25">
      <c r="J88"/>
      <c r="K88"/>
      <c r="L88"/>
      <c r="M88"/>
      <c r="N88"/>
      <c r="O88"/>
      <c r="P88"/>
      <c r="Q88"/>
      <c r="R88"/>
      <c r="S88"/>
      <c r="T88"/>
    </row>
    <row r="89" spans="2:21" ht="24" customHeight="1" x14ac:dyDescent="0.25">
      <c r="J89"/>
      <c r="K89"/>
      <c r="L89"/>
      <c r="M89"/>
      <c r="N89"/>
      <c r="O89"/>
      <c r="P89"/>
      <c r="Q89"/>
      <c r="R89"/>
      <c r="S89"/>
      <c r="T89"/>
    </row>
  </sheetData>
  <mergeCells count="33">
    <mergeCell ref="P80:U80"/>
    <mergeCell ref="J52:O52"/>
    <mergeCell ref="P52:U52"/>
    <mergeCell ref="P68:U68"/>
    <mergeCell ref="B58:B81"/>
    <mergeCell ref="C59:C60"/>
    <mergeCell ref="C61:C68"/>
    <mergeCell ref="D68:I68"/>
    <mergeCell ref="J68:O68"/>
    <mergeCell ref="C70:C71"/>
    <mergeCell ref="C72:C80"/>
    <mergeCell ref="D80:I80"/>
    <mergeCell ref="J80:O80"/>
    <mergeCell ref="P40:U40"/>
    <mergeCell ref="C42:C43"/>
    <mergeCell ref="C44:C52"/>
    <mergeCell ref="D52:I52"/>
    <mergeCell ref="B2:B25"/>
    <mergeCell ref="C3:C4"/>
    <mergeCell ref="C5:C12"/>
    <mergeCell ref="D12:I12"/>
    <mergeCell ref="J12:O12"/>
    <mergeCell ref="P12:U12"/>
    <mergeCell ref="B30:B53"/>
    <mergeCell ref="C31:C32"/>
    <mergeCell ref="C33:C40"/>
    <mergeCell ref="D40:I40"/>
    <mergeCell ref="J40:O40"/>
    <mergeCell ref="C14:C15"/>
    <mergeCell ref="C16:C24"/>
    <mergeCell ref="D24:I24"/>
    <mergeCell ref="J24:O24"/>
    <mergeCell ref="P24:U24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32">
    <cfRule type="colorScale" priority="7">
      <colorScale>
        <cfvo type="min"/>
        <cfvo type="max"/>
        <color rgb="FFFF7128"/>
        <color rgb="FFFFEF9C"/>
      </colorScale>
    </cfRule>
  </conditionalFormatting>
  <conditionalFormatting sqref="D60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104" priority="13" stopIfTrue="1">
      <formula>LEN($D4)=14</formula>
    </cfRule>
  </conditionalFormatting>
  <conditionalFormatting sqref="D32:I32">
    <cfRule type="expression" dxfId="103" priority="10" stopIfTrue="1">
      <formula>LEN($D32)=14</formula>
    </cfRule>
  </conditionalFormatting>
  <conditionalFormatting sqref="D60:I60">
    <cfRule type="expression" dxfId="102" priority="3" stopIfTrue="1">
      <formula>LEN($D60)=14</formula>
    </cfRule>
  </conditionalFormatting>
  <conditionalFormatting sqref="E4:I4">
    <cfRule type="notContainsBlanks" dxfId="101" priority="14">
      <formula>LEN(TRIM(E4))&gt;0</formula>
    </cfRule>
  </conditionalFormatting>
  <conditionalFormatting sqref="E32:I32">
    <cfRule type="notContainsBlanks" dxfId="100" priority="6">
      <formula>LEN(TRIM(E32))&gt;0</formula>
    </cfRule>
  </conditionalFormatting>
  <conditionalFormatting sqref="E60:I60">
    <cfRule type="notContainsBlanks" dxfId="99" priority="4">
      <formula>LEN(TRIM(E60))&gt;0</formula>
    </cfRule>
  </conditionalFormatting>
  <conditionalFormatting sqref="J4:O4">
    <cfRule type="expression" dxfId="98" priority="12">
      <formula>LEN($J4)=14</formula>
    </cfRule>
  </conditionalFormatting>
  <conditionalFormatting sqref="J32:O32">
    <cfRule type="expression" dxfId="97" priority="9">
      <formula>LEN($J32)=14</formula>
    </cfRule>
  </conditionalFormatting>
  <conditionalFormatting sqref="J60:O60">
    <cfRule type="expression" dxfId="96" priority="2">
      <formula>LEN($J60)=14</formula>
    </cfRule>
  </conditionalFormatting>
  <conditionalFormatting sqref="P4:U4">
    <cfRule type="expression" dxfId="95" priority="11">
      <formula>LEN($P4)=14</formula>
    </cfRule>
  </conditionalFormatting>
  <conditionalFormatting sqref="P32:U32">
    <cfRule type="expression" dxfId="94" priority="8">
      <formula>LEN($P32)=14</formula>
    </cfRule>
  </conditionalFormatting>
  <conditionalFormatting sqref="P60:U60">
    <cfRule type="expression" dxfId="93" priority="1">
      <formula>LEN($P60)=14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0A9A-495F-435A-A87F-F2BF66772E0D}">
  <dimension ref="B1:AE24"/>
  <sheetViews>
    <sheetView zoomScale="70" zoomScaleNormal="70" workbookViewId="0">
      <selection sqref="A1:XFD1048576"/>
    </sheetView>
  </sheetViews>
  <sheetFormatPr defaultColWidth="8.7109375" defaultRowHeight="24" customHeight="1" x14ac:dyDescent="0.25"/>
  <cols>
    <col min="1" max="16384" width="8.7109375" style="202"/>
  </cols>
  <sheetData>
    <row r="1" spans="2:31" ht="24" customHeight="1" thickBot="1" x14ac:dyDescent="0.3"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</row>
    <row r="2" spans="2:31" ht="24" customHeight="1" thickBot="1" x14ac:dyDescent="0.3">
      <c r="B2" s="295" t="s">
        <v>130</v>
      </c>
      <c r="C2" s="330" t="s">
        <v>131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4"/>
      <c r="V2" s="297" t="s">
        <v>132</v>
      </c>
      <c r="W2" s="287"/>
      <c r="X2" s="287"/>
      <c r="Y2" s="284"/>
      <c r="Z2" s="200"/>
      <c r="AA2" s="200"/>
      <c r="AB2" s="200"/>
      <c r="AC2" s="200"/>
      <c r="AD2" s="200"/>
      <c r="AE2" s="200"/>
    </row>
    <row r="3" spans="2:31" ht="24" customHeight="1" thickBot="1" x14ac:dyDescent="0.3">
      <c r="B3" s="293"/>
      <c r="C3" s="325">
        <v>6.9444444444444441E-3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4"/>
      <c r="V3" s="298" t="s">
        <v>103</v>
      </c>
      <c r="W3" s="287"/>
      <c r="X3" s="287"/>
      <c r="Y3" s="284"/>
      <c r="Z3" s="200"/>
      <c r="AA3" s="200"/>
      <c r="AB3" s="200"/>
      <c r="AC3" s="200"/>
      <c r="AD3" s="200"/>
      <c r="AE3" s="200"/>
    </row>
    <row r="4" spans="2:31" ht="24" customHeight="1" thickBot="1" x14ac:dyDescent="0.3">
      <c r="B4" s="293"/>
      <c r="C4" s="290"/>
      <c r="D4" s="375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1" t="s">
        <v>6</v>
      </c>
      <c r="Q4" s="287"/>
      <c r="R4" s="287"/>
      <c r="S4" s="287"/>
      <c r="T4" s="287"/>
      <c r="U4" s="284"/>
      <c r="V4" s="376" t="str">
        <f>CONCATENATE(COUNT(V6:V18,X6:X18)," VIAGENS")</f>
        <v>25 VIAGENS</v>
      </c>
      <c r="W4" s="287"/>
      <c r="X4" s="287"/>
      <c r="Y4" s="284"/>
      <c r="Z4" s="200"/>
      <c r="AA4" s="200"/>
      <c r="AB4" s="200"/>
      <c r="AC4" s="200"/>
      <c r="AD4" s="201"/>
      <c r="AE4" s="201"/>
    </row>
    <row r="5" spans="2:31" ht="24" customHeight="1" thickBot="1" x14ac:dyDescent="0.3">
      <c r="B5" s="293"/>
      <c r="C5" s="292" t="s">
        <v>7</v>
      </c>
      <c r="D5" s="203" t="s">
        <v>8</v>
      </c>
      <c r="E5" s="204" t="s">
        <v>9</v>
      </c>
      <c r="F5" s="205" t="s">
        <v>10</v>
      </c>
      <c r="G5" s="204" t="s">
        <v>11</v>
      </c>
      <c r="H5" s="204" t="s">
        <v>12</v>
      </c>
      <c r="I5" s="204" t="s">
        <v>106</v>
      </c>
      <c r="J5" s="203" t="s">
        <v>8</v>
      </c>
      <c r="K5" s="204" t="s">
        <v>9</v>
      </c>
      <c r="L5" s="205" t="s">
        <v>10</v>
      </c>
      <c r="M5" s="204" t="s">
        <v>11</v>
      </c>
      <c r="N5" s="204" t="s">
        <v>12</v>
      </c>
      <c r="O5" s="204" t="s">
        <v>106</v>
      </c>
      <c r="P5" s="203" t="s">
        <v>8</v>
      </c>
      <c r="Q5" s="204" t="s">
        <v>9</v>
      </c>
      <c r="R5" s="205" t="s">
        <v>10</v>
      </c>
      <c r="S5" s="204" t="s">
        <v>11</v>
      </c>
      <c r="T5" s="204" t="s">
        <v>12</v>
      </c>
      <c r="U5" s="204" t="s">
        <v>106</v>
      </c>
      <c r="V5" s="203" t="s">
        <v>14</v>
      </c>
      <c r="W5" s="204" t="s">
        <v>15</v>
      </c>
      <c r="X5" s="203" t="s">
        <v>14</v>
      </c>
      <c r="Y5" s="204" t="s">
        <v>15</v>
      </c>
      <c r="Z5" s="200"/>
      <c r="AA5" s="200"/>
      <c r="AB5" s="200"/>
      <c r="AC5" s="200"/>
      <c r="AD5" s="200"/>
      <c r="AE5" s="200"/>
    </row>
    <row r="6" spans="2:31" ht="24" customHeight="1" x14ac:dyDescent="0.25">
      <c r="B6" s="293"/>
      <c r="C6" s="293"/>
      <c r="D6" s="206">
        <v>0.21875</v>
      </c>
      <c r="E6" s="207">
        <v>0.23472222222222219</v>
      </c>
      <c r="F6" s="207">
        <v>0.25347222222222221</v>
      </c>
      <c r="G6" s="208">
        <f t="shared" ref="G6:G7" si="0">F6-D6</f>
        <v>3.472222222222221E-2</v>
      </c>
      <c r="H6" s="279">
        <v>221</v>
      </c>
      <c r="I6" s="210">
        <v>1</v>
      </c>
      <c r="J6" s="206">
        <v>0.24305555555555555</v>
      </c>
      <c r="K6" s="207">
        <v>0.2590277777777778</v>
      </c>
      <c r="L6" s="207">
        <v>0.27847222222222223</v>
      </c>
      <c r="M6" s="208">
        <f t="shared" ref="M6:M8" si="1">L6-J6</f>
        <v>3.541666666666668E-2</v>
      </c>
      <c r="N6" s="279">
        <v>221</v>
      </c>
      <c r="O6" s="210">
        <v>2</v>
      </c>
      <c r="P6" s="206">
        <v>0.2638888888888889</v>
      </c>
      <c r="Q6" s="207">
        <v>0.27916666666666667</v>
      </c>
      <c r="R6" s="207">
        <v>0.2986111111111111</v>
      </c>
      <c r="S6" s="208">
        <f t="shared" ref="S6:S8" si="2">R6-P6</f>
        <v>3.472222222222221E-2</v>
      </c>
      <c r="T6" s="279">
        <v>221</v>
      </c>
      <c r="U6" s="210">
        <v>3</v>
      </c>
      <c r="V6" s="206">
        <v>0.21875</v>
      </c>
      <c r="W6" s="211"/>
      <c r="X6" s="207">
        <v>0.52916666666666667</v>
      </c>
      <c r="Y6" s="212">
        <f>X6-V18</f>
        <v>2.3611111111111138E-2</v>
      </c>
      <c r="Z6" s="200"/>
      <c r="AA6" s="200"/>
      <c r="AB6" s="200"/>
      <c r="AC6" s="200"/>
      <c r="AD6" s="200"/>
      <c r="AE6" s="200"/>
    </row>
    <row r="7" spans="2:31" ht="24" customHeight="1" thickBot="1" x14ac:dyDescent="0.3">
      <c r="B7" s="293"/>
      <c r="C7" s="293"/>
      <c r="D7" s="213">
        <v>0.28472222222222221</v>
      </c>
      <c r="E7" s="214">
        <v>0.3</v>
      </c>
      <c r="F7" s="214">
        <v>0.32013888888888892</v>
      </c>
      <c r="G7" s="215">
        <f t="shared" si="0"/>
        <v>3.5416666666666707E-2</v>
      </c>
      <c r="H7" s="264">
        <v>221</v>
      </c>
      <c r="I7" s="217">
        <v>1</v>
      </c>
      <c r="J7" s="213">
        <v>0.30555555555555552</v>
      </c>
      <c r="K7" s="214">
        <v>0.32013888888888892</v>
      </c>
      <c r="L7" s="214">
        <v>0.34166666666666662</v>
      </c>
      <c r="M7" s="215">
        <f t="shared" si="1"/>
        <v>3.6111111111111094E-2</v>
      </c>
      <c r="N7" s="264">
        <v>221</v>
      </c>
      <c r="O7" s="217">
        <v>2</v>
      </c>
      <c r="P7" s="213">
        <v>0.3263888888888889</v>
      </c>
      <c r="Q7" s="214">
        <v>0.3430555555555555</v>
      </c>
      <c r="R7" s="214">
        <v>0.36527777777777781</v>
      </c>
      <c r="S7" s="215">
        <f t="shared" si="2"/>
        <v>3.8888888888888917E-2</v>
      </c>
      <c r="T7" s="264">
        <v>221</v>
      </c>
      <c r="U7" s="217">
        <v>3</v>
      </c>
      <c r="V7" s="213">
        <v>0.24305555555555555</v>
      </c>
      <c r="W7" s="218">
        <f t="shared" ref="W7:W18" si="3">V7-V6</f>
        <v>2.4305555555555552E-2</v>
      </c>
      <c r="X7" s="214">
        <v>0.56388888888888888</v>
      </c>
      <c r="Y7" s="219">
        <f t="shared" ref="Y7:Y17" si="4">X7-X6</f>
        <v>3.472222222222221E-2</v>
      </c>
      <c r="Z7" s="200"/>
      <c r="AA7" s="200"/>
      <c r="AB7" s="200"/>
      <c r="AC7" s="200"/>
      <c r="AD7" s="200"/>
      <c r="AE7" s="200"/>
    </row>
    <row r="8" spans="2:31" ht="24" customHeight="1" thickBot="1" x14ac:dyDescent="0.3">
      <c r="B8" s="293"/>
      <c r="C8" s="293"/>
      <c r="D8" s="283">
        <f>F7</f>
        <v>0.32013888888888892</v>
      </c>
      <c r="E8" s="284"/>
      <c r="F8" s="283">
        <f>D9</f>
        <v>0.375</v>
      </c>
      <c r="G8" s="284"/>
      <c r="H8" s="283">
        <f>F8-D8</f>
        <v>5.4861111111111083E-2</v>
      </c>
      <c r="I8" s="284"/>
      <c r="J8" s="213">
        <v>0.35069444444444442</v>
      </c>
      <c r="K8" s="214">
        <v>0.36736111111111108</v>
      </c>
      <c r="L8" s="214">
        <v>0.38958333333333334</v>
      </c>
      <c r="M8" s="215">
        <f t="shared" si="1"/>
        <v>3.8888888888888917E-2</v>
      </c>
      <c r="N8" s="264">
        <v>221</v>
      </c>
      <c r="O8" s="217">
        <v>2</v>
      </c>
      <c r="P8" s="213">
        <v>0.39930555555555558</v>
      </c>
      <c r="Q8" s="214">
        <v>0.4145833333333333</v>
      </c>
      <c r="R8" s="214">
        <v>0.4368055555555555</v>
      </c>
      <c r="S8" s="215">
        <f t="shared" si="2"/>
        <v>3.7499999999999922E-2</v>
      </c>
      <c r="T8" s="264">
        <v>221</v>
      </c>
      <c r="U8" s="217">
        <v>3</v>
      </c>
      <c r="V8" s="213">
        <v>0.2638888888888889</v>
      </c>
      <c r="W8" s="218">
        <f t="shared" si="3"/>
        <v>2.0833333333333343E-2</v>
      </c>
      <c r="X8" s="214">
        <v>0.59861111111111109</v>
      </c>
      <c r="Y8" s="219">
        <f t="shared" si="4"/>
        <v>3.472222222222221E-2</v>
      </c>
      <c r="Z8" s="200"/>
      <c r="AA8" s="200"/>
      <c r="AB8" s="200"/>
      <c r="AC8" s="200"/>
      <c r="AD8" s="200"/>
      <c r="AE8" s="200"/>
    </row>
    <row r="9" spans="2:31" ht="24" customHeight="1" thickBot="1" x14ac:dyDescent="0.3">
      <c r="B9" s="293"/>
      <c r="C9" s="293"/>
      <c r="D9" s="213">
        <v>0.375</v>
      </c>
      <c r="E9" s="214">
        <v>0.39166666666666666</v>
      </c>
      <c r="F9" s="214">
        <v>0.41319444444444442</v>
      </c>
      <c r="G9" s="215">
        <f t="shared" ref="G9:G11" si="5">F9-D9</f>
        <v>3.819444444444442E-2</v>
      </c>
      <c r="H9" s="264">
        <v>221</v>
      </c>
      <c r="I9" s="217">
        <v>1</v>
      </c>
      <c r="J9" s="283">
        <f>L8</f>
        <v>0.38958333333333334</v>
      </c>
      <c r="K9" s="284"/>
      <c r="L9" s="283">
        <f>J10</f>
        <v>0.45833333333333331</v>
      </c>
      <c r="M9" s="284"/>
      <c r="N9" s="283">
        <f>L9-J9</f>
        <v>6.8749999999999978E-2</v>
      </c>
      <c r="O9" s="284"/>
      <c r="P9" s="283">
        <f>R8</f>
        <v>0.4368055555555555</v>
      </c>
      <c r="Q9" s="284"/>
      <c r="R9" s="283">
        <f>P10</f>
        <v>0.50555555555555554</v>
      </c>
      <c r="S9" s="284"/>
      <c r="T9" s="283">
        <f>R9-P9</f>
        <v>6.8750000000000033E-2</v>
      </c>
      <c r="U9" s="284"/>
      <c r="V9" s="213">
        <v>0.28472222222222221</v>
      </c>
      <c r="W9" s="218">
        <f t="shared" si="3"/>
        <v>2.0833333333333315E-2</v>
      </c>
      <c r="X9" s="214">
        <v>0.62777777777777777</v>
      </c>
      <c r="Y9" s="219">
        <f t="shared" si="4"/>
        <v>2.9166666666666674E-2</v>
      </c>
      <c r="Z9" s="200"/>
      <c r="AA9" s="200"/>
      <c r="AB9" s="200"/>
      <c r="AC9" s="200"/>
      <c r="AD9" s="200"/>
      <c r="AE9" s="200"/>
    </row>
    <row r="10" spans="2:31" ht="24" customHeight="1" x14ac:dyDescent="0.25">
      <c r="B10" s="293"/>
      <c r="C10" s="293"/>
      <c r="D10" s="213">
        <v>0.43055555555555558</v>
      </c>
      <c r="E10" s="214">
        <v>0.4458333333333333</v>
      </c>
      <c r="F10" s="214">
        <v>0.4680555555555555</v>
      </c>
      <c r="G10" s="215">
        <f t="shared" si="5"/>
        <v>3.7499999999999922E-2</v>
      </c>
      <c r="H10" s="264">
        <v>221</v>
      </c>
      <c r="I10" s="217">
        <v>1</v>
      </c>
      <c r="J10" s="213">
        <v>0.45833333333333331</v>
      </c>
      <c r="K10" s="214">
        <v>0.47430555555555554</v>
      </c>
      <c r="L10" s="214">
        <v>0.49722222222222223</v>
      </c>
      <c r="M10" s="215">
        <f t="shared" ref="M10:M11" si="6">L10-J10</f>
        <v>3.8888888888888917E-2</v>
      </c>
      <c r="N10" s="264">
        <v>221</v>
      </c>
      <c r="O10" s="217">
        <v>2</v>
      </c>
      <c r="P10" s="213">
        <v>0.50555555555555554</v>
      </c>
      <c r="Q10" s="214">
        <v>0.52152777777777781</v>
      </c>
      <c r="R10" s="214">
        <v>0.5444444444444444</v>
      </c>
      <c r="S10" s="215">
        <f t="shared" ref="S10:S11" si="7">R10-P10</f>
        <v>3.8888888888888862E-2</v>
      </c>
      <c r="T10" s="264">
        <v>221</v>
      </c>
      <c r="U10" s="217">
        <v>3</v>
      </c>
      <c r="V10" s="213">
        <v>0.30555555555555552</v>
      </c>
      <c r="W10" s="218">
        <f t="shared" si="3"/>
        <v>2.0833333333333315E-2</v>
      </c>
      <c r="X10" s="214">
        <v>0.65694444444444444</v>
      </c>
      <c r="Y10" s="219">
        <f t="shared" si="4"/>
        <v>2.9166666666666674E-2</v>
      </c>
      <c r="Z10" s="200"/>
      <c r="AA10" s="200"/>
      <c r="AB10" s="200"/>
      <c r="AC10" s="200"/>
      <c r="AD10" s="200"/>
      <c r="AE10" s="200"/>
    </row>
    <row r="11" spans="2:31" ht="24" customHeight="1" thickBot="1" x14ac:dyDescent="0.3">
      <c r="B11" s="293"/>
      <c r="C11" s="293"/>
      <c r="D11" s="213">
        <v>0.48194444444444445</v>
      </c>
      <c r="E11" s="214">
        <v>0.49652777777777773</v>
      </c>
      <c r="F11" s="214">
        <v>0.5180555555555556</v>
      </c>
      <c r="G11" s="215">
        <f t="shared" si="5"/>
        <v>3.6111111111111149E-2</v>
      </c>
      <c r="H11" s="264">
        <v>221</v>
      </c>
      <c r="I11" s="217">
        <v>1</v>
      </c>
      <c r="J11" s="213">
        <v>0.52916666666666667</v>
      </c>
      <c r="K11" s="214">
        <v>0.54513888888888895</v>
      </c>
      <c r="L11" s="214">
        <v>0.56666666666666665</v>
      </c>
      <c r="M11" s="215">
        <f t="shared" si="6"/>
        <v>3.7499999999999978E-2</v>
      </c>
      <c r="N11" s="264">
        <v>221</v>
      </c>
      <c r="O11" s="217">
        <v>2</v>
      </c>
      <c r="P11" s="213">
        <v>0.56388888888888888</v>
      </c>
      <c r="Q11" s="214">
        <v>0.57916666666666672</v>
      </c>
      <c r="R11" s="214">
        <v>0.59930555555555554</v>
      </c>
      <c r="S11" s="215">
        <f t="shared" si="7"/>
        <v>3.5416666666666652E-2</v>
      </c>
      <c r="T11" s="264">
        <v>221</v>
      </c>
      <c r="U11" s="217">
        <v>3</v>
      </c>
      <c r="V11" s="213">
        <v>0.3263888888888889</v>
      </c>
      <c r="W11" s="218">
        <f t="shared" si="3"/>
        <v>2.083333333333337E-2</v>
      </c>
      <c r="X11" s="214">
        <v>0.68611111111111101</v>
      </c>
      <c r="Y11" s="219">
        <f t="shared" si="4"/>
        <v>2.9166666666666563E-2</v>
      </c>
      <c r="Z11" s="200"/>
      <c r="AA11" s="200"/>
      <c r="AB11" s="200"/>
      <c r="AC11" s="200"/>
      <c r="AD11" s="200"/>
      <c r="AE11" s="200"/>
    </row>
    <row r="12" spans="2:31" ht="24" customHeight="1" thickBot="1" x14ac:dyDescent="0.3">
      <c r="B12" s="293"/>
      <c r="C12" s="293"/>
      <c r="D12" s="297" t="s">
        <v>52</v>
      </c>
      <c r="E12" s="287"/>
      <c r="F12" s="287"/>
      <c r="G12" s="287"/>
      <c r="H12" s="287"/>
      <c r="I12" s="284"/>
      <c r="J12" s="297" t="s">
        <v>52</v>
      </c>
      <c r="K12" s="287"/>
      <c r="L12" s="287"/>
      <c r="M12" s="287"/>
      <c r="N12" s="287"/>
      <c r="O12" s="284"/>
      <c r="P12" s="297" t="s">
        <v>52</v>
      </c>
      <c r="Q12" s="287"/>
      <c r="R12" s="287"/>
      <c r="S12" s="287"/>
      <c r="T12" s="287"/>
      <c r="U12" s="284"/>
      <c r="V12" s="213">
        <v>0.35069444444444442</v>
      </c>
      <c r="W12" s="218">
        <f t="shared" si="3"/>
        <v>2.4305555555555525E-2</v>
      </c>
      <c r="X12" s="214">
        <v>0.71527777777777779</v>
      </c>
      <c r="Y12" s="219">
        <f t="shared" si="4"/>
        <v>2.9166666666666785E-2</v>
      </c>
      <c r="Z12" s="200"/>
      <c r="AA12" s="200"/>
      <c r="AB12" s="200"/>
      <c r="AC12" s="200"/>
      <c r="AD12" s="200"/>
      <c r="AE12" s="200"/>
    </row>
    <row r="13" spans="2:31" ht="24" customHeight="1" thickBot="1" x14ac:dyDescent="0.3">
      <c r="B13" s="293"/>
      <c r="C13" s="247" t="s">
        <v>17</v>
      </c>
      <c r="D13" s="288">
        <f>MAX(E6:F11)-IF(D6="",E6,D6)-MIN(H6:H11)+$C3</f>
        <v>0.25138888888888894</v>
      </c>
      <c r="E13" s="287"/>
      <c r="F13" s="287"/>
      <c r="G13" s="284"/>
      <c r="H13" s="294">
        <f ca="1">OFFSET(H5,MATCH(MIN(H6:H11),H6:H11,0),-4)-IF(D6="",E6,D6)+$C3</f>
        <v>0.10833333333333336</v>
      </c>
      <c r="I13" s="284"/>
      <c r="J13" s="288">
        <f>MAX(K6:L11)-IF(J6="",K6,J6)-MIN(N6:N11)+$C3</f>
        <v>0.26180555555555551</v>
      </c>
      <c r="K13" s="287"/>
      <c r="L13" s="287"/>
      <c r="M13" s="284"/>
      <c r="N13" s="294">
        <f ca="1">OFFSET(N5,MATCH(MIN(N6:N11),N6:N11,0),-4)-IF(J6="",K6,J6)+$C3</f>
        <v>0.15347222222222223</v>
      </c>
      <c r="O13" s="284"/>
      <c r="P13" s="288">
        <f>MAX(Q6:R11)-IF(P6="",Q6,P6)-MIN(T6:T11)+$C3*2</f>
        <v>0.2805555555555555</v>
      </c>
      <c r="Q13" s="287"/>
      <c r="R13" s="287"/>
      <c r="S13" s="284"/>
      <c r="T13" s="294">
        <f ca="1">OFFSET(T5,MATCH(MIN(T6:T11),T6:T11,0),-4)-IF(P6="",Q6,P6)+$C3</f>
        <v>0.17986111111111105</v>
      </c>
      <c r="U13" s="284"/>
      <c r="V13" s="213">
        <v>0.375</v>
      </c>
      <c r="W13" s="218">
        <f t="shared" si="3"/>
        <v>2.430555555555558E-2</v>
      </c>
      <c r="X13" s="214">
        <v>0.74444444444444446</v>
      </c>
      <c r="Y13" s="219">
        <f t="shared" si="4"/>
        <v>2.9166666666666674E-2</v>
      </c>
      <c r="Z13" s="200"/>
      <c r="AA13" s="200"/>
      <c r="AB13" s="200"/>
      <c r="AC13" s="200"/>
      <c r="AD13" s="200"/>
      <c r="AE13" s="200"/>
    </row>
    <row r="14" spans="2:31" ht="24" customHeight="1" thickBot="1" x14ac:dyDescent="0.3">
      <c r="B14" s="293"/>
      <c r="C14" s="325">
        <v>6.9444444444444441E-3</v>
      </c>
      <c r="D14" s="291" t="s">
        <v>18</v>
      </c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4"/>
      <c r="V14" s="213">
        <v>0.39930555555555558</v>
      </c>
      <c r="W14" s="218">
        <f t="shared" si="3"/>
        <v>2.430555555555558E-2</v>
      </c>
      <c r="X14" s="214">
        <v>0.8125</v>
      </c>
      <c r="Y14" s="219">
        <f t="shared" si="4"/>
        <v>6.8055555555555536E-2</v>
      </c>
      <c r="Z14" s="200"/>
      <c r="AA14" s="200"/>
      <c r="AB14" s="200"/>
      <c r="AC14" s="200"/>
      <c r="AD14" s="200"/>
      <c r="AE14" s="200"/>
    </row>
    <row r="15" spans="2:31" ht="24" customHeight="1" thickBot="1" x14ac:dyDescent="0.3">
      <c r="B15" s="293"/>
      <c r="C15" s="290"/>
      <c r="D15" s="291" t="s">
        <v>19</v>
      </c>
      <c r="E15" s="287"/>
      <c r="F15" s="287"/>
      <c r="G15" s="287"/>
      <c r="H15" s="287"/>
      <c r="I15" s="284"/>
      <c r="J15" s="291" t="s">
        <v>20</v>
      </c>
      <c r="K15" s="287"/>
      <c r="L15" s="287"/>
      <c r="M15" s="287"/>
      <c r="N15" s="287"/>
      <c r="O15" s="284"/>
      <c r="P15" s="374"/>
      <c r="Q15" s="367"/>
      <c r="R15" s="367"/>
      <c r="S15" s="367"/>
      <c r="T15" s="367"/>
      <c r="U15" s="327"/>
      <c r="V15" s="213">
        <v>0.43055555555555558</v>
      </c>
      <c r="W15" s="218">
        <f t="shared" si="3"/>
        <v>3.125E-2</v>
      </c>
      <c r="X15" s="214">
        <v>0.84722222222222221</v>
      </c>
      <c r="Y15" s="219">
        <f t="shared" si="4"/>
        <v>3.472222222222221E-2</v>
      </c>
      <c r="Z15" s="200"/>
      <c r="AA15" s="200"/>
      <c r="AB15" s="200"/>
      <c r="AC15" s="200"/>
      <c r="AD15" s="200"/>
      <c r="AE15" s="200"/>
    </row>
    <row r="16" spans="2:31" ht="24" customHeight="1" thickBot="1" x14ac:dyDescent="0.3">
      <c r="B16" s="293"/>
      <c r="C16" s="292" t="s">
        <v>7</v>
      </c>
      <c r="D16" s="203" t="s">
        <v>8</v>
      </c>
      <c r="E16" s="204" t="s">
        <v>9</v>
      </c>
      <c r="F16" s="205" t="s">
        <v>10</v>
      </c>
      <c r="G16" s="204" t="s">
        <v>11</v>
      </c>
      <c r="H16" s="204" t="s">
        <v>12</v>
      </c>
      <c r="I16" s="204" t="s">
        <v>106</v>
      </c>
      <c r="J16" s="236" t="s">
        <v>8</v>
      </c>
      <c r="K16" s="237" t="s">
        <v>9</v>
      </c>
      <c r="L16" s="238" t="s">
        <v>10</v>
      </c>
      <c r="M16" s="237" t="s">
        <v>11</v>
      </c>
      <c r="N16" s="204" t="s">
        <v>12</v>
      </c>
      <c r="O16" s="237" t="s">
        <v>106</v>
      </c>
      <c r="P16" s="300"/>
      <c r="Q16" s="356"/>
      <c r="R16" s="356"/>
      <c r="S16" s="356"/>
      <c r="T16" s="356"/>
      <c r="U16" s="332"/>
      <c r="V16" s="228">
        <v>0.45833333333333331</v>
      </c>
      <c r="W16" s="218">
        <f t="shared" si="3"/>
        <v>2.7777777777777735E-2</v>
      </c>
      <c r="X16" s="214">
        <v>0.88194444444444453</v>
      </c>
      <c r="Y16" s="219">
        <f t="shared" si="4"/>
        <v>3.4722222222222321E-2</v>
      </c>
      <c r="Z16" s="200"/>
      <c r="AA16" s="200"/>
      <c r="AB16" s="200"/>
      <c r="AC16" s="200"/>
      <c r="AD16" s="200"/>
      <c r="AE16" s="200"/>
    </row>
    <row r="17" spans="2:31" ht="24" customHeight="1" x14ac:dyDescent="0.25">
      <c r="B17" s="293"/>
      <c r="C17" s="293"/>
      <c r="D17" s="206">
        <v>0.59861111111111109</v>
      </c>
      <c r="E17" s="207">
        <v>0.61319444444444449</v>
      </c>
      <c r="F17" s="207">
        <v>0.63263888888888886</v>
      </c>
      <c r="G17" s="208">
        <f t="shared" ref="G17:G19" si="8">F17-D17</f>
        <v>3.4027777777777768E-2</v>
      </c>
      <c r="H17" s="279">
        <v>221</v>
      </c>
      <c r="I17" s="210">
        <v>1</v>
      </c>
      <c r="J17" s="206">
        <v>0.62777777777777777</v>
      </c>
      <c r="K17" s="207">
        <v>0.64444444444444449</v>
      </c>
      <c r="L17" s="207">
        <v>0.66388888888888886</v>
      </c>
      <c r="M17" s="208">
        <f t="shared" ref="M17:M19" si="9">L17-J17</f>
        <v>3.6111111111111094E-2</v>
      </c>
      <c r="N17" s="279">
        <v>221</v>
      </c>
      <c r="O17" s="210">
        <v>2</v>
      </c>
      <c r="P17" s="300"/>
      <c r="Q17" s="356"/>
      <c r="R17" s="356"/>
      <c r="S17" s="356"/>
      <c r="T17" s="356"/>
      <c r="U17" s="332"/>
      <c r="V17" s="228">
        <v>0.48194444444444445</v>
      </c>
      <c r="W17" s="218">
        <f t="shared" si="3"/>
        <v>2.3611111111111138E-2</v>
      </c>
      <c r="X17" s="214">
        <v>0.91666666666666663</v>
      </c>
      <c r="Y17" s="219">
        <f t="shared" si="4"/>
        <v>3.4722222222222099E-2</v>
      </c>
      <c r="Z17" s="200"/>
      <c r="AA17" s="200"/>
      <c r="AB17" s="200"/>
      <c r="AC17" s="200"/>
      <c r="AD17" s="200"/>
      <c r="AE17" s="200"/>
    </row>
    <row r="18" spans="2:31" ht="24" customHeight="1" thickBot="1" x14ac:dyDescent="0.3">
      <c r="B18" s="293"/>
      <c r="C18" s="293"/>
      <c r="D18" s="213">
        <v>0.65694444444444444</v>
      </c>
      <c r="E18" s="214">
        <v>0.67291666666666661</v>
      </c>
      <c r="F18" s="214">
        <v>0.69236111111111109</v>
      </c>
      <c r="G18" s="215">
        <f t="shared" si="8"/>
        <v>3.5416666666666652E-2</v>
      </c>
      <c r="H18" s="264">
        <v>221</v>
      </c>
      <c r="I18" s="217">
        <v>1</v>
      </c>
      <c r="J18" s="213">
        <v>0.68611111111111101</v>
      </c>
      <c r="K18" s="214">
        <v>0.70347222222222217</v>
      </c>
      <c r="L18" s="214">
        <v>0.72291666666666676</v>
      </c>
      <c r="M18" s="215">
        <f t="shared" si="9"/>
        <v>3.6805555555555758E-2</v>
      </c>
      <c r="N18" s="264">
        <v>221</v>
      </c>
      <c r="O18" s="217">
        <v>2</v>
      </c>
      <c r="P18" s="300"/>
      <c r="Q18" s="356"/>
      <c r="R18" s="356"/>
      <c r="S18" s="356"/>
      <c r="T18" s="356"/>
      <c r="U18" s="332"/>
      <c r="V18" s="280">
        <v>0.50555555555555554</v>
      </c>
      <c r="W18" s="231">
        <f t="shared" si="3"/>
        <v>2.3611111111111083E-2</v>
      </c>
      <c r="X18" s="249"/>
      <c r="Y18" s="233"/>
      <c r="Z18" s="200"/>
      <c r="AA18" s="200"/>
      <c r="AB18" s="200"/>
      <c r="AC18" s="200"/>
      <c r="AD18" s="200"/>
      <c r="AE18" s="200"/>
    </row>
    <row r="19" spans="2:31" ht="24" customHeight="1" thickBot="1" x14ac:dyDescent="0.3">
      <c r="B19" s="293"/>
      <c r="C19" s="293"/>
      <c r="D19" s="213">
        <v>0.71527777777777779</v>
      </c>
      <c r="E19" s="214">
        <v>0.7319444444444444</v>
      </c>
      <c r="F19" s="214">
        <v>0.75138888888888899</v>
      </c>
      <c r="G19" s="215">
        <f t="shared" si="8"/>
        <v>3.6111111111111205E-2</v>
      </c>
      <c r="H19" s="264">
        <v>221</v>
      </c>
      <c r="I19" s="217">
        <v>1</v>
      </c>
      <c r="J19" s="213">
        <v>0.74444444444444446</v>
      </c>
      <c r="K19" s="214">
        <v>0.76111111111111107</v>
      </c>
      <c r="L19" s="214">
        <v>0.78125</v>
      </c>
      <c r="M19" s="215">
        <f t="shared" si="9"/>
        <v>3.6805555555555536E-2</v>
      </c>
      <c r="N19" s="264">
        <v>221</v>
      </c>
      <c r="O19" s="217">
        <v>2</v>
      </c>
      <c r="P19" s="300"/>
      <c r="Q19" s="356"/>
      <c r="R19" s="356"/>
      <c r="S19" s="356"/>
      <c r="T19" s="356"/>
      <c r="U19" s="332"/>
      <c r="V19" s="201"/>
      <c r="W19" s="201"/>
      <c r="X19" s="201"/>
      <c r="Y19" s="201"/>
      <c r="Z19" s="200"/>
      <c r="AA19" s="200"/>
      <c r="AB19" s="200"/>
      <c r="AC19" s="200"/>
      <c r="AD19" s="200"/>
      <c r="AE19" s="200"/>
    </row>
    <row r="20" spans="2:31" ht="24" customHeight="1" thickBot="1" x14ac:dyDescent="0.3">
      <c r="B20" s="293"/>
      <c r="C20" s="293"/>
      <c r="D20" s="283">
        <f>F19</f>
        <v>0.75138888888888899</v>
      </c>
      <c r="E20" s="284"/>
      <c r="F20" s="283">
        <f>D21</f>
        <v>0.8125</v>
      </c>
      <c r="G20" s="284"/>
      <c r="H20" s="283">
        <f>F20-D20</f>
        <v>6.1111111111111005E-2</v>
      </c>
      <c r="I20" s="284"/>
      <c r="J20" s="283">
        <f>L19</f>
        <v>0.78125</v>
      </c>
      <c r="K20" s="284"/>
      <c r="L20" s="283">
        <f>J21</f>
        <v>0.84722222222222221</v>
      </c>
      <c r="M20" s="284"/>
      <c r="N20" s="283">
        <f>L20-J20</f>
        <v>6.597222222222221E-2</v>
      </c>
      <c r="O20" s="284"/>
      <c r="P20" s="300"/>
      <c r="Q20" s="356"/>
      <c r="R20" s="356"/>
      <c r="S20" s="356"/>
      <c r="T20" s="356"/>
      <c r="U20" s="332"/>
      <c r="V20" s="201"/>
      <c r="W20" s="201"/>
      <c r="X20" s="201"/>
      <c r="Y20" s="201"/>
      <c r="Z20" s="200"/>
      <c r="AA20" s="200"/>
      <c r="AB20" s="200"/>
      <c r="AC20" s="200"/>
      <c r="AD20" s="200"/>
      <c r="AE20" s="200"/>
    </row>
    <row r="21" spans="2:31" ht="24" customHeight="1" x14ac:dyDescent="0.25">
      <c r="B21" s="293"/>
      <c r="C21" s="293"/>
      <c r="D21" s="213">
        <v>0.8125</v>
      </c>
      <c r="E21" s="214">
        <v>0.82777777777777783</v>
      </c>
      <c r="F21" s="214">
        <v>0.84930555555555554</v>
      </c>
      <c r="G21" s="215">
        <f t="shared" ref="G21:G22" si="10">F21-D21</f>
        <v>3.6805555555555536E-2</v>
      </c>
      <c r="H21" s="264">
        <v>221</v>
      </c>
      <c r="I21" s="217">
        <v>1</v>
      </c>
      <c r="J21" s="213">
        <v>0.84722222222222221</v>
      </c>
      <c r="K21" s="214">
        <v>0.8618055555555556</v>
      </c>
      <c r="L21" s="214">
        <v>0.88194444444444453</v>
      </c>
      <c r="M21" s="215">
        <f t="shared" ref="M21:M22" si="11">L21-J21</f>
        <v>3.4722222222222321E-2</v>
      </c>
      <c r="N21" s="264">
        <v>221</v>
      </c>
      <c r="O21" s="217">
        <v>2</v>
      </c>
      <c r="P21" s="300"/>
      <c r="Q21" s="356"/>
      <c r="R21" s="356"/>
      <c r="S21" s="356"/>
      <c r="T21" s="356"/>
      <c r="U21" s="332"/>
      <c r="V21" s="201"/>
      <c r="W21" s="201"/>
      <c r="X21" s="201"/>
      <c r="Y21" s="201"/>
      <c r="Z21" s="200"/>
      <c r="AA21" s="200"/>
      <c r="AB21" s="200"/>
      <c r="AC21" s="200"/>
      <c r="AD21" s="200"/>
      <c r="AE21" s="200"/>
    </row>
    <row r="22" spans="2:31" ht="24" customHeight="1" thickBot="1" x14ac:dyDescent="0.3">
      <c r="B22" s="293"/>
      <c r="C22" s="293"/>
      <c r="D22" s="213">
        <v>0.88194444444444453</v>
      </c>
      <c r="E22" s="214">
        <v>0.89722222222222225</v>
      </c>
      <c r="F22" s="214">
        <v>0.91666666666666663</v>
      </c>
      <c r="G22" s="215">
        <f t="shared" si="10"/>
        <v>3.4722222222222099E-2</v>
      </c>
      <c r="H22" s="264">
        <v>221</v>
      </c>
      <c r="I22" s="217">
        <v>1</v>
      </c>
      <c r="J22" s="213">
        <v>0.91666666666666663</v>
      </c>
      <c r="K22" s="214">
        <v>0.93194444444444446</v>
      </c>
      <c r="L22" s="214">
        <v>0.95138888888888884</v>
      </c>
      <c r="M22" s="215">
        <f t="shared" si="11"/>
        <v>3.472222222222221E-2</v>
      </c>
      <c r="N22" s="264">
        <v>221</v>
      </c>
      <c r="O22" s="217">
        <v>2</v>
      </c>
      <c r="P22" s="300"/>
      <c r="Q22" s="356"/>
      <c r="R22" s="356"/>
      <c r="S22" s="356"/>
      <c r="T22" s="356"/>
      <c r="U22" s="332"/>
      <c r="V22" s="201"/>
      <c r="W22" s="201"/>
      <c r="X22" s="201"/>
      <c r="Y22" s="201"/>
      <c r="Z22" s="200"/>
      <c r="AA22" s="200"/>
      <c r="AB22" s="200"/>
      <c r="AC22" s="200"/>
      <c r="AD22" s="200"/>
      <c r="AE22" s="200"/>
    </row>
    <row r="23" spans="2:31" ht="24" customHeight="1" thickBot="1" x14ac:dyDescent="0.3">
      <c r="B23" s="293"/>
      <c r="C23" s="293"/>
      <c r="D23" s="297" t="s">
        <v>52</v>
      </c>
      <c r="E23" s="287"/>
      <c r="F23" s="287"/>
      <c r="G23" s="287"/>
      <c r="H23" s="287"/>
      <c r="I23" s="284"/>
      <c r="J23" s="297" t="s">
        <v>52</v>
      </c>
      <c r="K23" s="287"/>
      <c r="L23" s="287"/>
      <c r="M23" s="287"/>
      <c r="N23" s="287"/>
      <c r="O23" s="284"/>
      <c r="P23" s="300"/>
      <c r="Q23" s="356"/>
      <c r="R23" s="356"/>
      <c r="S23" s="356"/>
      <c r="T23" s="356"/>
      <c r="U23" s="332"/>
      <c r="V23" s="201"/>
      <c r="W23" s="201"/>
      <c r="X23" s="201"/>
      <c r="Y23" s="201"/>
      <c r="Z23" s="200"/>
      <c r="AA23" s="200"/>
      <c r="AB23" s="200"/>
      <c r="AC23" s="200"/>
      <c r="AD23" s="200"/>
      <c r="AE23" s="200"/>
    </row>
    <row r="24" spans="2:31" ht="24" customHeight="1" thickBot="1" x14ac:dyDescent="0.3">
      <c r="B24" s="290"/>
      <c r="C24" s="247" t="s">
        <v>17</v>
      </c>
      <c r="D24" s="288">
        <f>MAX(E17:F22)-IF(D17="",E17,D17)-MIN(H17:H22)+$C14</f>
        <v>0.26388888888888895</v>
      </c>
      <c r="E24" s="287"/>
      <c r="F24" s="287"/>
      <c r="G24" s="284"/>
      <c r="H24" s="281">
        <f ca="1">OFFSET(H16,MATCH(MIN(H17:H22),H17:H22,0),-4)-IF(D17="",E17,D17)</f>
        <v>0.1527777777777779</v>
      </c>
      <c r="I24" s="282"/>
      <c r="J24" s="288">
        <f>MAX(K17:L22)-IF(J17="",K17,J17)-MIN(N17:N22)+$C14</f>
        <v>0.26458333333333328</v>
      </c>
      <c r="K24" s="287"/>
      <c r="L24" s="287"/>
      <c r="M24" s="284"/>
      <c r="N24" s="281">
        <f ca="1">OFFSET(N16,MATCH(MIN(N17:N22),N17:N22,0),-4)-IF(J17="",K17,J17)</f>
        <v>0.15347222222222223</v>
      </c>
      <c r="O24" s="282"/>
      <c r="P24" s="301"/>
      <c r="Q24" s="324"/>
      <c r="R24" s="324"/>
      <c r="S24" s="324"/>
      <c r="T24" s="324"/>
      <c r="U24" s="282"/>
      <c r="V24" s="201"/>
      <c r="W24" s="201"/>
      <c r="X24" s="201"/>
      <c r="Y24" s="201"/>
      <c r="Z24" s="200"/>
      <c r="AA24" s="200"/>
      <c r="AB24" s="200"/>
      <c r="AC24" s="200"/>
      <c r="AD24" s="200"/>
      <c r="AE24" s="200"/>
    </row>
  </sheetData>
  <mergeCells count="47">
    <mergeCell ref="B2:B24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2:I12"/>
    <mergeCell ref="J12:O12"/>
    <mergeCell ref="P12:U12"/>
    <mergeCell ref="C5:C12"/>
    <mergeCell ref="D8:E8"/>
    <mergeCell ref="F8:G8"/>
    <mergeCell ref="T13:U13"/>
    <mergeCell ref="N9:O9"/>
    <mergeCell ref="P9:Q9"/>
    <mergeCell ref="R9:S9"/>
    <mergeCell ref="T9:U9"/>
    <mergeCell ref="N13:O13"/>
    <mergeCell ref="P13:S13"/>
    <mergeCell ref="H8:I8"/>
    <mergeCell ref="J9:K9"/>
    <mergeCell ref="L9:M9"/>
    <mergeCell ref="D24:G24"/>
    <mergeCell ref="H24:I24"/>
    <mergeCell ref="D13:G13"/>
    <mergeCell ref="H13:I13"/>
    <mergeCell ref="J13:M13"/>
    <mergeCell ref="J24:M24"/>
    <mergeCell ref="N24:O24"/>
    <mergeCell ref="C14:C15"/>
    <mergeCell ref="D14:U14"/>
    <mergeCell ref="D15:I15"/>
    <mergeCell ref="J15:O15"/>
    <mergeCell ref="P15:U24"/>
    <mergeCell ref="C16:C23"/>
    <mergeCell ref="D20:E20"/>
    <mergeCell ref="F20:G20"/>
    <mergeCell ref="H20:I20"/>
    <mergeCell ref="J20:K20"/>
    <mergeCell ref="L20:M20"/>
    <mergeCell ref="N20:O20"/>
    <mergeCell ref="D23:I23"/>
    <mergeCell ref="J23:O23"/>
  </mergeCells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6B91-B0B1-4FAB-BF31-27BC5B176592}">
  <dimension ref="A1:Z68"/>
  <sheetViews>
    <sheetView zoomScale="70" zoomScaleNormal="70" workbookViewId="0">
      <selection activeCell="B2" sqref="B2:O22"/>
    </sheetView>
  </sheetViews>
  <sheetFormatPr defaultColWidth="9.85546875" defaultRowHeight="24" customHeight="1" x14ac:dyDescent="0.25"/>
  <cols>
    <col min="1" max="16384" width="9.85546875" style="70"/>
  </cols>
  <sheetData>
    <row r="1" spans="1:26" ht="24" customHeight="1" thickBot="1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24" customHeight="1" thickBot="1" x14ac:dyDescent="0.3">
      <c r="A2" s="69"/>
      <c r="B2" s="377" t="s">
        <v>32</v>
      </c>
      <c r="C2" s="380" t="s">
        <v>65</v>
      </c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2"/>
      <c r="P2" s="383" t="s">
        <v>66</v>
      </c>
      <c r="Q2" s="384"/>
      <c r="R2" s="384"/>
      <c r="S2" s="385"/>
      <c r="T2" s="69"/>
      <c r="U2" s="69"/>
      <c r="V2" s="69"/>
      <c r="W2" s="69"/>
      <c r="X2" s="69"/>
      <c r="Y2" s="69"/>
      <c r="Z2" s="69"/>
    </row>
    <row r="3" spans="1:26" ht="24" customHeight="1" thickBot="1" x14ac:dyDescent="0.3">
      <c r="A3" s="69"/>
      <c r="B3" s="378"/>
      <c r="C3" s="71">
        <v>6.9444444444444441E-3</v>
      </c>
      <c r="D3" s="386" t="s">
        <v>2</v>
      </c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5"/>
      <c r="P3" s="387" t="s">
        <v>3</v>
      </c>
      <c r="Q3" s="384"/>
      <c r="R3" s="384"/>
      <c r="S3" s="385"/>
      <c r="T3" s="69"/>
      <c r="U3" s="69"/>
      <c r="V3" s="69"/>
      <c r="W3" s="69"/>
      <c r="X3" s="69"/>
      <c r="Y3" s="69"/>
      <c r="Z3" s="69"/>
    </row>
    <row r="4" spans="1:26" ht="24" customHeight="1" thickBot="1" x14ac:dyDescent="0.3">
      <c r="A4" s="69"/>
      <c r="B4" s="378"/>
      <c r="C4" s="71">
        <v>1.7361111111111112E-2</v>
      </c>
      <c r="D4" s="386" t="s">
        <v>4</v>
      </c>
      <c r="E4" s="384"/>
      <c r="F4" s="384"/>
      <c r="G4" s="384"/>
      <c r="H4" s="384"/>
      <c r="I4" s="385"/>
      <c r="J4" s="386" t="s">
        <v>5</v>
      </c>
      <c r="K4" s="384"/>
      <c r="L4" s="384"/>
      <c r="M4" s="384"/>
      <c r="N4" s="384"/>
      <c r="O4" s="385"/>
      <c r="P4" s="383" t="str">
        <f>CONCATENATE(COUNT(P6:P11,R6:R11)," VIAGENS")</f>
        <v>11 VIAGENS</v>
      </c>
      <c r="Q4" s="384"/>
      <c r="R4" s="384"/>
      <c r="S4" s="385"/>
      <c r="T4" s="69"/>
      <c r="U4" s="69"/>
      <c r="V4" s="69"/>
      <c r="W4" s="69"/>
      <c r="X4" s="69"/>
      <c r="Y4" s="69"/>
      <c r="Z4" s="69"/>
    </row>
    <row r="5" spans="1:26" ht="24" customHeight="1" thickBot="1" x14ac:dyDescent="0.3">
      <c r="A5" s="69"/>
      <c r="B5" s="378"/>
      <c r="C5" s="388" t="s">
        <v>7</v>
      </c>
      <c r="D5" s="72" t="s">
        <v>8</v>
      </c>
      <c r="E5" s="73" t="s">
        <v>9</v>
      </c>
      <c r="F5" s="74" t="s">
        <v>10</v>
      </c>
      <c r="G5" s="73" t="s">
        <v>11</v>
      </c>
      <c r="H5" s="74" t="s">
        <v>12</v>
      </c>
      <c r="I5" s="73" t="s">
        <v>13</v>
      </c>
      <c r="J5" s="72" t="s">
        <v>8</v>
      </c>
      <c r="K5" s="73" t="s">
        <v>9</v>
      </c>
      <c r="L5" s="74" t="s">
        <v>10</v>
      </c>
      <c r="M5" s="73" t="s">
        <v>11</v>
      </c>
      <c r="N5" s="74" t="s">
        <v>12</v>
      </c>
      <c r="O5" s="73" t="s">
        <v>13</v>
      </c>
      <c r="P5" s="75" t="s">
        <v>14</v>
      </c>
      <c r="Q5" s="76" t="s">
        <v>15</v>
      </c>
      <c r="R5" s="75" t="s">
        <v>14</v>
      </c>
      <c r="S5" s="76" t="s">
        <v>15</v>
      </c>
      <c r="T5" s="69"/>
      <c r="U5" s="69"/>
      <c r="V5" s="69"/>
      <c r="W5" s="69"/>
      <c r="X5" s="69"/>
      <c r="Y5" s="69"/>
      <c r="Z5" s="69"/>
    </row>
    <row r="6" spans="1:26" ht="24" customHeight="1" thickBot="1" x14ac:dyDescent="0.3">
      <c r="A6" s="69"/>
      <c r="B6" s="378"/>
      <c r="C6" s="389"/>
      <c r="D6" s="77">
        <v>0.1701388888888889</v>
      </c>
      <c r="E6" s="78">
        <v>0.2048611111111111</v>
      </c>
      <c r="F6" s="78">
        <v>0.2673611111111111</v>
      </c>
      <c r="G6" s="79">
        <f t="shared" ref="G6:G7" si="0">F6-D6</f>
        <v>9.722222222222221E-2</v>
      </c>
      <c r="H6" s="80" t="s">
        <v>67</v>
      </c>
      <c r="I6" s="81">
        <v>1</v>
      </c>
      <c r="J6" s="82">
        <v>0.25</v>
      </c>
      <c r="K6" s="83">
        <v>0.31666666666666671</v>
      </c>
      <c r="L6" s="83">
        <v>0.38055555555555548</v>
      </c>
      <c r="M6" s="84">
        <f>L6-J6</f>
        <v>0.13055555555555548</v>
      </c>
      <c r="N6" s="85">
        <v>302</v>
      </c>
      <c r="O6" s="86">
        <v>2</v>
      </c>
      <c r="P6" s="87">
        <v>0.17013888888888887</v>
      </c>
      <c r="Q6" s="88"/>
      <c r="R6" s="89">
        <v>0.57986111111111116</v>
      </c>
      <c r="S6" s="90">
        <f>R6-P11</f>
        <v>2.777777777777779E-2</v>
      </c>
      <c r="T6" s="69"/>
      <c r="U6" s="69"/>
      <c r="V6" s="69"/>
      <c r="W6" s="69"/>
      <c r="X6" s="69"/>
      <c r="Y6" s="69"/>
      <c r="Z6" s="69"/>
    </row>
    <row r="7" spans="1:26" ht="24" customHeight="1" thickBot="1" x14ac:dyDescent="0.3">
      <c r="A7" s="69"/>
      <c r="B7" s="378"/>
      <c r="C7" s="389"/>
      <c r="D7" s="82">
        <v>0.27777777777777779</v>
      </c>
      <c r="E7" s="83">
        <v>0.34583333333333333</v>
      </c>
      <c r="F7" s="83">
        <v>0.40138888888888891</v>
      </c>
      <c r="G7" s="84">
        <f t="shared" si="0"/>
        <v>0.12361111111111112</v>
      </c>
      <c r="H7" s="85">
        <v>302</v>
      </c>
      <c r="I7" s="86">
        <v>1</v>
      </c>
      <c r="J7" s="391">
        <f>IF(L6="",K6,L6)</f>
        <v>0.38055555555555548</v>
      </c>
      <c r="K7" s="385"/>
      <c r="L7" s="391">
        <f>IF(J8="",K8,J8)</f>
        <v>0.4284722222222222</v>
      </c>
      <c r="M7" s="385"/>
      <c r="N7" s="396">
        <f>L7-J7</f>
        <v>4.7916666666666718E-2</v>
      </c>
      <c r="O7" s="384"/>
      <c r="P7" s="82">
        <v>0.25</v>
      </c>
      <c r="Q7" s="91"/>
      <c r="R7" s="83">
        <v>0.70833333333333337</v>
      </c>
      <c r="S7" s="92">
        <f t="shared" ref="S7:S10" si="1">R7-R6</f>
        <v>0.12847222222222221</v>
      </c>
      <c r="T7" s="69"/>
      <c r="U7" s="69"/>
      <c r="V7" s="69"/>
      <c r="W7" s="69"/>
      <c r="X7" s="69"/>
      <c r="Y7" s="69"/>
      <c r="Z7" s="69"/>
    </row>
    <row r="8" spans="1:26" ht="24" customHeight="1" thickBot="1" x14ac:dyDescent="0.3">
      <c r="A8" s="69"/>
      <c r="B8" s="378"/>
      <c r="C8" s="389"/>
      <c r="D8" s="391">
        <f>IF(F7="",E7,F7)</f>
        <v>0.40138888888888891</v>
      </c>
      <c r="E8" s="385"/>
      <c r="F8" s="391">
        <f>IF(D9="",E9,D9)</f>
        <v>0.4548611111111111</v>
      </c>
      <c r="G8" s="385"/>
      <c r="H8" s="396">
        <f>F8-D8</f>
        <v>5.3472222222222199E-2</v>
      </c>
      <c r="I8" s="385"/>
      <c r="J8" s="82">
        <v>0.4284722222222222</v>
      </c>
      <c r="K8" s="83">
        <v>0.48958333333333331</v>
      </c>
      <c r="L8" s="83">
        <v>0.54236111111111107</v>
      </c>
      <c r="M8" s="84">
        <f t="shared" ref="M8:M9" si="2">L8-J8</f>
        <v>0.11388888888888887</v>
      </c>
      <c r="N8" s="85">
        <v>302</v>
      </c>
      <c r="O8" s="86">
        <v>2</v>
      </c>
      <c r="P8" s="82">
        <v>0.27777777777777779</v>
      </c>
      <c r="Q8" s="91">
        <f t="shared" ref="Q8:Q11" si="3">P8-P7</f>
        <v>2.777777777777779E-2</v>
      </c>
      <c r="R8" s="83">
        <v>0.75347222222222221</v>
      </c>
      <c r="S8" s="92">
        <f t="shared" si="1"/>
        <v>4.513888888888884E-2</v>
      </c>
      <c r="T8" s="69"/>
      <c r="U8" s="69"/>
      <c r="V8" s="69"/>
      <c r="W8" s="69"/>
      <c r="X8" s="69"/>
      <c r="Y8" s="69"/>
      <c r="Z8" s="69"/>
    </row>
    <row r="9" spans="1:26" ht="24" customHeight="1" thickBot="1" x14ac:dyDescent="0.3">
      <c r="A9" s="69"/>
      <c r="B9" s="378"/>
      <c r="C9" s="389"/>
      <c r="D9" s="82">
        <v>0.4548611111111111</v>
      </c>
      <c r="E9" s="83">
        <v>0.51944444444444449</v>
      </c>
      <c r="F9" s="83">
        <v>0.56597222222222221</v>
      </c>
      <c r="G9" s="84">
        <f>F9-D9</f>
        <v>0.1111111111111111</v>
      </c>
      <c r="H9" s="85">
        <v>302</v>
      </c>
      <c r="I9" s="86">
        <v>1</v>
      </c>
      <c r="J9" s="82">
        <v>0.55208333333333337</v>
      </c>
      <c r="K9" s="83">
        <v>0.6118055555555556</v>
      </c>
      <c r="L9" s="83">
        <v>0.65972222222222221</v>
      </c>
      <c r="M9" s="84">
        <f t="shared" si="2"/>
        <v>0.10763888888888884</v>
      </c>
      <c r="N9" s="85">
        <v>302</v>
      </c>
      <c r="O9" s="86">
        <v>2</v>
      </c>
      <c r="P9" s="82">
        <v>0.4284722222222222</v>
      </c>
      <c r="Q9" s="91">
        <f t="shared" si="3"/>
        <v>0.15069444444444441</v>
      </c>
      <c r="R9" s="83">
        <v>0.88194444444444442</v>
      </c>
      <c r="S9" s="92">
        <f t="shared" si="1"/>
        <v>0.12847222222222221</v>
      </c>
      <c r="T9" s="69"/>
      <c r="U9" s="69"/>
      <c r="V9" s="69"/>
      <c r="W9" s="69"/>
      <c r="X9" s="69"/>
      <c r="Y9" s="69"/>
      <c r="Z9" s="69"/>
    </row>
    <row r="10" spans="1:26" ht="24" customHeight="1" thickBot="1" x14ac:dyDescent="0.3">
      <c r="A10" s="93"/>
      <c r="B10" s="378"/>
      <c r="C10" s="390"/>
      <c r="D10" s="397" t="s">
        <v>68</v>
      </c>
      <c r="E10" s="384"/>
      <c r="F10" s="384"/>
      <c r="G10" s="384"/>
      <c r="H10" s="384"/>
      <c r="I10" s="385"/>
      <c r="J10" s="397" t="s">
        <v>68</v>
      </c>
      <c r="K10" s="384"/>
      <c r="L10" s="384"/>
      <c r="M10" s="384"/>
      <c r="N10" s="384"/>
      <c r="O10" s="385"/>
      <c r="P10" s="82">
        <v>0.4548611111111111</v>
      </c>
      <c r="Q10" s="91">
        <f t="shared" si="3"/>
        <v>2.6388888888888906E-2</v>
      </c>
      <c r="R10" s="83">
        <v>0.91666666666666663</v>
      </c>
      <c r="S10" s="92">
        <f t="shared" si="1"/>
        <v>3.472222222222221E-2</v>
      </c>
      <c r="T10" s="94"/>
      <c r="U10" s="94"/>
      <c r="V10" s="94"/>
      <c r="W10" s="94"/>
      <c r="X10" s="94"/>
      <c r="Y10" s="94"/>
      <c r="Z10" s="94"/>
    </row>
    <row r="11" spans="1:26" ht="24" customHeight="1" thickBot="1" x14ac:dyDescent="0.3">
      <c r="A11" s="69"/>
      <c r="B11" s="378"/>
      <c r="C11" s="95" t="s">
        <v>17</v>
      </c>
      <c r="D11" s="392">
        <f>MAX(E6:F9)-IF(D6="",E6,D6)-MIN(H6:H9)+$C3</f>
        <v>0.34930555555555554</v>
      </c>
      <c r="E11" s="384"/>
      <c r="F11" s="384"/>
      <c r="G11" s="385"/>
      <c r="H11" s="393">
        <f ca="1">OFFSET(H5,MATCH(MIN(H6:H9),H6:H9,0),-4)-IF(D6="",E6,D6)+$C3</f>
        <v>0.23819444444444446</v>
      </c>
      <c r="I11" s="385"/>
      <c r="J11" s="392">
        <f>MAX(K6:L9)-IF(J6="",K6,J6)-MIN(N6:N9)+$C4</f>
        <v>0.3791666666666666</v>
      </c>
      <c r="K11" s="384"/>
      <c r="L11" s="384"/>
      <c r="M11" s="385"/>
      <c r="N11" s="393">
        <f ca="1">OFFSET(N5,MATCH(MIN(N6:N9),N6:N9,0),-4)-IF(J6="",K6,J6)+$C4</f>
        <v>0.14791666666666659</v>
      </c>
      <c r="O11" s="384"/>
      <c r="P11" s="96">
        <v>0.55208333333333337</v>
      </c>
      <c r="Q11" s="97">
        <f t="shared" si="3"/>
        <v>9.7222222222222265E-2</v>
      </c>
      <c r="R11" s="98"/>
      <c r="S11" s="99"/>
      <c r="T11" s="69"/>
      <c r="U11" s="69"/>
      <c r="V11" s="69"/>
      <c r="W11" s="69"/>
      <c r="X11" s="69"/>
      <c r="Y11" s="69"/>
      <c r="Z11" s="69"/>
    </row>
    <row r="12" spans="1:26" ht="24" customHeight="1" thickBot="1" x14ac:dyDescent="0.3">
      <c r="A12" s="69"/>
      <c r="B12" s="378"/>
      <c r="C12" s="394">
        <v>1.7361111111111112E-2</v>
      </c>
      <c r="D12" s="386" t="s">
        <v>18</v>
      </c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5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24" customHeight="1" thickBot="1" x14ac:dyDescent="0.3">
      <c r="A13" s="69"/>
      <c r="B13" s="378"/>
      <c r="C13" s="395"/>
      <c r="D13" s="386" t="s">
        <v>19</v>
      </c>
      <c r="E13" s="384"/>
      <c r="F13" s="384"/>
      <c r="G13" s="384"/>
      <c r="H13" s="384"/>
      <c r="I13" s="385"/>
      <c r="J13" s="386" t="s">
        <v>20</v>
      </c>
      <c r="K13" s="384"/>
      <c r="L13" s="384"/>
      <c r="M13" s="384"/>
      <c r="N13" s="384"/>
      <c r="O13" s="385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24" customHeight="1" thickBot="1" x14ac:dyDescent="0.3">
      <c r="A14" s="69"/>
      <c r="B14" s="378"/>
      <c r="C14" s="399" t="s">
        <v>7</v>
      </c>
      <c r="D14" s="72" t="s">
        <v>8</v>
      </c>
      <c r="E14" s="73" t="s">
        <v>9</v>
      </c>
      <c r="F14" s="74" t="s">
        <v>10</v>
      </c>
      <c r="G14" s="73" t="s">
        <v>11</v>
      </c>
      <c r="H14" s="74" t="s">
        <v>12</v>
      </c>
      <c r="I14" s="73" t="s">
        <v>13</v>
      </c>
      <c r="J14" s="74" t="s">
        <v>8</v>
      </c>
      <c r="K14" s="73" t="s">
        <v>9</v>
      </c>
      <c r="L14" s="74" t="s">
        <v>10</v>
      </c>
      <c r="M14" s="73" t="s">
        <v>11</v>
      </c>
      <c r="N14" s="74" t="s">
        <v>12</v>
      </c>
      <c r="O14" s="73" t="s">
        <v>13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24" customHeight="1" thickBot="1" x14ac:dyDescent="0.3">
      <c r="A15" s="69"/>
      <c r="B15" s="378"/>
      <c r="C15" s="400"/>
      <c r="D15" s="100">
        <v>0.57986111111111116</v>
      </c>
      <c r="E15" s="89">
        <v>0.64652777777777781</v>
      </c>
      <c r="F15" s="89">
        <v>0.70486111111111116</v>
      </c>
      <c r="G15" s="101">
        <f>F15-D15</f>
        <v>0.125</v>
      </c>
      <c r="H15" s="102">
        <v>302</v>
      </c>
      <c r="I15" s="103">
        <v>1</v>
      </c>
      <c r="J15" s="100">
        <v>0.70833333333333337</v>
      </c>
      <c r="K15" s="89">
        <v>0.79374999999999996</v>
      </c>
      <c r="L15" s="89">
        <v>0.83472222222222225</v>
      </c>
      <c r="M15" s="101">
        <f>L15-J15</f>
        <v>0.12638888888888888</v>
      </c>
      <c r="N15" s="102">
        <v>302</v>
      </c>
      <c r="O15" s="103">
        <v>2</v>
      </c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24" customHeight="1" thickBot="1" x14ac:dyDescent="0.3">
      <c r="A16" s="69"/>
      <c r="B16" s="378"/>
      <c r="C16" s="400"/>
      <c r="D16" s="391">
        <f>IF(F15="",E15,F15)</f>
        <v>0.70486111111111116</v>
      </c>
      <c r="E16" s="385"/>
      <c r="F16" s="391">
        <f>IF(D17="",E17,D17)</f>
        <v>0.75347222222222221</v>
      </c>
      <c r="G16" s="385"/>
      <c r="H16" s="396">
        <f>F16-D16</f>
        <v>4.8611111111111049E-2</v>
      </c>
      <c r="I16" s="385"/>
      <c r="J16" s="391">
        <f>IF(L15="",K15,L15)</f>
        <v>0.83472222222222225</v>
      </c>
      <c r="K16" s="385"/>
      <c r="L16" s="391">
        <f>IF(J17="",K17,J17)</f>
        <v>0.91666666666666663</v>
      </c>
      <c r="M16" s="385"/>
      <c r="N16" s="396">
        <f>L16-J16</f>
        <v>8.1944444444444375E-2</v>
      </c>
      <c r="O16" s="385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" customHeight="1" x14ac:dyDescent="0.25">
      <c r="A17" s="69"/>
      <c r="B17" s="378"/>
      <c r="C17" s="400"/>
      <c r="D17" s="82">
        <v>0.75347222222222221</v>
      </c>
      <c r="E17" s="83">
        <v>0.8256944444444444</v>
      </c>
      <c r="F17" s="83">
        <v>0.86875000000000002</v>
      </c>
      <c r="G17" s="84">
        <f t="shared" ref="G17:G18" si="4">F17-D17</f>
        <v>0.11527777777777781</v>
      </c>
      <c r="H17" s="85">
        <v>302</v>
      </c>
      <c r="I17" s="104">
        <v>1</v>
      </c>
      <c r="J17" s="82">
        <v>0.91666666666666663</v>
      </c>
      <c r="K17" s="83">
        <v>0.96597222222222223</v>
      </c>
      <c r="L17" s="83">
        <v>1</v>
      </c>
      <c r="M17" s="84">
        <f>L17-J17</f>
        <v>8.333333333333337E-2</v>
      </c>
      <c r="N17" s="85">
        <v>302</v>
      </c>
      <c r="O17" s="104">
        <v>2</v>
      </c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24" customHeight="1" thickBot="1" x14ac:dyDescent="0.3">
      <c r="A18" s="69"/>
      <c r="B18" s="378"/>
      <c r="C18" s="400"/>
      <c r="D18" s="82">
        <v>0.88194444444444442</v>
      </c>
      <c r="E18" s="83">
        <v>0.93958333333333333</v>
      </c>
      <c r="F18" s="83">
        <v>0.97777777777777775</v>
      </c>
      <c r="G18" s="84">
        <f t="shared" si="4"/>
        <v>9.5833333333333326E-2</v>
      </c>
      <c r="H18" s="85">
        <v>302</v>
      </c>
      <c r="I18" s="104">
        <v>1</v>
      </c>
      <c r="J18" s="82"/>
      <c r="K18" s="83"/>
      <c r="L18" s="83"/>
      <c r="M18" s="84"/>
      <c r="N18" s="85"/>
      <c r="O18" s="104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24" customHeight="1" thickBot="1" x14ac:dyDescent="0.3">
      <c r="A19" s="93"/>
      <c r="B19" s="378"/>
      <c r="C19" s="395"/>
      <c r="D19" s="397" t="s">
        <v>68</v>
      </c>
      <c r="E19" s="384"/>
      <c r="F19" s="384"/>
      <c r="G19" s="384"/>
      <c r="H19" s="384"/>
      <c r="I19" s="385"/>
      <c r="J19" s="397" t="s">
        <v>68</v>
      </c>
      <c r="K19" s="384"/>
      <c r="L19" s="384"/>
      <c r="M19" s="384"/>
      <c r="N19" s="384"/>
      <c r="O19" s="385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24" customHeight="1" thickBot="1" x14ac:dyDescent="0.3">
      <c r="A20" s="69"/>
      <c r="B20" s="379"/>
      <c r="C20" s="95" t="s">
        <v>17</v>
      </c>
      <c r="D20" s="392">
        <f>MAX(E15:F18)-IF(D15="",E15,D15)-MIN(H15:H18)+$C12</f>
        <v>0.36666666666666664</v>
      </c>
      <c r="E20" s="384"/>
      <c r="F20" s="384"/>
      <c r="G20" s="385"/>
      <c r="H20" s="398">
        <f ca="1">OFFSET(H14,MATCH(MIN(H15:H18),H15:H18,0),-4)-IF(D15="",E15,D15)</f>
        <v>0.125</v>
      </c>
      <c r="I20" s="395"/>
      <c r="J20" s="392">
        <f>MAX(K15:L18)-IF(J15="",K15,J15)-MIN(N15:N18)+$C12</f>
        <v>0.22708333333333336</v>
      </c>
      <c r="K20" s="384"/>
      <c r="L20" s="384"/>
      <c r="M20" s="385"/>
      <c r="N20" s="398">
        <f ca="1">OFFSET(N14,MATCH(MIN(N15:N18),N15:N18,0),-4)-IF(J15="",K15,J15)</f>
        <v>0.12638888888888888</v>
      </c>
      <c r="O20" s="395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4" customHeight="1" thickBot="1" x14ac:dyDescent="0.3">
      <c r="A21" s="69"/>
      <c r="B21" s="105"/>
      <c r="O21" s="105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24" customHeight="1" thickBot="1" x14ac:dyDescent="0.3">
      <c r="B22" s="401" t="s">
        <v>69</v>
      </c>
      <c r="C22" s="402"/>
      <c r="D22" s="402"/>
      <c r="E22" s="402"/>
      <c r="F22" s="402"/>
      <c r="G22" s="402"/>
      <c r="H22" s="402"/>
      <c r="I22" s="402"/>
      <c r="J22" s="402"/>
      <c r="K22" s="402"/>
      <c r="L22" s="402"/>
      <c r="M22" s="402"/>
      <c r="N22" s="402"/>
      <c r="O22" s="403"/>
    </row>
    <row r="26" spans="1:26" ht="24" customHeight="1" thickBot="1" x14ac:dyDescent="0.3"/>
    <row r="27" spans="1:26" ht="24" customHeight="1" thickBot="1" x14ac:dyDescent="0.3">
      <c r="B27" s="404" t="s">
        <v>36</v>
      </c>
      <c r="C27" s="407" t="s">
        <v>70</v>
      </c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9"/>
      <c r="P27" s="320" t="s">
        <v>66</v>
      </c>
      <c r="Q27" s="306"/>
      <c r="R27" s="306"/>
      <c r="S27" s="307"/>
    </row>
    <row r="28" spans="1:26" ht="24" customHeight="1" thickBot="1" x14ac:dyDescent="0.3">
      <c r="B28" s="405"/>
      <c r="C28" s="106">
        <v>6.9444444444444441E-3</v>
      </c>
      <c r="D28" s="410" t="s">
        <v>2</v>
      </c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7"/>
      <c r="P28" s="340" t="s">
        <v>23</v>
      </c>
      <c r="Q28" s="306"/>
      <c r="R28" s="306"/>
      <c r="S28" s="307"/>
    </row>
    <row r="29" spans="1:26" ht="24" customHeight="1" thickBot="1" x14ac:dyDescent="0.3">
      <c r="B29" s="405"/>
      <c r="C29" s="106">
        <v>1.7361111111111112E-2</v>
      </c>
      <c r="D29" s="410" t="s">
        <v>4</v>
      </c>
      <c r="E29" s="306"/>
      <c r="F29" s="306"/>
      <c r="G29" s="306"/>
      <c r="H29" s="306"/>
      <c r="I29" s="307"/>
      <c r="J29" s="410" t="s">
        <v>5</v>
      </c>
      <c r="K29" s="306"/>
      <c r="L29" s="306"/>
      <c r="M29" s="306"/>
      <c r="N29" s="306"/>
      <c r="O29" s="307"/>
      <c r="P29" s="320" t="str">
        <f>CONCATENATE(COUNT(P31:P36,R31:R36)," VIAGENS")</f>
        <v>11 VIAGENS</v>
      </c>
      <c r="Q29" s="306"/>
      <c r="R29" s="306"/>
      <c r="S29" s="307"/>
    </row>
    <row r="30" spans="1:26" ht="24" customHeight="1" thickBot="1" x14ac:dyDescent="0.3">
      <c r="B30" s="405"/>
      <c r="C30" s="411" t="s">
        <v>7</v>
      </c>
      <c r="D30" s="107" t="s">
        <v>8</v>
      </c>
      <c r="E30" s="108" t="s">
        <v>9</v>
      </c>
      <c r="F30" s="109" t="s">
        <v>10</v>
      </c>
      <c r="G30" s="108" t="s">
        <v>11</v>
      </c>
      <c r="H30" s="109" t="s">
        <v>12</v>
      </c>
      <c r="I30" s="108" t="s">
        <v>13</v>
      </c>
      <c r="J30" s="107" t="s">
        <v>8</v>
      </c>
      <c r="K30" s="108" t="s">
        <v>9</v>
      </c>
      <c r="L30" s="109" t="s">
        <v>10</v>
      </c>
      <c r="M30" s="108" t="s">
        <v>11</v>
      </c>
      <c r="N30" s="109" t="s">
        <v>12</v>
      </c>
      <c r="O30" s="108" t="s">
        <v>13</v>
      </c>
      <c r="P30" s="110" t="s">
        <v>14</v>
      </c>
      <c r="Q30" s="111" t="s">
        <v>15</v>
      </c>
      <c r="R30" s="110" t="s">
        <v>14</v>
      </c>
      <c r="S30" s="111" t="s">
        <v>15</v>
      </c>
    </row>
    <row r="31" spans="1:26" ht="24" customHeight="1" thickBot="1" x14ac:dyDescent="0.3">
      <c r="B31" s="405"/>
      <c r="C31" s="412"/>
      <c r="D31" s="112">
        <v>0.1701388888888889</v>
      </c>
      <c r="E31" s="113">
        <v>0.2048611111111111</v>
      </c>
      <c r="F31" s="113">
        <v>0.2673611111111111</v>
      </c>
      <c r="G31" s="114">
        <f t="shared" ref="G31:G32" si="5">F31-D31</f>
        <v>9.722222222222221E-2</v>
      </c>
      <c r="H31" s="115" t="s">
        <v>67</v>
      </c>
      <c r="I31" s="116">
        <v>1</v>
      </c>
      <c r="J31" s="18">
        <v>0.25</v>
      </c>
      <c r="K31" s="19">
        <v>0.31666666666666671</v>
      </c>
      <c r="L31" s="19">
        <v>0.38055555555555548</v>
      </c>
      <c r="M31" s="20">
        <f>L31-J31</f>
        <v>0.13055555555555548</v>
      </c>
      <c r="N31" s="55">
        <v>302</v>
      </c>
      <c r="O31" s="22">
        <v>2</v>
      </c>
      <c r="P31" s="117">
        <v>0.17013888888888887</v>
      </c>
      <c r="Q31" s="118"/>
      <c r="R31" s="119">
        <v>0.57986111111111116</v>
      </c>
      <c r="S31" s="120">
        <f>R31-P36</f>
        <v>2.777777777777779E-2</v>
      </c>
    </row>
    <row r="32" spans="1:26" ht="24" customHeight="1" thickBot="1" x14ac:dyDescent="0.3">
      <c r="B32" s="405"/>
      <c r="C32" s="412"/>
      <c r="D32" s="18">
        <v>0.27777777777777779</v>
      </c>
      <c r="E32" s="19">
        <v>0.34583333333333333</v>
      </c>
      <c r="F32" s="19">
        <v>0.40138888888888891</v>
      </c>
      <c r="G32" s="20">
        <f t="shared" si="5"/>
        <v>0.12361111111111112</v>
      </c>
      <c r="H32" s="55">
        <v>302</v>
      </c>
      <c r="I32" s="22">
        <v>1</v>
      </c>
      <c r="J32" s="417">
        <f>IF(L31="",K31,L31)</f>
        <v>0.38055555555555548</v>
      </c>
      <c r="K32" s="307"/>
      <c r="L32" s="417">
        <f>IF(J33="",K33,J33)</f>
        <v>0.4284722222222222</v>
      </c>
      <c r="M32" s="307"/>
      <c r="N32" s="418">
        <f>L32-J32</f>
        <v>4.7916666666666718E-2</v>
      </c>
      <c r="O32" s="306"/>
      <c r="P32" s="18">
        <v>0.25</v>
      </c>
      <c r="Q32" s="121"/>
      <c r="R32" s="19">
        <v>0.70833333333333337</v>
      </c>
      <c r="S32" s="122">
        <f t="shared" ref="S32:S35" si="6">R32-R31</f>
        <v>0.12847222222222221</v>
      </c>
    </row>
    <row r="33" spans="2:19" ht="24" customHeight="1" thickBot="1" x14ac:dyDescent="0.3">
      <c r="B33" s="405"/>
      <c r="C33" s="412"/>
      <c r="D33" s="417">
        <f>IF(F32="",E32,F32)</f>
        <v>0.40138888888888891</v>
      </c>
      <c r="E33" s="307"/>
      <c r="F33" s="417">
        <f>IF(D34="",E34,D34)</f>
        <v>0.4548611111111111</v>
      </c>
      <c r="G33" s="307"/>
      <c r="H33" s="418">
        <f>F33-D33</f>
        <v>5.3472222222222199E-2</v>
      </c>
      <c r="I33" s="307"/>
      <c r="J33" s="18">
        <v>0.4284722222222222</v>
      </c>
      <c r="K33" s="19">
        <v>0.48958333333333331</v>
      </c>
      <c r="L33" s="19">
        <v>0.54236111111111107</v>
      </c>
      <c r="M33" s="20">
        <f t="shared" ref="M33:M34" si="7">L33-J33</f>
        <v>0.11388888888888887</v>
      </c>
      <c r="N33" s="55">
        <v>302</v>
      </c>
      <c r="O33" s="22">
        <v>2</v>
      </c>
      <c r="P33" s="18">
        <v>0.27777777777777779</v>
      </c>
      <c r="Q33" s="121">
        <f t="shared" ref="Q33:Q36" si="8">P33-P32</f>
        <v>2.777777777777779E-2</v>
      </c>
      <c r="R33" s="19">
        <v>0.75347222222222221</v>
      </c>
      <c r="S33" s="122">
        <f t="shared" si="6"/>
        <v>4.513888888888884E-2</v>
      </c>
    </row>
    <row r="34" spans="2:19" ht="24" customHeight="1" thickBot="1" x14ac:dyDescent="0.3">
      <c r="B34" s="405"/>
      <c r="C34" s="412"/>
      <c r="D34" s="18">
        <v>0.4548611111111111</v>
      </c>
      <c r="E34" s="19">
        <v>0.51944444444444449</v>
      </c>
      <c r="F34" s="19">
        <v>0.56597222222222221</v>
      </c>
      <c r="G34" s="20">
        <f>F34-D34</f>
        <v>0.1111111111111111</v>
      </c>
      <c r="H34" s="55">
        <v>302</v>
      </c>
      <c r="I34" s="22">
        <v>1</v>
      </c>
      <c r="J34" s="18">
        <v>0.55208333333333337</v>
      </c>
      <c r="K34" s="19">
        <v>0.6118055555555556</v>
      </c>
      <c r="L34" s="19">
        <v>0.65972222222222221</v>
      </c>
      <c r="M34" s="20">
        <f t="shared" si="7"/>
        <v>0.10763888888888884</v>
      </c>
      <c r="N34" s="55">
        <v>302</v>
      </c>
      <c r="O34" s="22">
        <v>2</v>
      </c>
      <c r="P34" s="18">
        <v>0.4284722222222222</v>
      </c>
      <c r="Q34" s="121">
        <f t="shared" si="8"/>
        <v>0.15069444444444441</v>
      </c>
      <c r="R34" s="19">
        <v>0.88194444444444442</v>
      </c>
      <c r="S34" s="122">
        <f t="shared" si="6"/>
        <v>0.12847222222222221</v>
      </c>
    </row>
    <row r="35" spans="2:19" ht="24" customHeight="1" thickBot="1" x14ac:dyDescent="0.3">
      <c r="B35" s="405"/>
      <c r="C35" s="413"/>
      <c r="D35" s="414" t="s">
        <v>68</v>
      </c>
      <c r="E35" s="306"/>
      <c r="F35" s="306"/>
      <c r="G35" s="306"/>
      <c r="H35" s="306"/>
      <c r="I35" s="307"/>
      <c r="J35" s="414" t="s">
        <v>68</v>
      </c>
      <c r="K35" s="306"/>
      <c r="L35" s="306"/>
      <c r="M35" s="306"/>
      <c r="N35" s="306"/>
      <c r="O35" s="307"/>
      <c r="P35" s="18">
        <v>0.4548611111111111</v>
      </c>
      <c r="Q35" s="121">
        <f t="shared" si="8"/>
        <v>2.6388888888888906E-2</v>
      </c>
      <c r="R35" s="19">
        <v>0.91666666666666663</v>
      </c>
      <c r="S35" s="122">
        <f t="shared" si="6"/>
        <v>3.472222222222221E-2</v>
      </c>
    </row>
    <row r="36" spans="2:19" ht="24" customHeight="1" thickBot="1" x14ac:dyDescent="0.3">
      <c r="B36" s="405"/>
      <c r="C36" s="123" t="s">
        <v>17</v>
      </c>
      <c r="D36" s="415">
        <f>MAX(E31:F34)-IF(D31="",E31,D31)-MIN(H31:H34)+$C28</f>
        <v>0.34930555555555554</v>
      </c>
      <c r="E36" s="306"/>
      <c r="F36" s="306"/>
      <c r="G36" s="307"/>
      <c r="H36" s="416">
        <f ca="1">OFFSET(H30,MATCH(MIN(H31:H34),H31:H34,0),-4)-IF(D31="",E31,D31)+$C28</f>
        <v>0.23819444444444446</v>
      </c>
      <c r="I36" s="307"/>
      <c r="J36" s="415">
        <f>MAX(K31:L34)-IF(J31="",K31,J31)-MIN(N31:N34)+$C29</f>
        <v>0.3791666666666666</v>
      </c>
      <c r="K36" s="306"/>
      <c r="L36" s="306"/>
      <c r="M36" s="307"/>
      <c r="N36" s="416">
        <f ca="1">OFFSET(N30,MATCH(MIN(N31:N34),N31:N34,0),-4)-IF(J31="",K31,J31)+$C29</f>
        <v>0.14791666666666659</v>
      </c>
      <c r="O36" s="306"/>
      <c r="P36" s="124">
        <v>0.55208333333333337</v>
      </c>
      <c r="Q36" s="125">
        <f t="shared" si="8"/>
        <v>9.7222222222222265E-2</v>
      </c>
      <c r="R36" s="126"/>
      <c r="S36" s="127"/>
    </row>
    <row r="37" spans="2:19" ht="24" customHeight="1" thickBot="1" x14ac:dyDescent="0.3">
      <c r="B37" s="405"/>
      <c r="C37" s="421">
        <v>1.7361111111111112E-2</v>
      </c>
      <c r="D37" s="410" t="s">
        <v>18</v>
      </c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128"/>
      <c r="Q37" s="128"/>
      <c r="R37" s="128"/>
      <c r="S37" s="128"/>
    </row>
    <row r="38" spans="2:19" ht="24" customHeight="1" thickBot="1" x14ac:dyDescent="0.3">
      <c r="B38" s="405"/>
      <c r="C38" s="420"/>
      <c r="D38" s="410" t="s">
        <v>19</v>
      </c>
      <c r="E38" s="306"/>
      <c r="F38" s="306"/>
      <c r="G38" s="306"/>
      <c r="H38" s="306"/>
      <c r="I38" s="307"/>
      <c r="J38" s="410" t="s">
        <v>20</v>
      </c>
      <c r="K38" s="306"/>
      <c r="L38" s="306"/>
      <c r="M38" s="306"/>
      <c r="N38" s="306"/>
      <c r="O38" s="307"/>
      <c r="P38" s="128"/>
      <c r="Q38" s="128"/>
      <c r="R38" s="128"/>
      <c r="S38" s="128"/>
    </row>
    <row r="39" spans="2:19" ht="24" customHeight="1" thickBot="1" x14ac:dyDescent="0.3">
      <c r="B39" s="405"/>
      <c r="C39" s="422" t="s">
        <v>7</v>
      </c>
      <c r="D39" s="107" t="s">
        <v>8</v>
      </c>
      <c r="E39" s="108" t="s">
        <v>9</v>
      </c>
      <c r="F39" s="109" t="s">
        <v>10</v>
      </c>
      <c r="G39" s="108" t="s">
        <v>11</v>
      </c>
      <c r="H39" s="109" t="s">
        <v>12</v>
      </c>
      <c r="I39" s="108" t="s">
        <v>13</v>
      </c>
      <c r="J39" s="109" t="s">
        <v>8</v>
      </c>
      <c r="K39" s="108" t="s">
        <v>9</v>
      </c>
      <c r="L39" s="109" t="s">
        <v>10</v>
      </c>
      <c r="M39" s="108" t="s">
        <v>11</v>
      </c>
      <c r="N39" s="109" t="s">
        <v>12</v>
      </c>
      <c r="O39" s="108" t="s">
        <v>13</v>
      </c>
      <c r="P39" s="128"/>
      <c r="Q39" s="128"/>
      <c r="R39" s="128"/>
      <c r="S39" s="128"/>
    </row>
    <row r="40" spans="2:19" ht="24" customHeight="1" thickBot="1" x14ac:dyDescent="0.3">
      <c r="B40" s="405"/>
      <c r="C40" s="423"/>
      <c r="D40" s="129">
        <v>0.57986111111111116</v>
      </c>
      <c r="E40" s="119">
        <v>0.64652777777777781</v>
      </c>
      <c r="F40" s="119">
        <v>0.70486111111111116</v>
      </c>
      <c r="G40" s="130">
        <f>F40-D40</f>
        <v>0.125</v>
      </c>
      <c r="H40" s="131">
        <v>302</v>
      </c>
      <c r="I40" s="132">
        <v>1</v>
      </c>
      <c r="J40" s="129">
        <v>0.70833333333333337</v>
      </c>
      <c r="K40" s="119">
        <v>0.79374999999999996</v>
      </c>
      <c r="L40" s="119">
        <v>0.83472222222222225</v>
      </c>
      <c r="M40" s="130">
        <f>L40-J40</f>
        <v>0.12638888888888888</v>
      </c>
      <c r="N40" s="131">
        <v>302</v>
      </c>
      <c r="O40" s="132">
        <v>2</v>
      </c>
      <c r="P40" s="128"/>
      <c r="Q40" s="128"/>
      <c r="R40" s="128"/>
      <c r="S40" s="128"/>
    </row>
    <row r="41" spans="2:19" ht="24" customHeight="1" thickBot="1" x14ac:dyDescent="0.3">
      <c r="B41" s="405"/>
      <c r="C41" s="423"/>
      <c r="D41" s="417">
        <f>IF(F40="",E40,F40)</f>
        <v>0.70486111111111116</v>
      </c>
      <c r="E41" s="307"/>
      <c r="F41" s="417">
        <f>IF(D42="",E42,D42)</f>
        <v>0.75347222222222221</v>
      </c>
      <c r="G41" s="307"/>
      <c r="H41" s="418">
        <f>F41-D41</f>
        <v>4.8611111111111049E-2</v>
      </c>
      <c r="I41" s="307"/>
      <c r="J41" s="417">
        <f>IF(L40="",K40,L40)</f>
        <v>0.83472222222222225</v>
      </c>
      <c r="K41" s="307"/>
      <c r="L41" s="417">
        <f>IF(J42="",K42,J42)</f>
        <v>0.91666666666666663</v>
      </c>
      <c r="M41" s="307"/>
      <c r="N41" s="418">
        <f>L41-J41</f>
        <v>8.1944444444444375E-2</v>
      </c>
      <c r="O41" s="307"/>
      <c r="P41" s="128"/>
      <c r="Q41" s="128"/>
      <c r="R41" s="128"/>
      <c r="S41" s="128"/>
    </row>
    <row r="42" spans="2:19" ht="24" customHeight="1" x14ac:dyDescent="0.25">
      <c r="B42" s="405"/>
      <c r="C42" s="423"/>
      <c r="D42" s="18">
        <v>0.75347222222222221</v>
      </c>
      <c r="E42" s="19">
        <v>0.8256944444444444</v>
      </c>
      <c r="F42" s="19">
        <v>0.86875000000000002</v>
      </c>
      <c r="G42" s="20">
        <f t="shared" ref="G42:G43" si="9">F42-D42</f>
        <v>0.11527777777777781</v>
      </c>
      <c r="H42" s="55">
        <v>302</v>
      </c>
      <c r="I42" s="133">
        <v>1</v>
      </c>
      <c r="J42" s="18">
        <v>0.91666666666666663</v>
      </c>
      <c r="K42" s="19">
        <v>0.96597222222222223</v>
      </c>
      <c r="L42" s="19">
        <v>1</v>
      </c>
      <c r="M42" s="20">
        <f>L42-J42</f>
        <v>8.333333333333337E-2</v>
      </c>
      <c r="N42" s="55">
        <v>302</v>
      </c>
      <c r="O42" s="133">
        <v>2</v>
      </c>
      <c r="P42" s="128"/>
      <c r="Q42" s="128"/>
      <c r="R42" s="128"/>
      <c r="S42" s="128"/>
    </row>
    <row r="43" spans="2:19" ht="24" customHeight="1" thickBot="1" x14ac:dyDescent="0.3">
      <c r="B43" s="405"/>
      <c r="C43" s="423"/>
      <c r="D43" s="18">
        <v>0.88194444444444442</v>
      </c>
      <c r="E43" s="19">
        <v>0.93958333333333333</v>
      </c>
      <c r="F43" s="19">
        <v>0.97777777777777775</v>
      </c>
      <c r="G43" s="20">
        <f t="shared" si="9"/>
        <v>9.5833333333333326E-2</v>
      </c>
      <c r="H43" s="55">
        <v>302</v>
      </c>
      <c r="I43" s="133">
        <v>1</v>
      </c>
      <c r="J43" s="18"/>
      <c r="K43" s="19"/>
      <c r="L43" s="19"/>
      <c r="M43" s="20"/>
      <c r="N43" s="55"/>
      <c r="O43" s="133"/>
      <c r="P43" s="128"/>
      <c r="Q43" s="128"/>
      <c r="R43" s="128"/>
      <c r="S43" s="128"/>
    </row>
    <row r="44" spans="2:19" ht="24" customHeight="1" thickBot="1" x14ac:dyDescent="0.3">
      <c r="B44" s="405"/>
      <c r="C44" s="420"/>
      <c r="D44" s="414" t="s">
        <v>68</v>
      </c>
      <c r="E44" s="306"/>
      <c r="F44" s="306"/>
      <c r="G44" s="306"/>
      <c r="H44" s="306"/>
      <c r="I44" s="307"/>
      <c r="J44" s="414" t="s">
        <v>68</v>
      </c>
      <c r="K44" s="306"/>
      <c r="L44" s="306"/>
      <c r="M44" s="306"/>
      <c r="N44" s="306"/>
      <c r="O44" s="307"/>
      <c r="P44" s="128"/>
      <c r="Q44" s="128"/>
      <c r="R44" s="128"/>
      <c r="S44" s="128"/>
    </row>
    <row r="45" spans="2:19" ht="24" customHeight="1" thickBot="1" x14ac:dyDescent="0.3">
      <c r="B45" s="406"/>
      <c r="C45" s="123" t="s">
        <v>17</v>
      </c>
      <c r="D45" s="415">
        <f>MAX(E40:F43)-IF(D40="",E40,D40)-MIN(H40:H43)+$C37</f>
        <v>0.36666666666666664</v>
      </c>
      <c r="E45" s="306"/>
      <c r="F45" s="306"/>
      <c r="G45" s="307"/>
      <c r="H45" s="419">
        <f ca="1">OFFSET(H39,MATCH(MIN(H40:H43),H40:H43,0),-4)-IF(D40="",E40,D40)</f>
        <v>0.125</v>
      </c>
      <c r="I45" s="420"/>
      <c r="J45" s="415">
        <f>MAX(K40:L43)-IF(J40="",K40,J40)-MIN(N40:N43)+$C37</f>
        <v>0.22708333333333336</v>
      </c>
      <c r="K45" s="306"/>
      <c r="L45" s="306"/>
      <c r="M45" s="307"/>
      <c r="N45" s="419">
        <f ca="1">OFFSET(N39,MATCH(MIN(N40:N43),N40:N43,0),-4)-IF(J40="",K40,J40)</f>
        <v>0.12638888888888888</v>
      </c>
      <c r="O45" s="420"/>
      <c r="P45" s="128"/>
      <c r="Q45" s="128"/>
      <c r="R45" s="128"/>
      <c r="S45" s="128"/>
    </row>
    <row r="49" spans="2:19" ht="24" customHeight="1" thickBot="1" x14ac:dyDescent="0.3"/>
    <row r="50" spans="2:19" ht="24" customHeight="1" thickBot="1" x14ac:dyDescent="0.3">
      <c r="B50" s="404" t="s">
        <v>38</v>
      </c>
      <c r="C50" s="407" t="s">
        <v>71</v>
      </c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9"/>
      <c r="P50" s="320" t="s">
        <v>66</v>
      </c>
      <c r="Q50" s="306"/>
      <c r="R50" s="306"/>
      <c r="S50" s="307"/>
    </row>
    <row r="51" spans="2:19" ht="24" customHeight="1" thickBot="1" x14ac:dyDescent="0.3">
      <c r="B51" s="405"/>
      <c r="C51" s="106">
        <v>6.9444444444444441E-3</v>
      </c>
      <c r="D51" s="410" t="s">
        <v>2</v>
      </c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340" t="s">
        <v>25</v>
      </c>
      <c r="Q51" s="306"/>
      <c r="R51" s="306"/>
      <c r="S51" s="307"/>
    </row>
    <row r="52" spans="2:19" ht="24" customHeight="1" thickBot="1" x14ac:dyDescent="0.3">
      <c r="B52" s="405"/>
      <c r="C52" s="106">
        <v>1.7361111111111112E-2</v>
      </c>
      <c r="D52" s="410" t="s">
        <v>4</v>
      </c>
      <c r="E52" s="306"/>
      <c r="F52" s="306"/>
      <c r="G52" s="306"/>
      <c r="H52" s="306"/>
      <c r="I52" s="307"/>
      <c r="J52" s="410" t="s">
        <v>5</v>
      </c>
      <c r="K52" s="306"/>
      <c r="L52" s="306"/>
      <c r="M52" s="306"/>
      <c r="N52" s="306"/>
      <c r="O52" s="307"/>
      <c r="P52" s="320" t="str">
        <f>CONCATENATE(COUNT(P54:P59,R54:R59)," VIAGENS")</f>
        <v>11 VIAGENS</v>
      </c>
      <c r="Q52" s="306"/>
      <c r="R52" s="306"/>
      <c r="S52" s="307"/>
    </row>
    <row r="53" spans="2:19" ht="24" customHeight="1" thickBot="1" x14ac:dyDescent="0.3">
      <c r="B53" s="405"/>
      <c r="C53" s="411" t="s">
        <v>7</v>
      </c>
      <c r="D53" s="107" t="s">
        <v>8</v>
      </c>
      <c r="E53" s="108" t="s">
        <v>9</v>
      </c>
      <c r="F53" s="109" t="s">
        <v>10</v>
      </c>
      <c r="G53" s="108" t="s">
        <v>11</v>
      </c>
      <c r="H53" s="109" t="s">
        <v>12</v>
      </c>
      <c r="I53" s="108" t="s">
        <v>13</v>
      </c>
      <c r="J53" s="107" t="s">
        <v>8</v>
      </c>
      <c r="K53" s="108" t="s">
        <v>9</v>
      </c>
      <c r="L53" s="109" t="s">
        <v>10</v>
      </c>
      <c r="M53" s="108" t="s">
        <v>11</v>
      </c>
      <c r="N53" s="109" t="s">
        <v>12</v>
      </c>
      <c r="O53" s="108" t="s">
        <v>13</v>
      </c>
      <c r="P53" s="110" t="s">
        <v>14</v>
      </c>
      <c r="Q53" s="111" t="s">
        <v>15</v>
      </c>
      <c r="R53" s="110" t="s">
        <v>14</v>
      </c>
      <c r="S53" s="111" t="s">
        <v>15</v>
      </c>
    </row>
    <row r="54" spans="2:19" ht="24" customHeight="1" thickBot="1" x14ac:dyDescent="0.3">
      <c r="B54" s="405"/>
      <c r="C54" s="412"/>
      <c r="D54" s="112">
        <v>0.1701388888888889</v>
      </c>
      <c r="E54" s="113">
        <v>0.2048611111111111</v>
      </c>
      <c r="F54" s="113">
        <v>0.2673611111111111</v>
      </c>
      <c r="G54" s="114">
        <f t="shared" ref="G54:G55" si="10">F54-D54</f>
        <v>9.722222222222221E-2</v>
      </c>
      <c r="H54" s="115" t="s">
        <v>67</v>
      </c>
      <c r="I54" s="116">
        <v>1</v>
      </c>
      <c r="J54" s="18">
        <v>0.25</v>
      </c>
      <c r="K54" s="19">
        <v>0.31666666666666671</v>
      </c>
      <c r="L54" s="19">
        <v>0.38055555555555548</v>
      </c>
      <c r="M54" s="20">
        <f>L54-J54</f>
        <v>0.13055555555555548</v>
      </c>
      <c r="N54" s="55">
        <v>302</v>
      </c>
      <c r="O54" s="22">
        <v>2</v>
      </c>
      <c r="P54" s="117">
        <v>0.17013888888888887</v>
      </c>
      <c r="Q54" s="118"/>
      <c r="R54" s="119">
        <v>0.57986111111111116</v>
      </c>
      <c r="S54" s="120">
        <f>R54-P59</f>
        <v>2.777777777777779E-2</v>
      </c>
    </row>
    <row r="55" spans="2:19" ht="24" customHeight="1" thickBot="1" x14ac:dyDescent="0.3">
      <c r="B55" s="405"/>
      <c r="C55" s="412"/>
      <c r="D55" s="18">
        <v>0.27777777777777779</v>
      </c>
      <c r="E55" s="19">
        <v>0.34583333333333333</v>
      </c>
      <c r="F55" s="19">
        <v>0.40138888888888891</v>
      </c>
      <c r="G55" s="20">
        <f t="shared" si="10"/>
        <v>0.12361111111111112</v>
      </c>
      <c r="H55" s="55">
        <v>302</v>
      </c>
      <c r="I55" s="22">
        <v>1</v>
      </c>
      <c r="J55" s="417">
        <f>IF(L54="",K54,L54)</f>
        <v>0.38055555555555548</v>
      </c>
      <c r="K55" s="307"/>
      <c r="L55" s="417">
        <f>IF(J56="",K56,J56)</f>
        <v>0.4284722222222222</v>
      </c>
      <c r="M55" s="307"/>
      <c r="N55" s="418">
        <f>L55-J55</f>
        <v>4.7916666666666718E-2</v>
      </c>
      <c r="O55" s="306"/>
      <c r="P55" s="18">
        <v>0.25</v>
      </c>
      <c r="Q55" s="121"/>
      <c r="R55" s="19">
        <v>0.70833333333333337</v>
      </c>
      <c r="S55" s="122">
        <f t="shared" ref="S55:S58" si="11">R55-R54</f>
        <v>0.12847222222222221</v>
      </c>
    </row>
    <row r="56" spans="2:19" ht="24" customHeight="1" thickBot="1" x14ac:dyDescent="0.3">
      <c r="B56" s="405"/>
      <c r="C56" s="412"/>
      <c r="D56" s="417">
        <f>IF(F55="",E55,F55)</f>
        <v>0.40138888888888891</v>
      </c>
      <c r="E56" s="307"/>
      <c r="F56" s="417">
        <f>IF(D57="",E57,D57)</f>
        <v>0.4548611111111111</v>
      </c>
      <c r="G56" s="307"/>
      <c r="H56" s="418">
        <f>F56-D56</f>
        <v>5.3472222222222199E-2</v>
      </c>
      <c r="I56" s="307"/>
      <c r="J56" s="18">
        <v>0.4284722222222222</v>
      </c>
      <c r="K56" s="19">
        <v>0.48958333333333331</v>
      </c>
      <c r="L56" s="19">
        <v>0.54236111111111107</v>
      </c>
      <c r="M56" s="20">
        <f t="shared" ref="M56:M57" si="12">L56-J56</f>
        <v>0.11388888888888887</v>
      </c>
      <c r="N56" s="55">
        <v>302</v>
      </c>
      <c r="O56" s="22">
        <v>2</v>
      </c>
      <c r="P56" s="18">
        <v>0.27777777777777779</v>
      </c>
      <c r="Q56" s="121">
        <f t="shared" ref="Q56:Q59" si="13">P56-P55</f>
        <v>2.777777777777779E-2</v>
      </c>
      <c r="R56" s="19">
        <v>0.75347222222222221</v>
      </c>
      <c r="S56" s="122">
        <f t="shared" si="11"/>
        <v>4.513888888888884E-2</v>
      </c>
    </row>
    <row r="57" spans="2:19" ht="24" customHeight="1" thickBot="1" x14ac:dyDescent="0.3">
      <c r="B57" s="405"/>
      <c r="C57" s="412"/>
      <c r="D57" s="18">
        <v>0.4548611111111111</v>
      </c>
      <c r="E57" s="19">
        <v>0.51944444444444449</v>
      </c>
      <c r="F57" s="19">
        <v>0.56597222222222221</v>
      </c>
      <c r="G57" s="20">
        <f>F57-D57</f>
        <v>0.1111111111111111</v>
      </c>
      <c r="H57" s="55">
        <v>302</v>
      </c>
      <c r="I57" s="22">
        <v>1</v>
      </c>
      <c r="J57" s="18">
        <v>0.55208333333333337</v>
      </c>
      <c r="K57" s="19">
        <v>0.6118055555555556</v>
      </c>
      <c r="L57" s="19">
        <v>0.65972222222222221</v>
      </c>
      <c r="M57" s="20">
        <f t="shared" si="12"/>
        <v>0.10763888888888884</v>
      </c>
      <c r="N57" s="55">
        <v>302</v>
      </c>
      <c r="O57" s="22">
        <v>2</v>
      </c>
      <c r="P57" s="18">
        <v>0.4284722222222222</v>
      </c>
      <c r="Q57" s="121">
        <f t="shared" si="13"/>
        <v>0.15069444444444441</v>
      </c>
      <c r="R57" s="19">
        <v>0.88194444444444442</v>
      </c>
      <c r="S57" s="122">
        <f t="shared" si="11"/>
        <v>0.12847222222222221</v>
      </c>
    </row>
    <row r="58" spans="2:19" ht="24" customHeight="1" thickBot="1" x14ac:dyDescent="0.3">
      <c r="B58" s="405"/>
      <c r="C58" s="413"/>
      <c r="D58" s="414" t="s">
        <v>68</v>
      </c>
      <c r="E58" s="306"/>
      <c r="F58" s="306"/>
      <c r="G58" s="306"/>
      <c r="H58" s="306"/>
      <c r="I58" s="307"/>
      <c r="J58" s="414" t="s">
        <v>68</v>
      </c>
      <c r="K58" s="306"/>
      <c r="L58" s="306"/>
      <c r="M58" s="306"/>
      <c r="N58" s="306"/>
      <c r="O58" s="307"/>
      <c r="P58" s="18">
        <v>0.4548611111111111</v>
      </c>
      <c r="Q58" s="121">
        <f t="shared" si="13"/>
        <v>2.6388888888888906E-2</v>
      </c>
      <c r="R58" s="19">
        <v>0.91666666666666663</v>
      </c>
      <c r="S58" s="122">
        <f t="shared" si="11"/>
        <v>3.472222222222221E-2</v>
      </c>
    </row>
    <row r="59" spans="2:19" ht="24" customHeight="1" thickBot="1" x14ac:dyDescent="0.3">
      <c r="B59" s="405"/>
      <c r="C59" s="123" t="s">
        <v>17</v>
      </c>
      <c r="D59" s="415">
        <f>MAX(E54:F57)-IF(D54="",E54,D54)-MIN(H54:H57)+$C51</f>
        <v>0.34930555555555554</v>
      </c>
      <c r="E59" s="306"/>
      <c r="F59" s="306"/>
      <c r="G59" s="307"/>
      <c r="H59" s="416">
        <f ca="1">OFFSET(H53,MATCH(MIN(H54:H57),H54:H57,0),-4)-IF(D54="",E54,D54)+$C51</f>
        <v>0.23819444444444446</v>
      </c>
      <c r="I59" s="307"/>
      <c r="J59" s="415">
        <f>MAX(K54:L57)-IF(J54="",K54,J54)-MIN(N54:N57)+$C52</f>
        <v>0.3791666666666666</v>
      </c>
      <c r="K59" s="306"/>
      <c r="L59" s="306"/>
      <c r="M59" s="307"/>
      <c r="N59" s="416">
        <f ca="1">OFFSET(N53,MATCH(MIN(N54:N57),N54:N57,0),-4)-IF(J54="",K54,J54)+$C52</f>
        <v>0.14791666666666659</v>
      </c>
      <c r="O59" s="306"/>
      <c r="P59" s="124">
        <v>0.55208333333333337</v>
      </c>
      <c r="Q59" s="125">
        <f t="shared" si="13"/>
        <v>9.7222222222222265E-2</v>
      </c>
      <c r="R59" s="126"/>
      <c r="S59" s="127"/>
    </row>
    <row r="60" spans="2:19" ht="24" customHeight="1" thickBot="1" x14ac:dyDescent="0.3">
      <c r="B60" s="405"/>
      <c r="C60" s="421">
        <v>1.7361111111111112E-2</v>
      </c>
      <c r="D60" s="410" t="s">
        <v>18</v>
      </c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7"/>
      <c r="P60" s="128"/>
      <c r="Q60" s="128"/>
      <c r="R60" s="128"/>
      <c r="S60" s="128"/>
    </row>
    <row r="61" spans="2:19" ht="24" customHeight="1" thickBot="1" x14ac:dyDescent="0.3">
      <c r="B61" s="405"/>
      <c r="C61" s="420"/>
      <c r="D61" s="410" t="s">
        <v>19</v>
      </c>
      <c r="E61" s="306"/>
      <c r="F61" s="306"/>
      <c r="G61" s="306"/>
      <c r="H61" s="306"/>
      <c r="I61" s="307"/>
      <c r="J61" s="410" t="s">
        <v>20</v>
      </c>
      <c r="K61" s="306"/>
      <c r="L61" s="306"/>
      <c r="M61" s="306"/>
      <c r="N61" s="306"/>
      <c r="O61" s="307"/>
      <c r="P61" s="128"/>
      <c r="Q61" s="128"/>
      <c r="R61" s="128"/>
      <c r="S61" s="128"/>
    </row>
    <row r="62" spans="2:19" ht="24" customHeight="1" thickBot="1" x14ac:dyDescent="0.3">
      <c r="B62" s="405"/>
      <c r="C62" s="422" t="s">
        <v>7</v>
      </c>
      <c r="D62" s="107" t="s">
        <v>8</v>
      </c>
      <c r="E62" s="108" t="s">
        <v>9</v>
      </c>
      <c r="F62" s="109" t="s">
        <v>10</v>
      </c>
      <c r="G62" s="108" t="s">
        <v>11</v>
      </c>
      <c r="H62" s="109" t="s">
        <v>12</v>
      </c>
      <c r="I62" s="108" t="s">
        <v>13</v>
      </c>
      <c r="J62" s="109" t="s">
        <v>8</v>
      </c>
      <c r="K62" s="108" t="s">
        <v>9</v>
      </c>
      <c r="L62" s="109" t="s">
        <v>10</v>
      </c>
      <c r="M62" s="108" t="s">
        <v>11</v>
      </c>
      <c r="N62" s="109" t="s">
        <v>12</v>
      </c>
      <c r="O62" s="108" t="s">
        <v>13</v>
      </c>
      <c r="P62" s="128"/>
      <c r="Q62" s="128"/>
      <c r="R62" s="128"/>
      <c r="S62" s="128"/>
    </row>
    <row r="63" spans="2:19" ht="24" customHeight="1" thickBot="1" x14ac:dyDescent="0.3">
      <c r="B63" s="405"/>
      <c r="C63" s="423"/>
      <c r="D63" s="129">
        <v>0.57986111111111116</v>
      </c>
      <c r="E63" s="119">
        <v>0.64652777777777781</v>
      </c>
      <c r="F63" s="119">
        <v>0.70486111111111116</v>
      </c>
      <c r="G63" s="130">
        <f>F63-D63</f>
        <v>0.125</v>
      </c>
      <c r="H63" s="131">
        <v>302</v>
      </c>
      <c r="I63" s="132">
        <v>1</v>
      </c>
      <c r="J63" s="129">
        <v>0.70833333333333337</v>
      </c>
      <c r="K63" s="119">
        <v>0.79374999999999996</v>
      </c>
      <c r="L63" s="119">
        <v>0.83472222222222225</v>
      </c>
      <c r="M63" s="130">
        <f>L63-J63</f>
        <v>0.12638888888888888</v>
      </c>
      <c r="N63" s="131">
        <v>302</v>
      </c>
      <c r="O63" s="132">
        <v>2</v>
      </c>
      <c r="P63" s="128"/>
      <c r="Q63" s="128"/>
      <c r="R63" s="128"/>
      <c r="S63" s="128"/>
    </row>
    <row r="64" spans="2:19" ht="24" customHeight="1" thickBot="1" x14ac:dyDescent="0.3">
      <c r="B64" s="405"/>
      <c r="C64" s="423"/>
      <c r="D64" s="417">
        <f>IF(F63="",E63,F63)</f>
        <v>0.70486111111111116</v>
      </c>
      <c r="E64" s="307"/>
      <c r="F64" s="417">
        <f>IF(D65="",E65,D65)</f>
        <v>0.75347222222222221</v>
      </c>
      <c r="G64" s="307"/>
      <c r="H64" s="418">
        <f>F64-D64</f>
        <v>4.8611111111111049E-2</v>
      </c>
      <c r="I64" s="307"/>
      <c r="J64" s="417">
        <f>IF(L63="",K63,L63)</f>
        <v>0.83472222222222225</v>
      </c>
      <c r="K64" s="307"/>
      <c r="L64" s="417">
        <f>IF(J65="",K65,J65)</f>
        <v>0.91666666666666663</v>
      </c>
      <c r="M64" s="307"/>
      <c r="N64" s="418">
        <f>L64-J64</f>
        <v>8.1944444444444375E-2</v>
      </c>
      <c r="O64" s="307"/>
      <c r="P64" s="128"/>
      <c r="Q64" s="128"/>
      <c r="R64" s="128"/>
      <c r="S64" s="128"/>
    </row>
    <row r="65" spans="2:19" ht="24" customHeight="1" x14ac:dyDescent="0.25">
      <c r="B65" s="405"/>
      <c r="C65" s="423"/>
      <c r="D65" s="18">
        <v>0.75347222222222221</v>
      </c>
      <c r="E65" s="19">
        <v>0.8256944444444444</v>
      </c>
      <c r="F65" s="19">
        <v>0.86875000000000002</v>
      </c>
      <c r="G65" s="20">
        <f t="shared" ref="G65:G66" si="14">F65-D65</f>
        <v>0.11527777777777781</v>
      </c>
      <c r="H65" s="55">
        <v>302</v>
      </c>
      <c r="I65" s="133">
        <v>1</v>
      </c>
      <c r="J65" s="18">
        <v>0.91666666666666663</v>
      </c>
      <c r="K65" s="19">
        <v>0.96597222222222223</v>
      </c>
      <c r="L65" s="19">
        <v>1</v>
      </c>
      <c r="M65" s="20">
        <f>L65-J65</f>
        <v>8.333333333333337E-2</v>
      </c>
      <c r="N65" s="55">
        <v>302</v>
      </c>
      <c r="O65" s="133">
        <v>2</v>
      </c>
      <c r="P65" s="128"/>
      <c r="Q65" s="128"/>
      <c r="R65" s="128"/>
      <c r="S65" s="128"/>
    </row>
    <row r="66" spans="2:19" ht="24" customHeight="1" thickBot="1" x14ac:dyDescent="0.3">
      <c r="B66" s="405"/>
      <c r="C66" s="423"/>
      <c r="D66" s="18">
        <v>0.88194444444444442</v>
      </c>
      <c r="E66" s="19">
        <v>0.93958333333333333</v>
      </c>
      <c r="F66" s="19">
        <v>0.97777777777777775</v>
      </c>
      <c r="G66" s="20">
        <f t="shared" si="14"/>
        <v>9.5833333333333326E-2</v>
      </c>
      <c r="H66" s="55">
        <v>302</v>
      </c>
      <c r="I66" s="133">
        <v>1</v>
      </c>
      <c r="J66" s="18"/>
      <c r="K66" s="19"/>
      <c r="L66" s="19"/>
      <c r="M66" s="20"/>
      <c r="N66" s="55"/>
      <c r="O66" s="133"/>
      <c r="P66" s="128"/>
      <c r="Q66" s="128"/>
      <c r="R66" s="128"/>
      <c r="S66" s="128"/>
    </row>
    <row r="67" spans="2:19" ht="24" customHeight="1" thickBot="1" x14ac:dyDescent="0.3">
      <c r="B67" s="405"/>
      <c r="C67" s="420"/>
      <c r="D67" s="414" t="s">
        <v>68</v>
      </c>
      <c r="E67" s="306"/>
      <c r="F67" s="306"/>
      <c r="G67" s="306"/>
      <c r="H67" s="306"/>
      <c r="I67" s="307"/>
      <c r="J67" s="414" t="s">
        <v>68</v>
      </c>
      <c r="K67" s="306"/>
      <c r="L67" s="306"/>
      <c r="M67" s="306"/>
      <c r="N67" s="306"/>
      <c r="O67" s="307"/>
      <c r="P67" s="128"/>
      <c r="Q67" s="128"/>
      <c r="R67" s="128"/>
      <c r="S67" s="128"/>
    </row>
    <row r="68" spans="2:19" ht="24" customHeight="1" thickBot="1" x14ac:dyDescent="0.3">
      <c r="B68" s="406"/>
      <c r="C68" s="123" t="s">
        <v>17</v>
      </c>
      <c r="D68" s="415">
        <f>MAX(E63:F66)-IF(D63="",E63,D63)-MIN(H63:H66)+$C60</f>
        <v>0.36666666666666664</v>
      </c>
      <c r="E68" s="306"/>
      <c r="F68" s="306"/>
      <c r="G68" s="307"/>
      <c r="H68" s="419">
        <f ca="1">OFFSET(H62,MATCH(MIN(H63:H66),H63:H66,0),-4)-IF(D63="",E63,D63)</f>
        <v>0.125</v>
      </c>
      <c r="I68" s="420"/>
      <c r="J68" s="415">
        <f>MAX(K63:L66)-IF(J63="",K63,J63)-MIN(N63:N66)+$C60</f>
        <v>0.22708333333333336</v>
      </c>
      <c r="K68" s="306"/>
      <c r="L68" s="306"/>
      <c r="M68" s="307"/>
      <c r="N68" s="419">
        <f ca="1">OFFSET(N62,MATCH(MIN(N63:N66),N63:N66,0),-4)-IF(J63="",K63,J63)</f>
        <v>0.12638888888888888</v>
      </c>
      <c r="O68" s="420"/>
      <c r="P68" s="128"/>
      <c r="Q68" s="128"/>
      <c r="R68" s="128"/>
      <c r="S68" s="128"/>
    </row>
  </sheetData>
  <mergeCells count="115">
    <mergeCell ref="J58:O58"/>
    <mergeCell ref="N64:O64"/>
    <mergeCell ref="D67:I67"/>
    <mergeCell ref="J67:O67"/>
    <mergeCell ref="D68:G68"/>
    <mergeCell ref="H68:I68"/>
    <mergeCell ref="J68:M68"/>
    <mergeCell ref="N68:O68"/>
    <mergeCell ref="C62:C67"/>
    <mergeCell ref="D64:E64"/>
    <mergeCell ref="F64:G64"/>
    <mergeCell ref="H64:I64"/>
    <mergeCell ref="J64:K64"/>
    <mergeCell ref="L64:M64"/>
    <mergeCell ref="B50:B68"/>
    <mergeCell ref="C50:O50"/>
    <mergeCell ref="P50:S50"/>
    <mergeCell ref="D51:O51"/>
    <mergeCell ref="P51:S51"/>
    <mergeCell ref="D52:I52"/>
    <mergeCell ref="J52:O52"/>
    <mergeCell ref="P52:S52"/>
    <mergeCell ref="C53:C58"/>
    <mergeCell ref="J55:K55"/>
    <mergeCell ref="D59:G59"/>
    <mergeCell ref="H59:I59"/>
    <mergeCell ref="J59:M59"/>
    <mergeCell ref="N59:O59"/>
    <mergeCell ref="C60:C61"/>
    <mergeCell ref="D60:O60"/>
    <mergeCell ref="D61:I61"/>
    <mergeCell ref="J61:O61"/>
    <mergeCell ref="L55:M55"/>
    <mergeCell ref="N55:O55"/>
    <mergeCell ref="D56:E56"/>
    <mergeCell ref="F56:G56"/>
    <mergeCell ref="H56:I56"/>
    <mergeCell ref="D58:I58"/>
    <mergeCell ref="J44:O44"/>
    <mergeCell ref="D45:G45"/>
    <mergeCell ref="H45:I45"/>
    <mergeCell ref="J45:M45"/>
    <mergeCell ref="N45:O45"/>
    <mergeCell ref="C37:C38"/>
    <mergeCell ref="D37:O37"/>
    <mergeCell ref="D38:I38"/>
    <mergeCell ref="J38:O38"/>
    <mergeCell ref="C39:C44"/>
    <mergeCell ref="D41:E41"/>
    <mergeCell ref="F41:G41"/>
    <mergeCell ref="H41:I41"/>
    <mergeCell ref="J41:K41"/>
    <mergeCell ref="L41:M41"/>
    <mergeCell ref="B22:O22"/>
    <mergeCell ref="B27:B45"/>
    <mergeCell ref="C27:O27"/>
    <mergeCell ref="P27:S27"/>
    <mergeCell ref="D28:O28"/>
    <mergeCell ref="P28:S28"/>
    <mergeCell ref="D29:I29"/>
    <mergeCell ref="J29:O29"/>
    <mergeCell ref="P29:S29"/>
    <mergeCell ref="C30:C35"/>
    <mergeCell ref="D35:I35"/>
    <mergeCell ref="J35:O35"/>
    <mergeCell ref="D36:G36"/>
    <mergeCell ref="H36:I36"/>
    <mergeCell ref="J36:M36"/>
    <mergeCell ref="N36:O36"/>
    <mergeCell ref="J32:K32"/>
    <mergeCell ref="L32:M32"/>
    <mergeCell ref="N32:O32"/>
    <mergeCell ref="D33:E33"/>
    <mergeCell ref="F33:G33"/>
    <mergeCell ref="H33:I33"/>
    <mergeCell ref="N41:O41"/>
    <mergeCell ref="D44:I44"/>
    <mergeCell ref="J10:O10"/>
    <mergeCell ref="N16:O16"/>
    <mergeCell ref="D19:I19"/>
    <mergeCell ref="J19:O19"/>
    <mergeCell ref="D20:G20"/>
    <mergeCell ref="H20:I20"/>
    <mergeCell ref="J20:M20"/>
    <mergeCell ref="N20:O20"/>
    <mergeCell ref="C14:C19"/>
    <mergeCell ref="D16:E16"/>
    <mergeCell ref="F16:G16"/>
    <mergeCell ref="H16:I16"/>
    <mergeCell ref="J16:K16"/>
    <mergeCell ref="L16:M16"/>
    <mergeCell ref="B2:B20"/>
    <mergeCell ref="C2:O2"/>
    <mergeCell ref="P2:S2"/>
    <mergeCell ref="D3:O3"/>
    <mergeCell ref="P3:S3"/>
    <mergeCell ref="D4:I4"/>
    <mergeCell ref="J4:O4"/>
    <mergeCell ref="P4:S4"/>
    <mergeCell ref="C5:C10"/>
    <mergeCell ref="J7:K7"/>
    <mergeCell ref="D11:G11"/>
    <mergeCell ref="H11:I11"/>
    <mergeCell ref="J11:M11"/>
    <mergeCell ref="N11:O11"/>
    <mergeCell ref="C12:C13"/>
    <mergeCell ref="D12:O12"/>
    <mergeCell ref="D13:I13"/>
    <mergeCell ref="J13:O13"/>
    <mergeCell ref="L7:M7"/>
    <mergeCell ref="N7:O7"/>
    <mergeCell ref="D8:E8"/>
    <mergeCell ref="F8:G8"/>
    <mergeCell ref="H8:I8"/>
    <mergeCell ref="D10:I10"/>
  </mergeCells>
  <conditionalFormatting sqref="D4">
    <cfRule type="colorScale" priority="7">
      <colorScale>
        <cfvo type="min"/>
        <cfvo type="max"/>
        <color rgb="FFFF7128"/>
        <color rgb="FFFFEF9C"/>
      </colorScale>
    </cfRule>
  </conditionalFormatting>
  <conditionalFormatting sqref="D29">
    <cfRule type="colorScale" priority="4">
      <colorScale>
        <cfvo type="min"/>
        <cfvo type="max"/>
        <color rgb="FFFF7128"/>
        <color rgb="FFFFEF9C"/>
      </colorScale>
    </cfRule>
  </conditionalFormatting>
  <conditionalFormatting sqref="D52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92" priority="8" stopIfTrue="1">
      <formula>LEN($D4)=14</formula>
    </cfRule>
  </conditionalFormatting>
  <conditionalFormatting sqref="D29:I29">
    <cfRule type="expression" dxfId="91" priority="5" stopIfTrue="1">
      <formula>LEN($D29)=14</formula>
    </cfRule>
  </conditionalFormatting>
  <conditionalFormatting sqref="D52:I52">
    <cfRule type="expression" dxfId="90" priority="2" stopIfTrue="1">
      <formula>LEN($D52)=14</formula>
    </cfRule>
  </conditionalFormatting>
  <conditionalFormatting sqref="J4:O4">
    <cfRule type="expression" dxfId="89" priority="9">
      <formula>LEN($J4)=14</formula>
    </cfRule>
  </conditionalFormatting>
  <conditionalFormatting sqref="J29:O29">
    <cfRule type="expression" dxfId="88" priority="6">
      <formula>LEN($J29)=14</formula>
    </cfRule>
  </conditionalFormatting>
  <conditionalFormatting sqref="J52:O52">
    <cfRule type="expression" dxfId="87" priority="3">
      <formula>LEN($J52)=14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92B2-3431-43DD-91C4-3D500488BB2C}">
  <dimension ref="B1:AL88"/>
  <sheetViews>
    <sheetView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16384" width="8.7109375" style="134"/>
  </cols>
  <sheetData>
    <row r="1" spans="2:38" ht="24" customHeight="1" thickBot="1" x14ac:dyDescent="0.3"/>
    <row r="2" spans="2:38" ht="24" customHeight="1" thickBot="1" x14ac:dyDescent="0.3">
      <c r="B2" s="425" t="s">
        <v>40</v>
      </c>
      <c r="C2" s="2" t="s">
        <v>72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73</v>
      </c>
      <c r="W2" s="7"/>
      <c r="X2" s="7"/>
      <c r="Y2" s="8"/>
      <c r="AB2"/>
      <c r="AC2"/>
      <c r="AD2"/>
      <c r="AE2"/>
      <c r="AF2"/>
      <c r="AG2"/>
      <c r="AH2"/>
      <c r="AI2"/>
      <c r="AJ2"/>
      <c r="AK2"/>
      <c r="AL2"/>
    </row>
    <row r="3" spans="2:38" ht="24" customHeight="1" thickBot="1" x14ac:dyDescent="0.3">
      <c r="B3" s="426"/>
      <c r="C3" s="135">
        <v>3.125E-2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74</v>
      </c>
      <c r="W3" s="11"/>
      <c r="X3" s="11"/>
      <c r="Y3" s="12"/>
    </row>
    <row r="4" spans="2:38" ht="24" customHeight="1" thickBot="1" x14ac:dyDescent="0.3">
      <c r="B4" s="426"/>
      <c r="C4" s="136">
        <v>3.472222222222222E-3</v>
      </c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6" t="str">
        <f>CONCATENATE(COUNT(V6:V13,X6:X13)," VIAGENS")</f>
        <v>15 VIAGENS</v>
      </c>
      <c r="W4" s="7"/>
      <c r="X4" s="7"/>
      <c r="Y4" s="8"/>
    </row>
    <row r="5" spans="2:38" ht="24" customHeight="1" thickBot="1" x14ac:dyDescent="0.3">
      <c r="B5" s="426"/>
      <c r="C5" s="428" t="s">
        <v>7</v>
      </c>
      <c r="D5" s="16" t="s">
        <v>8</v>
      </c>
      <c r="E5" s="17" t="s">
        <v>9</v>
      </c>
      <c r="F5" s="137" t="s">
        <v>10</v>
      </c>
      <c r="G5" s="17" t="s">
        <v>11</v>
      </c>
      <c r="H5" s="137" t="s">
        <v>12</v>
      </c>
      <c r="I5" s="17" t="s">
        <v>13</v>
      </c>
      <c r="J5" s="16" t="s">
        <v>8</v>
      </c>
      <c r="K5" s="17" t="s">
        <v>9</v>
      </c>
      <c r="L5" s="137" t="s">
        <v>10</v>
      </c>
      <c r="M5" s="17" t="s">
        <v>11</v>
      </c>
      <c r="N5" s="137" t="s">
        <v>12</v>
      </c>
      <c r="O5" s="17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6" t="s">
        <v>14</v>
      </c>
      <c r="W5" s="17" t="s">
        <v>15</v>
      </c>
      <c r="X5" s="16" t="s">
        <v>14</v>
      </c>
      <c r="Y5" s="17" t="s">
        <v>15</v>
      </c>
    </row>
    <row r="6" spans="2:38" ht="24" customHeight="1" thickBot="1" x14ac:dyDescent="0.3">
      <c r="B6" s="426"/>
      <c r="C6" s="429"/>
      <c r="D6" s="138">
        <v>0.1875</v>
      </c>
      <c r="E6" s="139">
        <v>0.25972222222222224</v>
      </c>
      <c r="F6" s="139">
        <v>0.3527777777777778</v>
      </c>
      <c r="G6" s="140">
        <f>F6-D6</f>
        <v>0.1652777777777778</v>
      </c>
      <c r="H6" s="141">
        <v>305</v>
      </c>
      <c r="I6" s="142">
        <v>1</v>
      </c>
      <c r="J6" s="143">
        <v>0.15277777777777776</v>
      </c>
      <c r="K6" s="144">
        <v>0.1875</v>
      </c>
      <c r="L6" s="145">
        <v>0.27986111111111112</v>
      </c>
      <c r="M6" s="146">
        <f>L6-K6</f>
        <v>9.2361111111111116E-2</v>
      </c>
      <c r="N6" s="147" t="s">
        <v>75</v>
      </c>
      <c r="O6" s="148">
        <v>2</v>
      </c>
      <c r="P6" s="149">
        <v>0.25</v>
      </c>
      <c r="Q6" s="139">
        <v>0.33333333333333331</v>
      </c>
      <c r="R6" s="139">
        <v>0.4069444444444445</v>
      </c>
      <c r="S6" s="150">
        <f>R6-P6</f>
        <v>0.1569444444444445</v>
      </c>
      <c r="T6" s="141">
        <v>305</v>
      </c>
      <c r="U6" s="151">
        <v>3</v>
      </c>
      <c r="V6" s="152">
        <v>0.15277777777777776</v>
      </c>
      <c r="W6" s="56"/>
      <c r="X6" s="144">
        <v>0.47916666666666669</v>
      </c>
      <c r="Y6" s="26" t="s">
        <v>76</v>
      </c>
    </row>
    <row r="7" spans="2:38" ht="24" customHeight="1" thickBot="1" x14ac:dyDescent="0.3">
      <c r="B7" s="426"/>
      <c r="C7" s="429"/>
      <c r="D7" s="153">
        <v>0.35833333333333334</v>
      </c>
      <c r="E7" s="154">
        <v>0.43263888888888885</v>
      </c>
      <c r="F7" s="155"/>
      <c r="G7" s="156">
        <f>E7-D7</f>
        <v>7.4305555555555514E-2</v>
      </c>
      <c r="H7" s="157">
        <v>305</v>
      </c>
      <c r="I7" s="158">
        <v>1</v>
      </c>
      <c r="J7" s="159">
        <v>0.29166666666666669</v>
      </c>
      <c r="K7" s="160">
        <v>0.36736111111111108</v>
      </c>
      <c r="L7" s="161"/>
      <c r="M7" s="162">
        <f>K7-J7</f>
        <v>7.5694444444444398E-2</v>
      </c>
      <c r="N7" s="163">
        <v>305</v>
      </c>
      <c r="O7" s="164">
        <v>2</v>
      </c>
      <c r="P7" s="33">
        <f>IF(R6="",Q6,R6)</f>
        <v>0.4069444444444445</v>
      </c>
      <c r="Q7" s="32"/>
      <c r="R7" s="31">
        <f>IF(P8="",Q8,P8)</f>
        <v>0.47916666666666669</v>
      </c>
      <c r="S7" s="32"/>
      <c r="T7" s="32">
        <f>R7-P7</f>
        <v>7.2222222222222188E-2</v>
      </c>
      <c r="U7" s="33"/>
      <c r="V7" s="165">
        <v>0.1875</v>
      </c>
      <c r="W7" s="28" t="s">
        <v>77</v>
      </c>
      <c r="X7" s="166">
        <v>0.55555555555555558</v>
      </c>
      <c r="Y7" s="30">
        <f>X7-V13</f>
        <v>7.6388888888888895E-2</v>
      </c>
    </row>
    <row r="8" spans="2:38" ht="24" customHeight="1" thickBot="1" x14ac:dyDescent="0.3">
      <c r="B8" s="426"/>
      <c r="C8" s="429"/>
      <c r="D8" s="167">
        <f>IF(F7="",E7,F7)</f>
        <v>0.43263888888888885</v>
      </c>
      <c r="E8" s="168"/>
      <c r="F8" s="167">
        <f>IF(D9="",E9,D9)</f>
        <v>0.47916666666666669</v>
      </c>
      <c r="G8" s="168"/>
      <c r="H8" s="168">
        <f>F8-D8</f>
        <v>4.6527777777777835E-2</v>
      </c>
      <c r="I8" s="168"/>
      <c r="J8" s="31">
        <f>IF(L7="",K7,L7)</f>
        <v>0.36736111111111108</v>
      </c>
      <c r="K8" s="32"/>
      <c r="L8" s="31">
        <f>IF(J9="",K9,J9)</f>
        <v>0.41666666666666669</v>
      </c>
      <c r="M8" s="32"/>
      <c r="N8" s="32">
        <f>L8-J8</f>
        <v>4.9305555555555602E-2</v>
      </c>
      <c r="O8" s="32"/>
      <c r="P8" s="165">
        <v>0.47916666666666669</v>
      </c>
      <c r="Q8" s="166">
        <v>0.57222222222222219</v>
      </c>
      <c r="R8" s="166">
        <v>0.62777777777777777</v>
      </c>
      <c r="S8" s="169">
        <f>R8-P8</f>
        <v>0.14861111111111108</v>
      </c>
      <c r="T8" s="170">
        <v>305</v>
      </c>
      <c r="U8" s="171">
        <v>3</v>
      </c>
      <c r="V8" s="172">
        <v>0.1875</v>
      </c>
      <c r="W8" s="28" t="s">
        <v>76</v>
      </c>
      <c r="X8" s="166">
        <v>0.625</v>
      </c>
      <c r="Y8" s="30">
        <f>X8-X7</f>
        <v>6.944444444444442E-2</v>
      </c>
    </row>
    <row r="9" spans="2:38" ht="24" customHeight="1" x14ac:dyDescent="0.25">
      <c r="B9" s="426"/>
      <c r="C9" s="429"/>
      <c r="D9" s="173"/>
      <c r="E9" s="144">
        <v>0.47916666666666669</v>
      </c>
      <c r="F9" s="144">
        <v>0.54861111111111105</v>
      </c>
      <c r="G9" s="140">
        <f>F9-E9</f>
        <v>6.9444444444444364E-2</v>
      </c>
      <c r="H9" s="141">
        <v>305</v>
      </c>
      <c r="I9" s="174">
        <v>1</v>
      </c>
      <c r="K9" s="175">
        <v>0.41666666666666669</v>
      </c>
      <c r="L9" s="175">
        <v>0.4909722222222222</v>
      </c>
      <c r="M9" s="169">
        <f>L9-K9</f>
        <v>7.4305555555555514E-2</v>
      </c>
      <c r="N9" s="170">
        <v>305</v>
      </c>
      <c r="O9" s="176">
        <v>2</v>
      </c>
      <c r="P9" s="177"/>
      <c r="Q9" s="178"/>
      <c r="R9" s="178"/>
      <c r="S9" s="178"/>
      <c r="T9" s="178"/>
      <c r="U9" s="179"/>
      <c r="V9" s="165">
        <v>0.25</v>
      </c>
      <c r="W9" s="28">
        <f t="shared" ref="W9:W10" si="0">V9-V8</f>
        <v>6.25E-2</v>
      </c>
      <c r="X9" s="166">
        <v>0.70833333333333337</v>
      </c>
      <c r="Y9" s="30">
        <f>X9-X8</f>
        <v>8.333333333333337E-2</v>
      </c>
    </row>
    <row r="10" spans="2:38" ht="24" customHeight="1" thickBot="1" x14ac:dyDescent="0.3">
      <c r="B10" s="426"/>
      <c r="C10" s="429"/>
      <c r="D10" s="431" t="s">
        <v>78</v>
      </c>
      <c r="E10" s="432"/>
      <c r="F10" s="432"/>
      <c r="G10" s="432"/>
      <c r="H10" s="432"/>
      <c r="I10" s="433"/>
      <c r="J10" s="431" t="s">
        <v>78</v>
      </c>
      <c r="K10" s="432"/>
      <c r="L10" s="432"/>
      <c r="M10" s="432"/>
      <c r="N10" s="432"/>
      <c r="O10" s="433"/>
      <c r="P10" s="180"/>
      <c r="Q10" s="181"/>
      <c r="R10" s="181"/>
      <c r="S10" s="182"/>
      <c r="T10" s="183"/>
      <c r="U10" s="184"/>
      <c r="V10" s="165">
        <v>0.29166666666666669</v>
      </c>
      <c r="W10" s="28">
        <f t="shared" si="0"/>
        <v>4.1666666666666685E-2</v>
      </c>
      <c r="X10" s="166">
        <v>0.80555555555555547</v>
      </c>
      <c r="Y10" s="30">
        <f>X10-X9</f>
        <v>9.7222222222222099E-2</v>
      </c>
    </row>
    <row r="11" spans="2:38" ht="24" customHeight="1" thickBot="1" x14ac:dyDescent="0.35">
      <c r="B11" s="426"/>
      <c r="C11" s="430"/>
      <c r="D11" s="434" t="s">
        <v>79</v>
      </c>
      <c r="E11" s="435"/>
      <c r="F11" s="435"/>
      <c r="G11" s="435"/>
      <c r="H11" s="435"/>
      <c r="I11" s="436"/>
      <c r="J11" s="434" t="s">
        <v>79</v>
      </c>
      <c r="K11" s="435"/>
      <c r="L11" s="435"/>
      <c r="M11" s="435"/>
      <c r="N11" s="435"/>
      <c r="O11" s="436"/>
      <c r="P11" s="434" t="s">
        <v>79</v>
      </c>
      <c r="Q11" s="435"/>
      <c r="R11" s="435"/>
      <c r="S11" s="435"/>
      <c r="T11" s="435"/>
      <c r="U11" s="436"/>
      <c r="V11" s="165">
        <v>0.35833333333333334</v>
      </c>
      <c r="W11" s="28">
        <f>V11-V10</f>
        <v>6.6666666666666652E-2</v>
      </c>
      <c r="X11" s="185">
        <v>0.875</v>
      </c>
      <c r="Y11" s="30">
        <f>X11-X10</f>
        <v>6.9444444444444531E-2</v>
      </c>
    </row>
    <row r="12" spans="2:38" ht="24" customHeight="1" thickBot="1" x14ac:dyDescent="0.3">
      <c r="B12" s="426"/>
      <c r="C12" s="36" t="s">
        <v>17</v>
      </c>
      <c r="D12" s="37">
        <f>MAX(E6:F10)-IF(D6="",E6,D6)-MIN(H6:H10)+$C3</f>
        <v>0.34583333333333321</v>
      </c>
      <c r="E12" s="38"/>
      <c r="F12" s="38"/>
      <c r="G12" s="39"/>
      <c r="H12" s="40">
        <f ca="1">OFFSET(H5,MATCH(MIN(H6:H10),H6:H10,0),-4)-IF(D6="",E6,D6)+$C3</f>
        <v>0.27638888888888885</v>
      </c>
      <c r="I12" s="41"/>
      <c r="J12" s="37">
        <f>MAX(K6:L10)-IF(J6="",K6,J6)-MIN(N6:N10)+$C4</f>
        <v>0.29236111111111107</v>
      </c>
      <c r="K12" s="38"/>
      <c r="L12" s="38"/>
      <c r="M12" s="39"/>
      <c r="N12" s="40">
        <f ca="1">OFFSET(N5,MATCH(MIN(N6:N10),N6:N10,0),-4)-IF(J6="",K6,J6)+$C4</f>
        <v>0.21805555555555553</v>
      </c>
      <c r="O12" s="41"/>
      <c r="P12" s="37">
        <f>MAX(Q6:R10)-IF(P6="",Q6,P6)-MIN(T6:T10)+$C3</f>
        <v>0.33680555555555558</v>
      </c>
      <c r="Q12" s="38"/>
      <c r="R12" s="38"/>
      <c r="S12" s="39"/>
      <c r="T12" s="40">
        <f ca="1">OFFSET(T5,MATCH(MIN(T6:T10),T6:T10,0),-4)-IF(P6="",Q6,P6)+$C3</f>
        <v>0.1881944444444445</v>
      </c>
      <c r="U12" s="42"/>
      <c r="V12" s="172">
        <v>0.41666666666666669</v>
      </c>
      <c r="W12" s="28" t="s">
        <v>76</v>
      </c>
      <c r="X12" s="185">
        <v>0.94444444444444453</v>
      </c>
      <c r="Y12" s="30">
        <f>X12-X11</f>
        <v>6.9444444444444531E-2</v>
      </c>
    </row>
    <row r="13" spans="2:38" ht="24" customHeight="1" thickBot="1" x14ac:dyDescent="0.3">
      <c r="B13" s="426"/>
      <c r="C13" s="186">
        <v>3.125E-2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7"/>
      <c r="V13" s="187">
        <v>0.47916666666666669</v>
      </c>
      <c r="W13" s="44">
        <f>V13-V11</f>
        <v>0.12083333333333335</v>
      </c>
      <c r="X13" s="188"/>
      <c r="Y13" s="189"/>
    </row>
    <row r="14" spans="2:38" ht="24" customHeight="1" thickBot="1" x14ac:dyDescent="0.3">
      <c r="B14" s="426"/>
      <c r="C14" s="136">
        <v>6.9444444444444441E-3</v>
      </c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9" t="s">
        <v>21</v>
      </c>
      <c r="Q14" s="7"/>
      <c r="R14" s="7"/>
      <c r="S14" s="7"/>
      <c r="T14" s="7"/>
      <c r="U14" s="8"/>
    </row>
    <row r="15" spans="2:38" ht="24" customHeight="1" thickBot="1" x14ac:dyDescent="0.3">
      <c r="B15" s="426"/>
      <c r="C15" s="437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4" t="s">
        <v>13</v>
      </c>
      <c r="V15" s="1"/>
      <c r="W15" s="1"/>
    </row>
    <row r="16" spans="2:38" ht="24" customHeight="1" thickBot="1" x14ac:dyDescent="0.3">
      <c r="B16" s="426"/>
      <c r="C16" s="429"/>
      <c r="D16" s="138">
        <v>0.55555555555555558</v>
      </c>
      <c r="E16" s="139">
        <v>0.64861111111111114</v>
      </c>
      <c r="F16" s="139">
        <v>0.72916666666666663</v>
      </c>
      <c r="G16" s="150">
        <f>F16-D16</f>
        <v>0.17361111111111105</v>
      </c>
      <c r="H16" s="141">
        <v>305</v>
      </c>
      <c r="I16" s="190">
        <v>1</v>
      </c>
      <c r="J16" s="138">
        <v>0.625</v>
      </c>
      <c r="K16" s="139">
        <v>0.72083333333333333</v>
      </c>
      <c r="L16" s="139">
        <v>0.79583333333333339</v>
      </c>
      <c r="M16" s="150">
        <f>L16-J16</f>
        <v>0.17083333333333339</v>
      </c>
      <c r="N16" s="141">
        <v>305</v>
      </c>
      <c r="O16" s="190">
        <v>2</v>
      </c>
      <c r="P16" s="138">
        <v>0.70833333333333337</v>
      </c>
      <c r="Q16" s="139">
        <v>0.80833333333333324</v>
      </c>
      <c r="R16" s="139">
        <v>0.86875000000000002</v>
      </c>
      <c r="S16" s="150">
        <f>R16-P16</f>
        <v>0.16041666666666665</v>
      </c>
      <c r="T16" s="141">
        <v>305</v>
      </c>
      <c r="U16" s="190">
        <v>3</v>
      </c>
      <c r="V16" s="1"/>
      <c r="W16" s="1"/>
    </row>
    <row r="17" spans="2:25" ht="24" customHeight="1" thickBot="1" x14ac:dyDescent="0.3">
      <c r="B17" s="426"/>
      <c r="C17" s="429"/>
      <c r="D17" s="31">
        <f>IF(F16="",E16,F16)</f>
        <v>0.72916666666666663</v>
      </c>
      <c r="E17" s="32"/>
      <c r="F17" s="31">
        <f>IF(D18="",E18,D18)</f>
        <v>0.80555555555555547</v>
      </c>
      <c r="G17" s="32"/>
      <c r="H17" s="32">
        <f>F17-D17</f>
        <v>7.638888888888884E-2</v>
      </c>
      <c r="I17" s="32"/>
      <c r="J17" s="31">
        <f>IF(L16="",K16,L16)</f>
        <v>0.79583333333333339</v>
      </c>
      <c r="K17" s="32"/>
      <c r="L17" s="31">
        <f>IF(J18="",K18,J18)</f>
        <v>0.875</v>
      </c>
      <c r="M17" s="32"/>
      <c r="N17" s="32">
        <f>L17-J17</f>
        <v>7.9166666666666607E-2</v>
      </c>
      <c r="O17" s="32"/>
      <c r="P17" s="31">
        <f>IF(R16="",Q16,R16)</f>
        <v>0.86875000000000002</v>
      </c>
      <c r="Q17" s="32"/>
      <c r="R17" s="31">
        <f>IF(P18="",Q18,P18)</f>
        <v>0.94444444444444453</v>
      </c>
      <c r="S17" s="32"/>
      <c r="T17" s="32">
        <f>R17-P17</f>
        <v>7.5694444444444509E-2</v>
      </c>
      <c r="U17" s="32"/>
      <c r="V17" s="1"/>
      <c r="W17" s="1"/>
    </row>
    <row r="18" spans="2:25" ht="24" customHeight="1" x14ac:dyDescent="0.25">
      <c r="B18" s="426"/>
      <c r="C18" s="429"/>
      <c r="D18" s="165">
        <v>0.80555555555555547</v>
      </c>
      <c r="E18" s="166">
        <v>0.88611111111111107</v>
      </c>
      <c r="F18" s="166">
        <v>0.94791666666666663</v>
      </c>
      <c r="G18" s="169">
        <f>F18-D18</f>
        <v>0.14236111111111116</v>
      </c>
      <c r="H18" s="170">
        <v>305</v>
      </c>
      <c r="I18" s="176">
        <v>1</v>
      </c>
      <c r="J18" s="191">
        <v>0.875</v>
      </c>
      <c r="K18" s="185">
        <v>0.94652777777777775</v>
      </c>
      <c r="L18" s="185">
        <v>0.98749999999999993</v>
      </c>
      <c r="M18" s="169">
        <f>L18-J18</f>
        <v>0.11249999999999993</v>
      </c>
      <c r="N18" s="170" t="s">
        <v>80</v>
      </c>
      <c r="O18" s="176">
        <v>2</v>
      </c>
      <c r="P18" s="191">
        <v>0.94444444444444453</v>
      </c>
      <c r="Q18" s="185">
        <v>1.0159722222222223</v>
      </c>
      <c r="R18" s="185">
        <v>1.0555555555555556</v>
      </c>
      <c r="S18" s="169">
        <f>R18-P18</f>
        <v>0.11111111111111105</v>
      </c>
      <c r="T18" s="170" t="s">
        <v>80</v>
      </c>
      <c r="U18" s="176">
        <v>3</v>
      </c>
      <c r="V18" s="1"/>
      <c r="W18" s="1"/>
    </row>
    <row r="19" spans="2:25" ht="24" customHeight="1" thickBot="1" x14ac:dyDescent="0.3">
      <c r="B19" s="426"/>
      <c r="C19" s="429"/>
      <c r="D19" s="59"/>
      <c r="E19" s="60"/>
      <c r="F19" s="60"/>
      <c r="G19" s="192"/>
      <c r="H19" s="61"/>
      <c r="I19" s="62"/>
      <c r="J19" s="59"/>
      <c r="K19" s="60"/>
      <c r="L19" s="60"/>
      <c r="M19" s="192"/>
      <c r="N19" s="61"/>
      <c r="O19" s="62"/>
      <c r="P19" s="59"/>
      <c r="Q19" s="60"/>
      <c r="R19" s="60"/>
      <c r="S19" s="192"/>
      <c r="T19" s="61"/>
      <c r="U19" s="62"/>
      <c r="V19" s="1"/>
      <c r="W19" s="1"/>
    </row>
    <row r="20" spans="2:25" ht="24" customHeight="1" thickBot="1" x14ac:dyDescent="0.35">
      <c r="B20" s="426"/>
      <c r="C20" s="430"/>
      <c r="D20" s="434" t="s">
        <v>79</v>
      </c>
      <c r="E20" s="435"/>
      <c r="F20" s="435"/>
      <c r="G20" s="435"/>
      <c r="H20" s="435"/>
      <c r="I20" s="436"/>
      <c r="J20" s="434" t="s">
        <v>79</v>
      </c>
      <c r="K20" s="435"/>
      <c r="L20" s="435"/>
      <c r="M20" s="435"/>
      <c r="N20" s="435"/>
      <c r="O20" s="436"/>
      <c r="P20" s="434" t="s">
        <v>79</v>
      </c>
      <c r="Q20" s="435"/>
      <c r="R20" s="435"/>
      <c r="S20" s="435"/>
      <c r="T20" s="435"/>
      <c r="U20" s="436"/>
      <c r="V20" s="1"/>
      <c r="W20" s="1"/>
    </row>
    <row r="21" spans="2:25" ht="24" customHeight="1" thickBot="1" x14ac:dyDescent="0.3">
      <c r="B21" s="427"/>
      <c r="C21" s="36" t="s">
        <v>17</v>
      </c>
      <c r="D21" s="37">
        <f>MAX(E16:F19)-IF(D16="",E16,D16)-MIN(H16:H19)+$C13</f>
        <v>0.34722222222222221</v>
      </c>
      <c r="E21" s="51"/>
      <c r="F21" s="51"/>
      <c r="G21" s="52"/>
      <c r="H21" s="53">
        <f ca="1">OFFSET(H15,MATCH(MIN(H16:H19),H16:H19,0),-4)-IF(D16="",E16,D16)</f>
        <v>0.17361111111111105</v>
      </c>
      <c r="I21" s="54"/>
      <c r="J21" s="37">
        <f>MAX(K16:L19)-IF(J16="",K16,J16)-MIN(N16:N19)+$C14</f>
        <v>0.29027777777777775</v>
      </c>
      <c r="K21" s="38"/>
      <c r="L21" s="38"/>
      <c r="M21" s="39"/>
      <c r="N21" s="53">
        <f ca="1">OFFSET(N15,MATCH(MIN(N16:N19),N16:N19,0),-4)-IF(J16="",K16,J16)</f>
        <v>0.17083333333333339</v>
      </c>
      <c r="O21" s="41"/>
      <c r="P21" s="37">
        <f>MAX(Q16:R19)-IF(P16="",Q16,P16)-MIN(T16:T19)+$C14</f>
        <v>0.27847222222222212</v>
      </c>
      <c r="Q21" s="38"/>
      <c r="R21" s="38"/>
      <c r="S21" s="39"/>
      <c r="T21" s="53">
        <f ca="1">OFFSET(T15,MATCH(MIN(T16:T19),T16:T19,0),-4)-IF(P16="",Q16,P16)</f>
        <v>0.16041666666666665</v>
      </c>
      <c r="U21" s="41"/>
      <c r="V21" s="35"/>
      <c r="W21" s="35"/>
    </row>
    <row r="22" spans="2:25" ht="24" customHeight="1" x14ac:dyDescent="0.25">
      <c r="B22" s="1"/>
      <c r="C22" s="1"/>
      <c r="E22" s="1"/>
      <c r="F22" s="1"/>
      <c r="G22" s="1"/>
      <c r="H22" s="1"/>
      <c r="K22" s="1"/>
      <c r="L22" s="1"/>
      <c r="M22" s="1"/>
      <c r="N22" s="1"/>
      <c r="Q22" s="1"/>
      <c r="R22" s="1"/>
      <c r="S22" s="1"/>
      <c r="T22" s="1"/>
      <c r="V22" s="1"/>
      <c r="W22" s="1"/>
    </row>
    <row r="23" spans="2:25" ht="24" customHeight="1" x14ac:dyDescent="0.25">
      <c r="B23" s="1"/>
      <c r="C23" s="1"/>
      <c r="D23" s="1"/>
      <c r="E23" s="1"/>
      <c r="F23" s="1"/>
      <c r="G23" s="1"/>
      <c r="H23" s="1"/>
      <c r="I23" s="193">
        <v>305</v>
      </c>
      <c r="J23" s="193">
        <v>1</v>
      </c>
      <c r="K23" s="193">
        <v>9</v>
      </c>
      <c r="L23" s="424" t="s">
        <v>81</v>
      </c>
      <c r="M23" s="424"/>
      <c r="N23" s="424"/>
      <c r="O23" s="424"/>
      <c r="P23" s="424"/>
      <c r="Q23" s="424"/>
      <c r="R23" s="424"/>
      <c r="S23" s="424"/>
      <c r="X23" s="1"/>
      <c r="Y23" s="1"/>
    </row>
    <row r="24" spans="2:25" ht="24" customHeight="1" x14ac:dyDescent="0.25">
      <c r="B24" s="1"/>
      <c r="C24" s="1"/>
      <c r="I24" s="193" t="s">
        <v>75</v>
      </c>
      <c r="J24" s="193">
        <v>1</v>
      </c>
      <c r="K24" s="193">
        <v>1</v>
      </c>
      <c r="L24" s="438" t="s">
        <v>82</v>
      </c>
      <c r="M24" s="438"/>
      <c r="N24" s="438"/>
      <c r="O24" s="438"/>
      <c r="P24" s="438"/>
      <c r="Q24" s="438"/>
      <c r="R24" s="438"/>
      <c r="S24" s="438"/>
      <c r="W24" s="1"/>
      <c r="X24" s="1"/>
      <c r="Y24" s="1"/>
    </row>
    <row r="25" spans="2:25" ht="24" customHeight="1" x14ac:dyDescent="0.25">
      <c r="B25" s="1"/>
      <c r="C25" s="1"/>
      <c r="I25" s="193" t="s">
        <v>80</v>
      </c>
      <c r="J25" s="193">
        <v>2</v>
      </c>
      <c r="K25" s="193">
        <v>2</v>
      </c>
      <c r="L25" s="439" t="s">
        <v>83</v>
      </c>
      <c r="M25" s="439"/>
      <c r="N25" s="439"/>
      <c r="O25" s="439"/>
      <c r="P25" s="439"/>
      <c r="Q25" s="439"/>
      <c r="R25" s="439"/>
      <c r="S25" s="439"/>
    </row>
    <row r="26" spans="2:25" ht="24" customHeight="1" thickBot="1" x14ac:dyDescent="0.3"/>
    <row r="27" spans="2:25" ht="24" customHeight="1" thickBot="1" x14ac:dyDescent="0.3">
      <c r="C27" s="440" t="s">
        <v>84</v>
      </c>
      <c r="D27" s="441"/>
      <c r="E27" s="441"/>
      <c r="F27" s="441"/>
      <c r="G27" s="441"/>
      <c r="H27" s="441"/>
      <c r="I27" s="441"/>
      <c r="J27" s="441"/>
      <c r="K27" s="441"/>
      <c r="L27" s="441"/>
      <c r="M27" s="442"/>
    </row>
    <row r="32" spans="2:25" ht="24" customHeight="1" thickBot="1" x14ac:dyDescent="0.3"/>
    <row r="33" spans="2:25" ht="24" customHeight="1" thickBot="1" x14ac:dyDescent="0.3">
      <c r="B33" s="425" t="s">
        <v>46</v>
      </c>
      <c r="C33" s="2" t="s">
        <v>85</v>
      </c>
      <c r="D33" s="3"/>
      <c r="E33" s="3"/>
      <c r="F33" s="3"/>
      <c r="G33" s="3"/>
      <c r="H33" s="4"/>
      <c r="I33" s="5"/>
      <c r="J33" s="3"/>
      <c r="K33" s="3"/>
      <c r="L33" s="3"/>
      <c r="M33" s="3"/>
      <c r="N33" s="4"/>
      <c r="O33" s="5"/>
      <c r="P33" s="3"/>
      <c r="Q33" s="3"/>
      <c r="R33" s="3"/>
      <c r="S33" s="3"/>
      <c r="T33" s="4"/>
      <c r="U33" s="5"/>
      <c r="V33" s="359" t="s">
        <v>73</v>
      </c>
      <c r="W33" s="360"/>
      <c r="X33" s="360"/>
      <c r="Y33" s="361"/>
    </row>
    <row r="34" spans="2:25" ht="24" customHeight="1" thickBot="1" x14ac:dyDescent="0.3">
      <c r="B34" s="426"/>
      <c r="C34" s="135">
        <v>3.125E-2</v>
      </c>
      <c r="D34" s="9" t="s">
        <v>2</v>
      </c>
      <c r="E34" s="7"/>
      <c r="F34" s="7"/>
      <c r="G34" s="7"/>
      <c r="H34" s="7"/>
      <c r="I34" s="8"/>
      <c r="J34" s="9"/>
      <c r="K34" s="7"/>
      <c r="L34" s="7"/>
      <c r="M34" s="7"/>
      <c r="N34" s="7"/>
      <c r="O34" s="8"/>
      <c r="P34" s="9"/>
      <c r="Q34" s="7"/>
      <c r="R34" s="7"/>
      <c r="S34" s="7"/>
      <c r="T34" s="7"/>
      <c r="U34" s="8"/>
      <c r="V34" s="362" t="s">
        <v>23</v>
      </c>
      <c r="W34" s="363"/>
      <c r="X34" s="363"/>
      <c r="Y34" s="364"/>
    </row>
    <row r="35" spans="2:25" ht="24" customHeight="1" thickBot="1" x14ac:dyDescent="0.3">
      <c r="B35" s="426"/>
      <c r="C35" s="136">
        <v>3.472222222222222E-3</v>
      </c>
      <c r="D35" s="9" t="s">
        <v>4</v>
      </c>
      <c r="E35" s="7"/>
      <c r="F35" s="7"/>
      <c r="G35" s="7"/>
      <c r="H35" s="7"/>
      <c r="I35" s="8"/>
      <c r="J35" s="9" t="s">
        <v>5</v>
      </c>
      <c r="K35" s="7"/>
      <c r="L35" s="7"/>
      <c r="M35" s="7"/>
      <c r="N35" s="7"/>
      <c r="O35" s="8"/>
      <c r="P35" s="9" t="s">
        <v>6</v>
      </c>
      <c r="Q35" s="7"/>
      <c r="R35" s="7"/>
      <c r="S35" s="7"/>
      <c r="T35" s="7"/>
      <c r="U35" s="8"/>
      <c r="V35" s="6" t="str">
        <f>CONCATENATE(COUNT(V37:V44,X37:X44)," VIAGENS")</f>
        <v>15 VIAGENS</v>
      </c>
      <c r="W35" s="7"/>
      <c r="X35" s="7"/>
      <c r="Y35" s="8"/>
    </row>
    <row r="36" spans="2:25" ht="24" customHeight="1" thickBot="1" x14ac:dyDescent="0.3">
      <c r="B36" s="426"/>
      <c r="C36" s="428" t="s">
        <v>7</v>
      </c>
      <c r="D36" s="16" t="s">
        <v>8</v>
      </c>
      <c r="E36" s="17" t="s">
        <v>9</v>
      </c>
      <c r="F36" s="137" t="s">
        <v>10</v>
      </c>
      <c r="G36" s="17" t="s">
        <v>11</v>
      </c>
      <c r="H36" s="137" t="s">
        <v>12</v>
      </c>
      <c r="I36" s="17" t="s">
        <v>13</v>
      </c>
      <c r="J36" s="16" t="s">
        <v>8</v>
      </c>
      <c r="K36" s="17" t="s">
        <v>9</v>
      </c>
      <c r="L36" s="137" t="s">
        <v>10</v>
      </c>
      <c r="M36" s="17" t="s">
        <v>11</v>
      </c>
      <c r="N36" s="137" t="s">
        <v>12</v>
      </c>
      <c r="O36" s="17" t="s">
        <v>13</v>
      </c>
      <c r="P36" s="13" t="s">
        <v>8</v>
      </c>
      <c r="Q36" s="14" t="s">
        <v>9</v>
      </c>
      <c r="R36" s="15" t="s">
        <v>10</v>
      </c>
      <c r="S36" s="14" t="s">
        <v>11</v>
      </c>
      <c r="T36" s="15" t="s">
        <v>12</v>
      </c>
      <c r="U36" s="14" t="s">
        <v>13</v>
      </c>
      <c r="V36" s="16" t="s">
        <v>14</v>
      </c>
      <c r="W36" s="17" t="s">
        <v>15</v>
      </c>
      <c r="X36" s="16" t="s">
        <v>14</v>
      </c>
      <c r="Y36" s="17" t="s">
        <v>15</v>
      </c>
    </row>
    <row r="37" spans="2:25" ht="24" customHeight="1" thickBot="1" x14ac:dyDescent="0.3">
      <c r="B37" s="426"/>
      <c r="C37" s="429"/>
      <c r="D37" s="138">
        <v>0.1875</v>
      </c>
      <c r="E37" s="139">
        <v>0.25972222222222224</v>
      </c>
      <c r="F37" s="139">
        <v>0.3527777777777778</v>
      </c>
      <c r="G37" s="140">
        <f>F37-D37</f>
        <v>0.1652777777777778</v>
      </c>
      <c r="H37" s="141">
        <v>305</v>
      </c>
      <c r="I37" s="142">
        <v>1</v>
      </c>
      <c r="J37" s="143">
        <v>0.15277777777777776</v>
      </c>
      <c r="K37" s="144">
        <v>0.1875</v>
      </c>
      <c r="L37" s="145">
        <v>0.27986111111111112</v>
      </c>
      <c r="M37" s="146">
        <f>L37-K37</f>
        <v>9.2361111111111116E-2</v>
      </c>
      <c r="N37" s="147" t="s">
        <v>75</v>
      </c>
      <c r="O37" s="148">
        <v>2</v>
      </c>
      <c r="P37" s="149">
        <v>0.25</v>
      </c>
      <c r="Q37" s="139">
        <v>0.33333333333333331</v>
      </c>
      <c r="R37" s="139">
        <v>0.4069444444444445</v>
      </c>
      <c r="S37" s="150">
        <f>R37-P37</f>
        <v>0.1569444444444445</v>
      </c>
      <c r="T37" s="141">
        <v>305</v>
      </c>
      <c r="U37" s="151">
        <v>3</v>
      </c>
      <c r="V37" s="152">
        <v>0.15277777777777776</v>
      </c>
      <c r="W37" s="56"/>
      <c r="X37" s="144">
        <v>0.47916666666666669</v>
      </c>
      <c r="Y37" s="26" t="s">
        <v>76</v>
      </c>
    </row>
    <row r="38" spans="2:25" ht="24" customHeight="1" thickBot="1" x14ac:dyDescent="0.3">
      <c r="B38" s="426"/>
      <c r="C38" s="429"/>
      <c r="D38" s="153">
        <v>0.35833333333333334</v>
      </c>
      <c r="E38" s="154">
        <v>0.43263888888888885</v>
      </c>
      <c r="F38" s="155"/>
      <c r="G38" s="156">
        <f>E38-D38</f>
        <v>7.4305555555555514E-2</v>
      </c>
      <c r="H38" s="157">
        <v>305</v>
      </c>
      <c r="I38" s="158">
        <v>1</v>
      </c>
      <c r="J38" s="159">
        <v>0.29166666666666669</v>
      </c>
      <c r="K38" s="160">
        <v>0.36736111111111108</v>
      </c>
      <c r="L38" s="161"/>
      <c r="M38" s="162">
        <f>K38-J38</f>
        <v>7.5694444444444398E-2</v>
      </c>
      <c r="N38" s="163">
        <v>305</v>
      </c>
      <c r="O38" s="164">
        <v>2</v>
      </c>
      <c r="P38" s="33">
        <f>IF(R37="",Q37,R37)</f>
        <v>0.4069444444444445</v>
      </c>
      <c r="Q38" s="32"/>
      <c r="R38" s="31">
        <f>IF(P39="",Q39,P39)</f>
        <v>0.47916666666666669</v>
      </c>
      <c r="S38" s="32"/>
      <c r="T38" s="32">
        <f>R38-P38</f>
        <v>7.2222222222222188E-2</v>
      </c>
      <c r="U38" s="33"/>
      <c r="V38" s="165">
        <v>0.1875</v>
      </c>
      <c r="W38" s="28" t="s">
        <v>77</v>
      </c>
      <c r="X38" s="166">
        <v>0.55555555555555558</v>
      </c>
      <c r="Y38" s="30">
        <f>X38-V44</f>
        <v>7.6388888888888895E-2</v>
      </c>
    </row>
    <row r="39" spans="2:25" ht="24" customHeight="1" thickBot="1" x14ac:dyDescent="0.3">
      <c r="B39" s="426"/>
      <c r="C39" s="429"/>
      <c r="D39" s="167">
        <f>IF(F38="",E38,F38)</f>
        <v>0.43263888888888885</v>
      </c>
      <c r="E39" s="168"/>
      <c r="F39" s="167">
        <f>IF(D40="",E40,D40)</f>
        <v>0.47916666666666669</v>
      </c>
      <c r="G39" s="168"/>
      <c r="H39" s="168">
        <f>F39-D39</f>
        <v>4.6527777777777835E-2</v>
      </c>
      <c r="I39" s="168"/>
      <c r="J39" s="31">
        <f>IF(L38="",K38,L38)</f>
        <v>0.36736111111111108</v>
      </c>
      <c r="K39" s="32"/>
      <c r="L39" s="31">
        <f>IF(J40="",K40,J40)</f>
        <v>0.41666666666666669</v>
      </c>
      <c r="M39" s="32"/>
      <c r="N39" s="32">
        <f>L39-J39</f>
        <v>4.9305555555555602E-2</v>
      </c>
      <c r="O39" s="32"/>
      <c r="P39" s="165">
        <v>0.47916666666666669</v>
      </c>
      <c r="Q39" s="166">
        <v>0.57222222222222219</v>
      </c>
      <c r="R39" s="166">
        <v>0.62777777777777777</v>
      </c>
      <c r="S39" s="169">
        <f>R39-P39</f>
        <v>0.14861111111111108</v>
      </c>
      <c r="T39" s="170">
        <v>305</v>
      </c>
      <c r="U39" s="171">
        <v>3</v>
      </c>
      <c r="V39" s="172">
        <v>0.1875</v>
      </c>
      <c r="W39" s="28" t="s">
        <v>76</v>
      </c>
      <c r="X39" s="166">
        <v>0.625</v>
      </c>
      <c r="Y39" s="30">
        <f>X39-X38</f>
        <v>6.944444444444442E-2</v>
      </c>
    </row>
    <row r="40" spans="2:25" ht="24" customHeight="1" x14ac:dyDescent="0.25">
      <c r="B40" s="426"/>
      <c r="C40" s="429"/>
      <c r="D40" s="173"/>
      <c r="E40" s="144">
        <v>0.47916666666666669</v>
      </c>
      <c r="F40" s="144">
        <v>0.54861111111111105</v>
      </c>
      <c r="G40" s="140">
        <f>F40-E40</f>
        <v>6.9444444444444364E-2</v>
      </c>
      <c r="H40" s="141">
        <v>305</v>
      </c>
      <c r="I40" s="174">
        <v>1</v>
      </c>
      <c r="K40" s="175">
        <v>0.41666666666666669</v>
      </c>
      <c r="L40" s="175">
        <v>0.4909722222222222</v>
      </c>
      <c r="M40" s="169">
        <f>L40-K40</f>
        <v>7.4305555555555514E-2</v>
      </c>
      <c r="N40" s="170">
        <v>305</v>
      </c>
      <c r="O40" s="176">
        <v>2</v>
      </c>
      <c r="P40" s="177"/>
      <c r="Q40" s="178"/>
      <c r="R40" s="178"/>
      <c r="S40" s="178"/>
      <c r="T40" s="178"/>
      <c r="U40" s="179"/>
      <c r="V40" s="165">
        <v>0.25</v>
      </c>
      <c r="W40" s="28">
        <f t="shared" ref="W40:W41" si="1">V40-V39</f>
        <v>6.25E-2</v>
      </c>
      <c r="X40" s="166">
        <v>0.70833333333333337</v>
      </c>
      <c r="Y40" s="30">
        <f>X40-X39</f>
        <v>8.333333333333337E-2</v>
      </c>
    </row>
    <row r="41" spans="2:25" ht="24" customHeight="1" thickBot="1" x14ac:dyDescent="0.3">
      <c r="B41" s="426"/>
      <c r="C41" s="429"/>
      <c r="D41" s="431" t="s">
        <v>78</v>
      </c>
      <c r="E41" s="432"/>
      <c r="F41" s="432"/>
      <c r="G41" s="432"/>
      <c r="H41" s="432"/>
      <c r="I41" s="433"/>
      <c r="J41" s="431" t="s">
        <v>78</v>
      </c>
      <c r="K41" s="432"/>
      <c r="L41" s="432"/>
      <c r="M41" s="432"/>
      <c r="N41" s="432"/>
      <c r="O41" s="433"/>
      <c r="P41" s="180"/>
      <c r="Q41" s="181"/>
      <c r="R41" s="181"/>
      <c r="S41" s="182"/>
      <c r="T41" s="183"/>
      <c r="U41" s="184"/>
      <c r="V41" s="165">
        <v>0.29166666666666669</v>
      </c>
      <c r="W41" s="28">
        <f t="shared" si="1"/>
        <v>4.1666666666666685E-2</v>
      </c>
      <c r="X41" s="166">
        <v>0.80555555555555547</v>
      </c>
      <c r="Y41" s="30">
        <f>X41-X40</f>
        <v>9.7222222222222099E-2</v>
      </c>
    </row>
    <row r="42" spans="2:25" ht="24" customHeight="1" thickBot="1" x14ac:dyDescent="0.35">
      <c r="B42" s="426"/>
      <c r="C42" s="430"/>
      <c r="D42" s="434" t="s">
        <v>79</v>
      </c>
      <c r="E42" s="435"/>
      <c r="F42" s="435"/>
      <c r="G42" s="435"/>
      <c r="H42" s="435"/>
      <c r="I42" s="436"/>
      <c r="J42" s="434" t="s">
        <v>79</v>
      </c>
      <c r="K42" s="435"/>
      <c r="L42" s="435"/>
      <c r="M42" s="435"/>
      <c r="N42" s="435"/>
      <c r="O42" s="436"/>
      <c r="P42" s="434" t="s">
        <v>79</v>
      </c>
      <c r="Q42" s="435"/>
      <c r="R42" s="435"/>
      <c r="S42" s="435"/>
      <c r="T42" s="435"/>
      <c r="U42" s="436"/>
      <c r="V42" s="165">
        <v>0.35833333333333334</v>
      </c>
      <c r="W42" s="28">
        <f>V42-V41</f>
        <v>6.6666666666666652E-2</v>
      </c>
      <c r="X42" s="185">
        <v>0.875</v>
      </c>
      <c r="Y42" s="30">
        <f>X42-X41</f>
        <v>6.9444444444444531E-2</v>
      </c>
    </row>
    <row r="43" spans="2:25" ht="24" customHeight="1" thickBot="1" x14ac:dyDescent="0.3">
      <c r="B43" s="426"/>
      <c r="C43" s="36" t="s">
        <v>17</v>
      </c>
      <c r="D43" s="37">
        <f>MAX(E37:F41)-IF(D37="",E37,D37)-MIN(H37:H41)+$C34</f>
        <v>0.34583333333333321</v>
      </c>
      <c r="E43" s="38"/>
      <c r="F43" s="38"/>
      <c r="G43" s="39"/>
      <c r="H43" s="40">
        <f ca="1">OFFSET(H36,MATCH(MIN(H37:H41),H37:H41,0),-4)-IF(D37="",E37,D37)+$C34</f>
        <v>0.27638888888888885</v>
      </c>
      <c r="I43" s="41"/>
      <c r="J43" s="37">
        <f>MAX(K37:L41)-IF(J37="",K37,J37)-MIN(N37:N41)+$C35</f>
        <v>0.29236111111111107</v>
      </c>
      <c r="K43" s="38"/>
      <c r="L43" s="38"/>
      <c r="M43" s="39"/>
      <c r="N43" s="40">
        <f ca="1">OFFSET(N36,MATCH(MIN(N37:N41),N37:N41,0),-4)-IF(J37="",K37,J37)+$C35</f>
        <v>0.21805555555555553</v>
      </c>
      <c r="O43" s="41"/>
      <c r="P43" s="37">
        <f>MAX(Q37:R41)-IF(P37="",Q37,P37)-MIN(T37:T41)+$C34</f>
        <v>0.33680555555555558</v>
      </c>
      <c r="Q43" s="38"/>
      <c r="R43" s="38"/>
      <c r="S43" s="39"/>
      <c r="T43" s="40">
        <f ca="1">OFFSET(T36,MATCH(MIN(T37:T41),T37:T41,0),-4)-IF(P37="",Q37,P37)+$C34</f>
        <v>0.1881944444444445</v>
      </c>
      <c r="U43" s="42"/>
      <c r="V43" s="172">
        <v>0.41666666666666669</v>
      </c>
      <c r="W43" s="28" t="s">
        <v>76</v>
      </c>
      <c r="X43" s="185">
        <v>0.94444444444444453</v>
      </c>
      <c r="Y43" s="30">
        <f>X43-X42</f>
        <v>6.9444444444444531E-2</v>
      </c>
    </row>
    <row r="44" spans="2:25" ht="24" customHeight="1" thickBot="1" x14ac:dyDescent="0.3">
      <c r="B44" s="426"/>
      <c r="C44" s="186">
        <v>3.125E-2</v>
      </c>
      <c r="D44" s="9" t="s">
        <v>18</v>
      </c>
      <c r="E44" s="7"/>
      <c r="F44" s="7"/>
      <c r="G44" s="7"/>
      <c r="H44" s="7"/>
      <c r="I44" s="8"/>
      <c r="J44" s="9"/>
      <c r="K44" s="7"/>
      <c r="L44" s="7"/>
      <c r="M44" s="7"/>
      <c r="N44" s="7"/>
      <c r="O44" s="8"/>
      <c r="P44" s="9"/>
      <c r="Q44" s="7"/>
      <c r="R44" s="7"/>
      <c r="S44" s="7"/>
      <c r="T44" s="7"/>
      <c r="U44" s="7"/>
      <c r="V44" s="187">
        <v>0.47916666666666669</v>
      </c>
      <c r="W44" s="44">
        <f>V44-V42</f>
        <v>0.12083333333333335</v>
      </c>
      <c r="X44" s="188"/>
      <c r="Y44" s="189"/>
    </row>
    <row r="45" spans="2:25" ht="24" customHeight="1" thickBot="1" x14ac:dyDescent="0.3">
      <c r="B45" s="426"/>
      <c r="C45" s="136">
        <v>6.9444444444444441E-3</v>
      </c>
      <c r="D45" s="9" t="s">
        <v>19</v>
      </c>
      <c r="E45" s="7"/>
      <c r="F45" s="7"/>
      <c r="G45" s="7"/>
      <c r="H45" s="7"/>
      <c r="I45" s="8"/>
      <c r="J45" s="9" t="s">
        <v>20</v>
      </c>
      <c r="K45" s="7"/>
      <c r="L45" s="7"/>
      <c r="M45" s="7"/>
      <c r="N45" s="7"/>
      <c r="O45" s="8"/>
      <c r="P45" s="9" t="s">
        <v>21</v>
      </c>
      <c r="Q45" s="7"/>
      <c r="R45" s="7"/>
      <c r="S45" s="7"/>
      <c r="T45" s="7"/>
      <c r="U45" s="8"/>
    </row>
    <row r="46" spans="2:25" ht="24" customHeight="1" thickBot="1" x14ac:dyDescent="0.3">
      <c r="B46" s="426"/>
      <c r="C46" s="437" t="s">
        <v>7</v>
      </c>
      <c r="D46" s="13" t="s">
        <v>8</v>
      </c>
      <c r="E46" s="14" t="s">
        <v>9</v>
      </c>
      <c r="F46" s="15" t="s">
        <v>10</v>
      </c>
      <c r="G46" s="14" t="s">
        <v>11</v>
      </c>
      <c r="H46" s="15" t="s">
        <v>12</v>
      </c>
      <c r="I46" s="14" t="s">
        <v>13</v>
      </c>
      <c r="J46" s="15" t="s">
        <v>8</v>
      </c>
      <c r="K46" s="14" t="s">
        <v>9</v>
      </c>
      <c r="L46" s="15" t="s">
        <v>10</v>
      </c>
      <c r="M46" s="14" t="s">
        <v>11</v>
      </c>
      <c r="N46" s="15" t="s">
        <v>12</v>
      </c>
      <c r="O46" s="14" t="s">
        <v>13</v>
      </c>
      <c r="P46" s="13" t="s">
        <v>8</v>
      </c>
      <c r="Q46" s="14" t="s">
        <v>9</v>
      </c>
      <c r="R46" s="15" t="s">
        <v>10</v>
      </c>
      <c r="S46" s="14" t="s">
        <v>11</v>
      </c>
      <c r="T46" s="15" t="s">
        <v>12</v>
      </c>
      <c r="U46" s="14" t="s">
        <v>13</v>
      </c>
      <c r="V46" s="1"/>
      <c r="W46" s="1"/>
    </row>
    <row r="47" spans="2:25" ht="24" customHeight="1" thickBot="1" x14ac:dyDescent="0.3">
      <c r="B47" s="426"/>
      <c r="C47" s="429"/>
      <c r="D47" s="138">
        <v>0.55555555555555558</v>
      </c>
      <c r="E47" s="139">
        <v>0.64861111111111114</v>
      </c>
      <c r="F47" s="139">
        <v>0.72916666666666663</v>
      </c>
      <c r="G47" s="150">
        <f>F47-D47</f>
        <v>0.17361111111111105</v>
      </c>
      <c r="H47" s="141">
        <v>305</v>
      </c>
      <c r="I47" s="190">
        <v>1</v>
      </c>
      <c r="J47" s="138">
        <v>0.625</v>
      </c>
      <c r="K47" s="139">
        <v>0.72083333333333333</v>
      </c>
      <c r="L47" s="139">
        <v>0.79583333333333339</v>
      </c>
      <c r="M47" s="150">
        <f>L47-J47</f>
        <v>0.17083333333333339</v>
      </c>
      <c r="N47" s="141">
        <v>305</v>
      </c>
      <c r="O47" s="190">
        <v>2</v>
      </c>
      <c r="P47" s="138">
        <v>0.70833333333333337</v>
      </c>
      <c r="Q47" s="139">
        <v>0.80833333333333324</v>
      </c>
      <c r="R47" s="139">
        <v>0.86875000000000002</v>
      </c>
      <c r="S47" s="150">
        <f>R47-P47</f>
        <v>0.16041666666666665</v>
      </c>
      <c r="T47" s="141">
        <v>305</v>
      </c>
      <c r="U47" s="190">
        <v>3</v>
      </c>
      <c r="V47" s="1"/>
      <c r="W47" s="1"/>
    </row>
    <row r="48" spans="2:25" ht="24" customHeight="1" thickBot="1" x14ac:dyDescent="0.3">
      <c r="B48" s="426"/>
      <c r="C48" s="429"/>
      <c r="D48" s="31">
        <f>IF(F47="",E47,F47)</f>
        <v>0.72916666666666663</v>
      </c>
      <c r="E48" s="32"/>
      <c r="F48" s="31">
        <f>IF(D49="",E49,D49)</f>
        <v>0.80555555555555547</v>
      </c>
      <c r="G48" s="32"/>
      <c r="H48" s="32">
        <f>F48-D48</f>
        <v>7.638888888888884E-2</v>
      </c>
      <c r="I48" s="32"/>
      <c r="J48" s="31">
        <f>IF(L47="",K47,L47)</f>
        <v>0.79583333333333339</v>
      </c>
      <c r="K48" s="32"/>
      <c r="L48" s="31">
        <f>IF(J49="",K49,J49)</f>
        <v>0.875</v>
      </c>
      <c r="M48" s="32"/>
      <c r="N48" s="32">
        <f>L48-J48</f>
        <v>7.9166666666666607E-2</v>
      </c>
      <c r="O48" s="32"/>
      <c r="P48" s="31">
        <f>IF(R47="",Q47,R47)</f>
        <v>0.86875000000000002</v>
      </c>
      <c r="Q48" s="32"/>
      <c r="R48" s="31">
        <f>IF(P49="",Q49,P49)</f>
        <v>0.94444444444444453</v>
      </c>
      <c r="S48" s="32"/>
      <c r="T48" s="32">
        <f>R48-P48</f>
        <v>7.5694444444444509E-2</v>
      </c>
      <c r="U48" s="32"/>
      <c r="V48" s="1"/>
      <c r="W48" s="1"/>
    </row>
    <row r="49" spans="2:25" ht="24" customHeight="1" x14ac:dyDescent="0.25">
      <c r="B49" s="426"/>
      <c r="C49" s="429"/>
      <c r="D49" s="165">
        <v>0.80555555555555547</v>
      </c>
      <c r="E49" s="166">
        <v>0.88611111111111107</v>
      </c>
      <c r="F49" s="166">
        <v>0.94791666666666663</v>
      </c>
      <c r="G49" s="169">
        <f>F49-D49</f>
        <v>0.14236111111111116</v>
      </c>
      <c r="H49" s="170">
        <v>305</v>
      </c>
      <c r="I49" s="176">
        <v>1</v>
      </c>
      <c r="J49" s="191">
        <v>0.875</v>
      </c>
      <c r="K49" s="185">
        <v>0.94652777777777775</v>
      </c>
      <c r="L49" s="185">
        <v>0.98749999999999993</v>
      </c>
      <c r="M49" s="169">
        <f>L49-J49</f>
        <v>0.11249999999999993</v>
      </c>
      <c r="N49" s="170" t="s">
        <v>80</v>
      </c>
      <c r="O49" s="176">
        <v>2</v>
      </c>
      <c r="P49" s="191">
        <v>0.94444444444444453</v>
      </c>
      <c r="Q49" s="185">
        <v>1.0159722222222223</v>
      </c>
      <c r="R49" s="185">
        <v>1.0555555555555556</v>
      </c>
      <c r="S49" s="169">
        <f>R49-P49</f>
        <v>0.11111111111111105</v>
      </c>
      <c r="T49" s="170" t="s">
        <v>80</v>
      </c>
      <c r="U49" s="176">
        <v>3</v>
      </c>
      <c r="V49" s="1"/>
      <c r="W49" s="1"/>
    </row>
    <row r="50" spans="2:25" ht="24" customHeight="1" thickBot="1" x14ac:dyDescent="0.3">
      <c r="B50" s="426"/>
      <c r="C50" s="429"/>
      <c r="D50" s="59"/>
      <c r="E50" s="60"/>
      <c r="F50" s="60"/>
      <c r="G50" s="192"/>
      <c r="H50" s="61"/>
      <c r="I50" s="62"/>
      <c r="J50" s="59"/>
      <c r="K50" s="60"/>
      <c r="L50" s="60"/>
      <c r="M50" s="192"/>
      <c r="N50" s="61"/>
      <c r="O50" s="62"/>
      <c r="P50" s="59"/>
      <c r="Q50" s="60"/>
      <c r="R50" s="60"/>
      <c r="S50" s="192"/>
      <c r="T50" s="61"/>
      <c r="U50" s="62"/>
      <c r="V50" s="1"/>
      <c r="W50" s="1"/>
    </row>
    <row r="51" spans="2:25" ht="24" customHeight="1" thickBot="1" x14ac:dyDescent="0.35">
      <c r="B51" s="426"/>
      <c r="C51" s="430"/>
      <c r="D51" s="434" t="s">
        <v>79</v>
      </c>
      <c r="E51" s="435"/>
      <c r="F51" s="435"/>
      <c r="G51" s="435"/>
      <c r="H51" s="435"/>
      <c r="I51" s="436"/>
      <c r="J51" s="434" t="s">
        <v>79</v>
      </c>
      <c r="K51" s="435"/>
      <c r="L51" s="435"/>
      <c r="M51" s="435"/>
      <c r="N51" s="435"/>
      <c r="O51" s="436"/>
      <c r="P51" s="434" t="s">
        <v>79</v>
      </c>
      <c r="Q51" s="435"/>
      <c r="R51" s="435"/>
      <c r="S51" s="435"/>
      <c r="T51" s="435"/>
      <c r="U51" s="436"/>
      <c r="V51" s="1"/>
      <c r="W51" s="1"/>
    </row>
    <row r="52" spans="2:25" ht="24" customHeight="1" thickBot="1" x14ac:dyDescent="0.3">
      <c r="B52" s="427"/>
      <c r="C52" s="36" t="s">
        <v>17</v>
      </c>
      <c r="D52" s="37">
        <f>MAX(E47:F50)-IF(D47="",E47,D47)-MIN(H47:H50)+$C44</f>
        <v>0.34722222222222221</v>
      </c>
      <c r="E52" s="51"/>
      <c r="F52" s="51"/>
      <c r="G52" s="52"/>
      <c r="H52" s="53">
        <f ca="1">OFFSET(H46,MATCH(MIN(H47:H50),H47:H50,0),-4)-IF(D47="",E47,D47)</f>
        <v>0.17361111111111105</v>
      </c>
      <c r="I52" s="54"/>
      <c r="J52" s="37">
        <f>MAX(K47:L50)-IF(J47="",K47,J47)-MIN(N47:N50)+$C45</f>
        <v>0.29027777777777775</v>
      </c>
      <c r="K52" s="38"/>
      <c r="L52" s="38"/>
      <c r="M52" s="39"/>
      <c r="N52" s="53">
        <f ca="1">OFFSET(N46,MATCH(MIN(N47:N50),N47:N50,0),-4)-IF(J47="",K47,J47)</f>
        <v>0.17083333333333339</v>
      </c>
      <c r="O52" s="41"/>
      <c r="P52" s="37">
        <f>MAX(Q47:R50)-IF(P47="",Q47,P47)-MIN(T47:T50)+$C45</f>
        <v>0.27847222222222212</v>
      </c>
      <c r="Q52" s="38"/>
      <c r="R52" s="38"/>
      <c r="S52" s="39"/>
      <c r="T52" s="53">
        <f ca="1">OFFSET(T46,MATCH(MIN(T47:T50),T47:T50,0),-4)-IF(P47="",Q47,P47)</f>
        <v>0.16041666666666665</v>
      </c>
      <c r="U52" s="41"/>
      <c r="V52" s="35"/>
      <c r="W52" s="35"/>
    </row>
    <row r="53" spans="2:25" ht="24" customHeight="1" x14ac:dyDescent="0.25">
      <c r="B53" s="1"/>
      <c r="C53" s="1"/>
      <c r="E53" s="1"/>
      <c r="F53" s="1"/>
      <c r="G53" s="1"/>
      <c r="H53" s="1"/>
      <c r="K53" s="1"/>
      <c r="L53" s="1"/>
      <c r="M53" s="1"/>
      <c r="N53" s="1"/>
      <c r="Q53" s="1"/>
      <c r="R53" s="1"/>
      <c r="S53" s="1"/>
      <c r="T53" s="1"/>
      <c r="V53" s="1"/>
      <c r="W53" s="1"/>
    </row>
    <row r="54" spans="2:25" ht="24" customHeight="1" x14ac:dyDescent="0.25">
      <c r="B54" s="1"/>
      <c r="C54" s="1"/>
      <c r="D54" s="1"/>
      <c r="E54" s="1"/>
      <c r="F54" s="1"/>
      <c r="G54" s="1"/>
      <c r="H54" s="1"/>
      <c r="I54" s="193">
        <v>305</v>
      </c>
      <c r="J54" s="193">
        <v>1</v>
      </c>
      <c r="K54" s="193">
        <v>9</v>
      </c>
      <c r="L54" s="424" t="s">
        <v>81</v>
      </c>
      <c r="M54" s="424"/>
      <c r="N54" s="424"/>
      <c r="O54" s="424"/>
      <c r="P54" s="424"/>
      <c r="Q54" s="424"/>
      <c r="R54" s="424"/>
      <c r="S54" s="424"/>
      <c r="X54" s="1"/>
      <c r="Y54" s="1"/>
    </row>
    <row r="55" spans="2:25" ht="24" customHeight="1" x14ac:dyDescent="0.25">
      <c r="B55" s="1"/>
      <c r="C55" s="1"/>
      <c r="I55" s="193" t="s">
        <v>75</v>
      </c>
      <c r="J55" s="193">
        <v>1</v>
      </c>
      <c r="K55" s="193">
        <v>1</v>
      </c>
      <c r="L55" s="438" t="s">
        <v>82</v>
      </c>
      <c r="M55" s="438"/>
      <c r="N55" s="438"/>
      <c r="O55" s="438"/>
      <c r="P55" s="438"/>
      <c r="Q55" s="438"/>
      <c r="R55" s="438"/>
      <c r="S55" s="438"/>
      <c r="W55" s="1"/>
      <c r="X55" s="1"/>
      <c r="Y55" s="1"/>
    </row>
    <row r="56" spans="2:25" ht="24" customHeight="1" x14ac:dyDescent="0.25">
      <c r="B56" s="1"/>
      <c r="C56" s="1"/>
      <c r="I56" s="193" t="s">
        <v>80</v>
      </c>
      <c r="J56" s="193">
        <v>2</v>
      </c>
      <c r="K56" s="193">
        <v>2</v>
      </c>
      <c r="L56" s="439" t="s">
        <v>83</v>
      </c>
      <c r="M56" s="439"/>
      <c r="N56" s="439"/>
      <c r="O56" s="439"/>
      <c r="P56" s="439"/>
      <c r="Q56" s="439"/>
      <c r="R56" s="439"/>
      <c r="S56" s="439"/>
      <c r="V56" s="1"/>
      <c r="X56" s="1"/>
      <c r="Y56" s="1"/>
    </row>
    <row r="57" spans="2:25" ht="24" customHeight="1" thickBot="1" x14ac:dyDescent="0.3"/>
    <row r="58" spans="2:25" ht="24" customHeight="1" thickBot="1" x14ac:dyDescent="0.3">
      <c r="C58" s="440" t="s">
        <v>86</v>
      </c>
      <c r="D58" s="441"/>
      <c r="E58" s="441"/>
      <c r="F58" s="441"/>
      <c r="G58" s="441"/>
      <c r="H58" s="441"/>
      <c r="I58" s="441"/>
      <c r="J58" s="441"/>
      <c r="K58" s="441"/>
      <c r="L58" s="441"/>
      <c r="M58" s="441"/>
      <c r="N58" s="441"/>
      <c r="O58" s="441"/>
      <c r="P58" s="442"/>
    </row>
    <row r="62" spans="2:25" ht="24" customHeight="1" thickBot="1" x14ac:dyDescent="0.3"/>
    <row r="63" spans="2:25" ht="24" customHeight="1" thickBot="1" x14ac:dyDescent="0.3">
      <c r="B63" s="425" t="s">
        <v>48</v>
      </c>
      <c r="C63" s="2" t="s">
        <v>87</v>
      </c>
      <c r="D63" s="3"/>
      <c r="E63" s="3"/>
      <c r="F63" s="3"/>
      <c r="G63" s="3"/>
      <c r="H63" s="4"/>
      <c r="I63" s="5"/>
      <c r="J63" s="3"/>
      <c r="K63" s="3"/>
      <c r="L63" s="3"/>
      <c r="M63" s="3"/>
      <c r="N63" s="4"/>
      <c r="O63" s="5"/>
      <c r="P63" s="3"/>
      <c r="Q63" s="3"/>
      <c r="R63" s="3"/>
      <c r="S63" s="3"/>
      <c r="T63" s="4"/>
      <c r="U63" s="5"/>
      <c r="V63" s="6" t="s">
        <v>73</v>
      </c>
      <c r="W63" s="7"/>
      <c r="X63" s="7"/>
      <c r="Y63" s="8"/>
    </row>
    <row r="64" spans="2:25" ht="24" customHeight="1" thickBot="1" x14ac:dyDescent="0.3">
      <c r="B64" s="426"/>
      <c r="C64" s="135">
        <v>3.125E-2</v>
      </c>
      <c r="D64" s="9" t="s">
        <v>2</v>
      </c>
      <c r="E64" s="7"/>
      <c r="F64" s="7"/>
      <c r="G64" s="7"/>
      <c r="H64" s="7"/>
      <c r="I64" s="8"/>
      <c r="J64" s="9"/>
      <c r="K64" s="7"/>
      <c r="L64" s="7"/>
      <c r="M64" s="7"/>
      <c r="N64" s="7"/>
      <c r="O64" s="8"/>
      <c r="P64" s="9"/>
      <c r="Q64" s="7"/>
      <c r="R64" s="7"/>
      <c r="S64" s="7"/>
      <c r="T64" s="7"/>
      <c r="U64" s="8"/>
      <c r="V64" s="10" t="s">
        <v>25</v>
      </c>
      <c r="W64" s="11"/>
      <c r="X64" s="11"/>
      <c r="Y64" s="12"/>
    </row>
    <row r="65" spans="2:25" ht="24" customHeight="1" thickBot="1" x14ac:dyDescent="0.3">
      <c r="B65" s="426"/>
      <c r="C65" s="136">
        <v>3.472222222222222E-3</v>
      </c>
      <c r="D65" s="9" t="s">
        <v>4</v>
      </c>
      <c r="E65" s="7"/>
      <c r="F65" s="7"/>
      <c r="G65" s="7"/>
      <c r="H65" s="7"/>
      <c r="I65" s="8"/>
      <c r="J65" s="9" t="s">
        <v>5</v>
      </c>
      <c r="K65" s="7"/>
      <c r="L65" s="7"/>
      <c r="M65" s="7"/>
      <c r="N65" s="7"/>
      <c r="O65" s="8"/>
      <c r="P65" s="9" t="s">
        <v>6</v>
      </c>
      <c r="Q65" s="7"/>
      <c r="R65" s="7"/>
      <c r="S65" s="7"/>
      <c r="T65" s="7"/>
      <c r="U65" s="8"/>
      <c r="V65" s="6" t="str">
        <f>CONCATENATE(COUNT(V67:V74,X67:X74)," VIAGENS")</f>
        <v>15 VIAGENS</v>
      </c>
      <c r="W65" s="7"/>
      <c r="X65" s="7"/>
      <c r="Y65" s="8"/>
    </row>
    <row r="66" spans="2:25" ht="24" customHeight="1" thickBot="1" x14ac:dyDescent="0.3">
      <c r="B66" s="426"/>
      <c r="C66" s="428" t="s">
        <v>7</v>
      </c>
      <c r="D66" s="16" t="s">
        <v>8</v>
      </c>
      <c r="E66" s="17" t="s">
        <v>9</v>
      </c>
      <c r="F66" s="137" t="s">
        <v>10</v>
      </c>
      <c r="G66" s="17" t="s">
        <v>11</v>
      </c>
      <c r="H66" s="137" t="s">
        <v>12</v>
      </c>
      <c r="I66" s="17" t="s">
        <v>13</v>
      </c>
      <c r="J66" s="16" t="s">
        <v>8</v>
      </c>
      <c r="K66" s="17" t="s">
        <v>9</v>
      </c>
      <c r="L66" s="137" t="s">
        <v>10</v>
      </c>
      <c r="M66" s="17" t="s">
        <v>11</v>
      </c>
      <c r="N66" s="137" t="s">
        <v>12</v>
      </c>
      <c r="O66" s="17" t="s">
        <v>13</v>
      </c>
      <c r="P66" s="13" t="s">
        <v>8</v>
      </c>
      <c r="Q66" s="14" t="s">
        <v>9</v>
      </c>
      <c r="R66" s="15" t="s">
        <v>10</v>
      </c>
      <c r="S66" s="14" t="s">
        <v>11</v>
      </c>
      <c r="T66" s="15" t="s">
        <v>12</v>
      </c>
      <c r="U66" s="14" t="s">
        <v>13</v>
      </c>
      <c r="V66" s="16" t="s">
        <v>14</v>
      </c>
      <c r="W66" s="17" t="s">
        <v>15</v>
      </c>
      <c r="X66" s="16" t="s">
        <v>14</v>
      </c>
      <c r="Y66" s="17" t="s">
        <v>15</v>
      </c>
    </row>
    <row r="67" spans="2:25" ht="24" customHeight="1" thickBot="1" x14ac:dyDescent="0.3">
      <c r="B67" s="426"/>
      <c r="C67" s="429"/>
      <c r="D67" s="138">
        <v>0.1875</v>
      </c>
      <c r="E67" s="139">
        <v>0.25972222222222224</v>
      </c>
      <c r="F67" s="139">
        <v>0.3527777777777778</v>
      </c>
      <c r="G67" s="140">
        <f>F67-D67</f>
        <v>0.1652777777777778</v>
      </c>
      <c r="H67" s="141">
        <v>305</v>
      </c>
      <c r="I67" s="142">
        <v>1</v>
      </c>
      <c r="J67" s="143">
        <v>0.15277777777777776</v>
      </c>
      <c r="K67" s="144">
        <v>0.1875</v>
      </c>
      <c r="L67" s="145">
        <v>0.27986111111111112</v>
      </c>
      <c r="M67" s="146">
        <f>L67-K67</f>
        <v>9.2361111111111116E-2</v>
      </c>
      <c r="N67" s="147" t="s">
        <v>75</v>
      </c>
      <c r="O67" s="148">
        <v>2</v>
      </c>
      <c r="P67" s="149">
        <v>0.25</v>
      </c>
      <c r="Q67" s="139">
        <v>0.33333333333333331</v>
      </c>
      <c r="R67" s="139">
        <v>0.4069444444444445</v>
      </c>
      <c r="S67" s="150">
        <f>R67-P67</f>
        <v>0.1569444444444445</v>
      </c>
      <c r="T67" s="141">
        <v>305</v>
      </c>
      <c r="U67" s="151">
        <v>3</v>
      </c>
      <c r="V67" s="152">
        <v>0.15277777777777776</v>
      </c>
      <c r="W67" s="56"/>
      <c r="X67" s="144">
        <v>0.47916666666666669</v>
      </c>
      <c r="Y67" s="26" t="s">
        <v>76</v>
      </c>
    </row>
    <row r="68" spans="2:25" ht="24" customHeight="1" thickBot="1" x14ac:dyDescent="0.3">
      <c r="B68" s="426"/>
      <c r="C68" s="429"/>
      <c r="D68" s="153">
        <v>0.35833333333333334</v>
      </c>
      <c r="E68" s="154">
        <v>0.43263888888888885</v>
      </c>
      <c r="F68" s="155"/>
      <c r="G68" s="156">
        <f>E68-D68</f>
        <v>7.4305555555555514E-2</v>
      </c>
      <c r="H68" s="157">
        <v>305</v>
      </c>
      <c r="I68" s="158">
        <v>1</v>
      </c>
      <c r="J68" s="159">
        <v>0.29166666666666669</v>
      </c>
      <c r="K68" s="160">
        <v>0.36736111111111108</v>
      </c>
      <c r="L68" s="161"/>
      <c r="M68" s="162">
        <f>K68-J68</f>
        <v>7.5694444444444398E-2</v>
      </c>
      <c r="N68" s="163">
        <v>305</v>
      </c>
      <c r="O68" s="164">
        <v>2</v>
      </c>
      <c r="P68" s="33">
        <f>IF(R67="",Q67,R67)</f>
        <v>0.4069444444444445</v>
      </c>
      <c r="Q68" s="32"/>
      <c r="R68" s="31">
        <f>IF(P69="",Q69,P69)</f>
        <v>0.47916666666666669</v>
      </c>
      <c r="S68" s="32"/>
      <c r="T68" s="32">
        <f>R68-P68</f>
        <v>7.2222222222222188E-2</v>
      </c>
      <c r="U68" s="33"/>
      <c r="V68" s="165">
        <v>0.1875</v>
      </c>
      <c r="W68" s="28" t="s">
        <v>77</v>
      </c>
      <c r="X68" s="166">
        <v>0.55555555555555558</v>
      </c>
      <c r="Y68" s="30">
        <f>X68-V74</f>
        <v>7.6388888888888895E-2</v>
      </c>
    </row>
    <row r="69" spans="2:25" ht="24" customHeight="1" thickBot="1" x14ac:dyDescent="0.3">
      <c r="B69" s="426"/>
      <c r="C69" s="429"/>
      <c r="D69" s="167">
        <f>IF(F68="",E68,F68)</f>
        <v>0.43263888888888885</v>
      </c>
      <c r="E69" s="168"/>
      <c r="F69" s="167">
        <f>IF(D70="",E70,D70)</f>
        <v>0.47916666666666669</v>
      </c>
      <c r="G69" s="168"/>
      <c r="H69" s="168">
        <f>F69-D69</f>
        <v>4.6527777777777835E-2</v>
      </c>
      <c r="I69" s="168"/>
      <c r="J69" s="31">
        <f>IF(L68="",K68,L68)</f>
        <v>0.36736111111111108</v>
      </c>
      <c r="K69" s="32"/>
      <c r="L69" s="31">
        <f>IF(J70="",K70,J70)</f>
        <v>0.41666666666666669</v>
      </c>
      <c r="M69" s="32"/>
      <c r="N69" s="32">
        <f>L69-J69</f>
        <v>4.9305555555555602E-2</v>
      </c>
      <c r="O69" s="32"/>
      <c r="P69" s="165">
        <v>0.47916666666666669</v>
      </c>
      <c r="Q69" s="166">
        <v>0.57222222222222219</v>
      </c>
      <c r="R69" s="166">
        <v>0.62777777777777777</v>
      </c>
      <c r="S69" s="169">
        <f>R69-P69</f>
        <v>0.14861111111111108</v>
      </c>
      <c r="T69" s="170">
        <v>305</v>
      </c>
      <c r="U69" s="171">
        <v>3</v>
      </c>
      <c r="V69" s="172">
        <v>0.1875</v>
      </c>
      <c r="W69" s="28" t="s">
        <v>76</v>
      </c>
      <c r="X69" s="166">
        <v>0.625</v>
      </c>
      <c r="Y69" s="30">
        <f>X69-X68</f>
        <v>6.944444444444442E-2</v>
      </c>
    </row>
    <row r="70" spans="2:25" ht="24" customHeight="1" x14ac:dyDescent="0.25">
      <c r="B70" s="426"/>
      <c r="C70" s="429"/>
      <c r="D70" s="173"/>
      <c r="E70" s="144">
        <v>0.47916666666666669</v>
      </c>
      <c r="F70" s="144">
        <v>0.54861111111111105</v>
      </c>
      <c r="G70" s="140">
        <f>F70-E70</f>
        <v>6.9444444444444364E-2</v>
      </c>
      <c r="H70" s="141">
        <v>305</v>
      </c>
      <c r="I70" s="174">
        <v>1</v>
      </c>
      <c r="K70" s="175">
        <v>0.41666666666666669</v>
      </c>
      <c r="L70" s="175">
        <v>0.4909722222222222</v>
      </c>
      <c r="M70" s="169">
        <f>L70-K70</f>
        <v>7.4305555555555514E-2</v>
      </c>
      <c r="N70" s="170">
        <v>305</v>
      </c>
      <c r="O70" s="176">
        <v>2</v>
      </c>
      <c r="P70" s="177"/>
      <c r="Q70" s="178"/>
      <c r="R70" s="178"/>
      <c r="S70" s="178"/>
      <c r="T70" s="178"/>
      <c r="U70" s="179"/>
      <c r="V70" s="165">
        <v>0.25</v>
      </c>
      <c r="W70" s="28">
        <f t="shared" ref="W70:W71" si="2">V70-V69</f>
        <v>6.25E-2</v>
      </c>
      <c r="X70" s="166">
        <v>0.70833333333333337</v>
      </c>
      <c r="Y70" s="30">
        <f>X70-X69</f>
        <v>8.333333333333337E-2</v>
      </c>
    </row>
    <row r="71" spans="2:25" ht="24" customHeight="1" thickBot="1" x14ac:dyDescent="0.3">
      <c r="B71" s="426"/>
      <c r="C71" s="429"/>
      <c r="D71" s="431" t="s">
        <v>78</v>
      </c>
      <c r="E71" s="432"/>
      <c r="F71" s="432"/>
      <c r="G71" s="432"/>
      <c r="H71" s="432"/>
      <c r="I71" s="433"/>
      <c r="J71" s="431" t="s">
        <v>78</v>
      </c>
      <c r="K71" s="432"/>
      <c r="L71" s="432"/>
      <c r="M71" s="432"/>
      <c r="N71" s="432"/>
      <c r="O71" s="433"/>
      <c r="P71" s="180"/>
      <c r="Q71" s="181"/>
      <c r="R71" s="181"/>
      <c r="S71" s="182"/>
      <c r="T71" s="183"/>
      <c r="U71" s="184"/>
      <c r="V71" s="165">
        <v>0.29166666666666669</v>
      </c>
      <c r="W71" s="28">
        <f t="shared" si="2"/>
        <v>4.1666666666666685E-2</v>
      </c>
      <c r="X71" s="166">
        <v>0.80555555555555547</v>
      </c>
      <c r="Y71" s="30">
        <f>X71-X70</f>
        <v>9.7222222222222099E-2</v>
      </c>
    </row>
    <row r="72" spans="2:25" ht="24" customHeight="1" thickBot="1" x14ac:dyDescent="0.35">
      <c r="B72" s="426"/>
      <c r="C72" s="430"/>
      <c r="D72" s="434" t="s">
        <v>79</v>
      </c>
      <c r="E72" s="435"/>
      <c r="F72" s="435"/>
      <c r="G72" s="435"/>
      <c r="H72" s="435"/>
      <c r="I72" s="436"/>
      <c r="J72" s="434" t="s">
        <v>79</v>
      </c>
      <c r="K72" s="435"/>
      <c r="L72" s="435"/>
      <c r="M72" s="435"/>
      <c r="N72" s="435"/>
      <c r="O72" s="436"/>
      <c r="P72" s="434" t="s">
        <v>79</v>
      </c>
      <c r="Q72" s="435"/>
      <c r="R72" s="435"/>
      <c r="S72" s="435"/>
      <c r="T72" s="435"/>
      <c r="U72" s="436"/>
      <c r="V72" s="165">
        <v>0.35833333333333334</v>
      </c>
      <c r="W72" s="28">
        <f>V72-V71</f>
        <v>6.6666666666666652E-2</v>
      </c>
      <c r="X72" s="185">
        <v>0.875</v>
      </c>
      <c r="Y72" s="30">
        <f>X72-X71</f>
        <v>6.9444444444444531E-2</v>
      </c>
    </row>
    <row r="73" spans="2:25" ht="24" customHeight="1" thickBot="1" x14ac:dyDescent="0.3">
      <c r="B73" s="426"/>
      <c r="C73" s="36" t="s">
        <v>17</v>
      </c>
      <c r="D73" s="37">
        <f>MAX(E67:F71)-IF(D67="",E67,D67)-MIN(H67:H71)+$C64</f>
        <v>0.34583333333333321</v>
      </c>
      <c r="E73" s="38"/>
      <c r="F73" s="38"/>
      <c r="G73" s="39"/>
      <c r="H73" s="40">
        <f ca="1">OFFSET(H66,MATCH(MIN(H67:H71),H67:H71,0),-4)-IF(D67="",E67,D67)+$C64</f>
        <v>0.27638888888888885</v>
      </c>
      <c r="I73" s="41"/>
      <c r="J73" s="37">
        <f>MAX(K67:L71)-IF(J67="",K67,J67)-MIN(N67:N71)+$C65</f>
        <v>0.29236111111111107</v>
      </c>
      <c r="K73" s="38"/>
      <c r="L73" s="38"/>
      <c r="M73" s="39"/>
      <c r="N73" s="40">
        <f ca="1">OFFSET(N66,MATCH(MIN(N67:N71),N67:N71,0),-4)-IF(J67="",K67,J67)+$C65</f>
        <v>0.21805555555555553</v>
      </c>
      <c r="O73" s="41"/>
      <c r="P73" s="37">
        <f>MAX(Q67:R71)-IF(P67="",Q67,P67)-MIN(T67:T71)+$C64</f>
        <v>0.33680555555555558</v>
      </c>
      <c r="Q73" s="38"/>
      <c r="R73" s="38"/>
      <c r="S73" s="39"/>
      <c r="T73" s="40">
        <f ca="1">OFFSET(T66,MATCH(MIN(T67:T71),T67:T71,0),-4)-IF(P67="",Q67,P67)+$C64</f>
        <v>0.1881944444444445</v>
      </c>
      <c r="U73" s="42"/>
      <c r="V73" s="172">
        <v>0.41666666666666669</v>
      </c>
      <c r="W73" s="28" t="s">
        <v>76</v>
      </c>
      <c r="X73" s="185">
        <v>0.94444444444444453</v>
      </c>
      <c r="Y73" s="30">
        <f>X73-X72</f>
        <v>6.9444444444444531E-2</v>
      </c>
    </row>
    <row r="74" spans="2:25" ht="24" customHeight="1" thickBot="1" x14ac:dyDescent="0.3">
      <c r="B74" s="426"/>
      <c r="C74" s="186">
        <v>3.125E-2</v>
      </c>
      <c r="D74" s="9" t="s">
        <v>18</v>
      </c>
      <c r="E74" s="7"/>
      <c r="F74" s="7"/>
      <c r="G74" s="7"/>
      <c r="H74" s="7"/>
      <c r="I74" s="8"/>
      <c r="J74" s="9"/>
      <c r="K74" s="7"/>
      <c r="L74" s="7"/>
      <c r="M74" s="7"/>
      <c r="N74" s="7"/>
      <c r="O74" s="8"/>
      <c r="P74" s="9"/>
      <c r="Q74" s="7"/>
      <c r="R74" s="7"/>
      <c r="S74" s="7"/>
      <c r="T74" s="7"/>
      <c r="U74" s="7"/>
      <c r="V74" s="187">
        <v>0.47916666666666669</v>
      </c>
      <c r="W74" s="44">
        <f>V74-V72</f>
        <v>0.12083333333333335</v>
      </c>
      <c r="X74" s="188"/>
      <c r="Y74" s="189"/>
    </row>
    <row r="75" spans="2:25" ht="24" customHeight="1" thickBot="1" x14ac:dyDescent="0.3">
      <c r="B75" s="426"/>
      <c r="C75" s="136">
        <v>6.9444444444444441E-3</v>
      </c>
      <c r="D75" s="9" t="s">
        <v>19</v>
      </c>
      <c r="E75" s="7"/>
      <c r="F75" s="7"/>
      <c r="G75" s="7"/>
      <c r="H75" s="7"/>
      <c r="I75" s="8"/>
      <c r="J75" s="9" t="s">
        <v>20</v>
      </c>
      <c r="K75" s="7"/>
      <c r="L75" s="7"/>
      <c r="M75" s="7"/>
      <c r="N75" s="7"/>
      <c r="O75" s="8"/>
      <c r="P75" s="9" t="s">
        <v>21</v>
      </c>
      <c r="Q75" s="7"/>
      <c r="R75" s="7"/>
      <c r="S75" s="7"/>
      <c r="T75" s="7"/>
      <c r="U75" s="8"/>
    </row>
    <row r="76" spans="2:25" ht="24" customHeight="1" thickBot="1" x14ac:dyDescent="0.3">
      <c r="B76" s="426"/>
      <c r="C76" s="437" t="s">
        <v>7</v>
      </c>
      <c r="D76" s="13" t="s">
        <v>8</v>
      </c>
      <c r="E76" s="14" t="s">
        <v>9</v>
      </c>
      <c r="F76" s="15" t="s">
        <v>10</v>
      </c>
      <c r="G76" s="14" t="s">
        <v>11</v>
      </c>
      <c r="H76" s="15" t="s">
        <v>12</v>
      </c>
      <c r="I76" s="14" t="s">
        <v>13</v>
      </c>
      <c r="J76" s="15" t="s">
        <v>8</v>
      </c>
      <c r="K76" s="14" t="s">
        <v>9</v>
      </c>
      <c r="L76" s="15" t="s">
        <v>10</v>
      </c>
      <c r="M76" s="14" t="s">
        <v>11</v>
      </c>
      <c r="N76" s="15" t="s">
        <v>12</v>
      </c>
      <c r="O76" s="14" t="s">
        <v>13</v>
      </c>
      <c r="P76" s="13" t="s">
        <v>8</v>
      </c>
      <c r="Q76" s="14" t="s">
        <v>9</v>
      </c>
      <c r="R76" s="15" t="s">
        <v>10</v>
      </c>
      <c r="S76" s="14" t="s">
        <v>11</v>
      </c>
      <c r="T76" s="15" t="s">
        <v>12</v>
      </c>
      <c r="U76" s="14" t="s">
        <v>13</v>
      </c>
      <c r="V76" s="1"/>
      <c r="W76" s="1"/>
    </row>
    <row r="77" spans="2:25" ht="24" customHeight="1" thickBot="1" x14ac:dyDescent="0.3">
      <c r="B77" s="426"/>
      <c r="C77" s="429"/>
      <c r="D77" s="138">
        <v>0.55555555555555558</v>
      </c>
      <c r="E77" s="139">
        <v>0.64861111111111114</v>
      </c>
      <c r="F77" s="139">
        <v>0.72916666666666663</v>
      </c>
      <c r="G77" s="150">
        <f>F77-D77</f>
        <v>0.17361111111111105</v>
      </c>
      <c r="H77" s="141">
        <v>305</v>
      </c>
      <c r="I77" s="190">
        <v>1</v>
      </c>
      <c r="J77" s="138">
        <v>0.625</v>
      </c>
      <c r="K77" s="139">
        <v>0.72083333333333333</v>
      </c>
      <c r="L77" s="139">
        <v>0.79583333333333339</v>
      </c>
      <c r="M77" s="150">
        <f>L77-J77</f>
        <v>0.17083333333333339</v>
      </c>
      <c r="N77" s="141">
        <v>305</v>
      </c>
      <c r="O77" s="190">
        <v>2</v>
      </c>
      <c r="P77" s="138">
        <v>0.70833333333333337</v>
      </c>
      <c r="Q77" s="139">
        <v>0.80833333333333324</v>
      </c>
      <c r="R77" s="139">
        <v>0.86875000000000002</v>
      </c>
      <c r="S77" s="150">
        <f>R77-P77</f>
        <v>0.16041666666666665</v>
      </c>
      <c r="T77" s="141">
        <v>305</v>
      </c>
      <c r="U77" s="190">
        <v>3</v>
      </c>
      <c r="V77" s="1"/>
      <c r="W77" s="1"/>
    </row>
    <row r="78" spans="2:25" ht="24" customHeight="1" thickBot="1" x14ac:dyDescent="0.3">
      <c r="B78" s="426"/>
      <c r="C78" s="429"/>
      <c r="D78" s="31">
        <f>IF(F77="",E77,F77)</f>
        <v>0.72916666666666663</v>
      </c>
      <c r="E78" s="32"/>
      <c r="F78" s="31">
        <f>IF(D79="",E79,D79)</f>
        <v>0.80555555555555547</v>
      </c>
      <c r="G78" s="32"/>
      <c r="H78" s="32">
        <f>F78-D78</f>
        <v>7.638888888888884E-2</v>
      </c>
      <c r="I78" s="32"/>
      <c r="J78" s="31">
        <f>IF(L77="",K77,L77)</f>
        <v>0.79583333333333339</v>
      </c>
      <c r="K78" s="32"/>
      <c r="L78" s="31">
        <f>IF(J79="",K79,J79)</f>
        <v>0.875</v>
      </c>
      <c r="M78" s="32"/>
      <c r="N78" s="32">
        <f>L78-J78</f>
        <v>7.9166666666666607E-2</v>
      </c>
      <c r="O78" s="32"/>
      <c r="P78" s="31">
        <f>IF(R77="",Q77,R77)</f>
        <v>0.86875000000000002</v>
      </c>
      <c r="Q78" s="32"/>
      <c r="R78" s="31">
        <f>IF(P79="",Q79,P79)</f>
        <v>0.94444444444444453</v>
      </c>
      <c r="S78" s="32"/>
      <c r="T78" s="32">
        <f>R78-P78</f>
        <v>7.5694444444444509E-2</v>
      </c>
      <c r="U78" s="32"/>
      <c r="V78" s="1"/>
      <c r="W78" s="1"/>
    </row>
    <row r="79" spans="2:25" ht="24" customHeight="1" x14ac:dyDescent="0.25">
      <c r="B79" s="426"/>
      <c r="C79" s="429"/>
      <c r="D79" s="165">
        <v>0.80555555555555547</v>
      </c>
      <c r="E79" s="166">
        <v>0.88611111111111107</v>
      </c>
      <c r="F79" s="166">
        <v>0.94791666666666663</v>
      </c>
      <c r="G79" s="169">
        <f>F79-D79</f>
        <v>0.14236111111111116</v>
      </c>
      <c r="H79" s="170">
        <v>305</v>
      </c>
      <c r="I79" s="176">
        <v>1</v>
      </c>
      <c r="J79" s="191">
        <v>0.875</v>
      </c>
      <c r="K79" s="185">
        <v>0.94652777777777775</v>
      </c>
      <c r="L79" s="185">
        <v>0.98749999999999993</v>
      </c>
      <c r="M79" s="169">
        <f>L79-J79</f>
        <v>0.11249999999999993</v>
      </c>
      <c r="N79" s="170" t="s">
        <v>80</v>
      </c>
      <c r="O79" s="176">
        <v>2</v>
      </c>
      <c r="P79" s="191">
        <v>0.94444444444444453</v>
      </c>
      <c r="Q79" s="185">
        <v>1.0159722222222223</v>
      </c>
      <c r="R79" s="185">
        <v>1.0555555555555556</v>
      </c>
      <c r="S79" s="169">
        <f>R79-P79</f>
        <v>0.11111111111111105</v>
      </c>
      <c r="T79" s="170" t="s">
        <v>80</v>
      </c>
      <c r="U79" s="176">
        <v>3</v>
      </c>
      <c r="V79" s="1"/>
      <c r="W79" s="1"/>
    </row>
    <row r="80" spans="2:25" ht="24" customHeight="1" thickBot="1" x14ac:dyDescent="0.3">
      <c r="B80" s="426"/>
      <c r="C80" s="429"/>
      <c r="D80" s="59"/>
      <c r="E80" s="60"/>
      <c r="F80" s="60"/>
      <c r="G80" s="192"/>
      <c r="H80" s="61"/>
      <c r="I80" s="62"/>
      <c r="J80" s="59"/>
      <c r="K80" s="60"/>
      <c r="L80" s="60"/>
      <c r="M80" s="192"/>
      <c r="N80" s="61"/>
      <c r="O80" s="62"/>
      <c r="P80" s="59"/>
      <c r="Q80" s="60"/>
      <c r="R80" s="60"/>
      <c r="S80" s="192"/>
      <c r="T80" s="61"/>
      <c r="U80" s="62"/>
      <c r="V80" s="1"/>
      <c r="W80" s="1"/>
    </row>
    <row r="81" spans="2:25" ht="24" customHeight="1" thickBot="1" x14ac:dyDescent="0.35">
      <c r="B81" s="426"/>
      <c r="C81" s="430"/>
      <c r="D81" s="434" t="s">
        <v>79</v>
      </c>
      <c r="E81" s="435"/>
      <c r="F81" s="435"/>
      <c r="G81" s="435"/>
      <c r="H81" s="435"/>
      <c r="I81" s="436"/>
      <c r="J81" s="434" t="s">
        <v>79</v>
      </c>
      <c r="K81" s="435"/>
      <c r="L81" s="435"/>
      <c r="M81" s="435"/>
      <c r="N81" s="435"/>
      <c r="O81" s="436"/>
      <c r="P81" s="434" t="s">
        <v>79</v>
      </c>
      <c r="Q81" s="435"/>
      <c r="R81" s="435"/>
      <c r="S81" s="435"/>
      <c r="T81" s="435"/>
      <c r="U81" s="436"/>
      <c r="V81" s="1"/>
      <c r="W81" s="1"/>
    </row>
    <row r="82" spans="2:25" ht="24" customHeight="1" thickBot="1" x14ac:dyDescent="0.3">
      <c r="B82" s="427"/>
      <c r="C82" s="36" t="s">
        <v>17</v>
      </c>
      <c r="D82" s="37">
        <f>MAX(E77:F80)-IF(D77="",E77,D77)-MIN(H77:H80)+$C74</f>
        <v>0.34722222222222221</v>
      </c>
      <c r="E82" s="51"/>
      <c r="F82" s="51"/>
      <c r="G82" s="52"/>
      <c r="H82" s="53">
        <f ca="1">OFFSET(H76,MATCH(MIN(H77:H80),H77:H80,0),-4)-IF(D77="",E77,D77)</f>
        <v>0.17361111111111105</v>
      </c>
      <c r="I82" s="54"/>
      <c r="J82" s="37">
        <f>MAX(K77:L80)-IF(J77="",K77,J77)-MIN(N77:N80)+$C75</f>
        <v>0.29027777777777775</v>
      </c>
      <c r="K82" s="38"/>
      <c r="L82" s="38"/>
      <c r="M82" s="39"/>
      <c r="N82" s="53">
        <f ca="1">OFFSET(N76,MATCH(MIN(N77:N80),N77:N80,0),-4)-IF(J77="",K77,J77)</f>
        <v>0.17083333333333339</v>
      </c>
      <c r="O82" s="41"/>
      <c r="P82" s="37">
        <f>MAX(Q77:R80)-IF(P77="",Q77,P77)-MIN(T77:T80)+$C75</f>
        <v>0.27847222222222212</v>
      </c>
      <c r="Q82" s="38"/>
      <c r="R82" s="38"/>
      <c r="S82" s="39"/>
      <c r="T82" s="53">
        <f ca="1">OFFSET(T76,MATCH(MIN(T77:T80),T77:T80,0),-4)-IF(P77="",Q77,P77)</f>
        <v>0.16041666666666665</v>
      </c>
      <c r="U82" s="41"/>
      <c r="V82" s="35"/>
      <c r="W82" s="35"/>
    </row>
    <row r="83" spans="2:25" ht="24" customHeight="1" x14ac:dyDescent="0.25">
      <c r="B83" s="1"/>
      <c r="C83" s="1"/>
      <c r="E83" s="1"/>
      <c r="F83" s="1"/>
      <c r="G83" s="1"/>
      <c r="H83" s="1"/>
      <c r="K83" s="1"/>
      <c r="L83" s="1"/>
      <c r="M83" s="1"/>
      <c r="N83" s="1"/>
      <c r="Q83" s="1"/>
      <c r="R83" s="1"/>
      <c r="S83" s="1"/>
      <c r="T83" s="1"/>
      <c r="V83" s="1"/>
      <c r="W83" s="1"/>
    </row>
    <row r="84" spans="2:25" ht="24" customHeight="1" x14ac:dyDescent="0.25">
      <c r="B84" s="1"/>
      <c r="C84" s="1"/>
      <c r="D84" s="1"/>
      <c r="E84" s="1"/>
      <c r="F84" s="1"/>
      <c r="G84" s="1"/>
      <c r="H84" s="1"/>
      <c r="I84" s="193">
        <v>305</v>
      </c>
      <c r="J84" s="193">
        <v>1</v>
      </c>
      <c r="K84" s="193">
        <v>9</v>
      </c>
      <c r="L84" s="424" t="s">
        <v>81</v>
      </c>
      <c r="M84" s="424"/>
      <c r="N84" s="424"/>
      <c r="O84" s="424"/>
      <c r="P84" s="424"/>
      <c r="Q84" s="424"/>
      <c r="R84" s="424"/>
      <c r="S84" s="424"/>
      <c r="X84" s="1"/>
      <c r="Y84" s="1"/>
    </row>
    <row r="85" spans="2:25" ht="24" customHeight="1" x14ac:dyDescent="0.25">
      <c r="B85" s="1"/>
      <c r="C85" s="1"/>
      <c r="I85" s="193" t="s">
        <v>75</v>
      </c>
      <c r="J85" s="193">
        <v>1</v>
      </c>
      <c r="K85" s="193">
        <v>1</v>
      </c>
      <c r="L85" s="438" t="s">
        <v>82</v>
      </c>
      <c r="M85" s="438"/>
      <c r="N85" s="438"/>
      <c r="O85" s="438"/>
      <c r="P85" s="438"/>
      <c r="Q85" s="438"/>
      <c r="R85" s="438"/>
      <c r="S85" s="438"/>
      <c r="W85" s="1"/>
      <c r="X85" s="1"/>
      <c r="Y85" s="1"/>
    </row>
    <row r="86" spans="2:25" ht="24" customHeight="1" x14ac:dyDescent="0.25">
      <c r="B86" s="1"/>
      <c r="C86" s="1"/>
      <c r="I86" s="193" t="s">
        <v>80</v>
      </c>
      <c r="J86" s="193">
        <v>2</v>
      </c>
      <c r="K86" s="193">
        <v>2</v>
      </c>
      <c r="L86" s="439" t="s">
        <v>83</v>
      </c>
      <c r="M86" s="439"/>
      <c r="N86" s="439"/>
      <c r="O86" s="439"/>
      <c r="P86" s="439"/>
      <c r="Q86" s="439"/>
      <c r="R86" s="439"/>
      <c r="S86" s="439"/>
      <c r="V86" s="1"/>
      <c r="X86" s="1"/>
      <c r="Y86" s="1"/>
    </row>
    <row r="87" spans="2:25" ht="24" customHeight="1" thickBot="1" x14ac:dyDescent="0.3"/>
    <row r="88" spans="2:25" ht="24" customHeight="1" thickBot="1" x14ac:dyDescent="0.3">
      <c r="C88" s="440" t="s">
        <v>69</v>
      </c>
      <c r="D88" s="441"/>
      <c r="E88" s="441"/>
      <c r="F88" s="441"/>
      <c r="G88" s="441"/>
      <c r="H88" s="441"/>
      <c r="I88" s="441"/>
      <c r="J88" s="441"/>
      <c r="K88" s="441"/>
      <c r="L88" s="442"/>
    </row>
  </sheetData>
  <mergeCells count="47">
    <mergeCell ref="L85:S85"/>
    <mergeCell ref="L86:S86"/>
    <mergeCell ref="C88:L88"/>
    <mergeCell ref="P72:U72"/>
    <mergeCell ref="C76:C81"/>
    <mergeCell ref="D81:I81"/>
    <mergeCell ref="J81:O81"/>
    <mergeCell ref="P81:U81"/>
    <mergeCell ref="L84:S84"/>
    <mergeCell ref="L54:S54"/>
    <mergeCell ref="L55:S55"/>
    <mergeCell ref="L56:S56"/>
    <mergeCell ref="C58:P58"/>
    <mergeCell ref="B63:B82"/>
    <mergeCell ref="C66:C72"/>
    <mergeCell ref="D71:I71"/>
    <mergeCell ref="J71:O71"/>
    <mergeCell ref="D72:I72"/>
    <mergeCell ref="J72:O72"/>
    <mergeCell ref="L24:S24"/>
    <mergeCell ref="L25:S25"/>
    <mergeCell ref="C27:M27"/>
    <mergeCell ref="B33:B52"/>
    <mergeCell ref="V33:Y33"/>
    <mergeCell ref="V34:Y34"/>
    <mergeCell ref="C36:C42"/>
    <mergeCell ref="D41:I41"/>
    <mergeCell ref="J41:O41"/>
    <mergeCell ref="D42:I42"/>
    <mergeCell ref="J42:O42"/>
    <mergeCell ref="P42:U42"/>
    <mergeCell ref="C46:C51"/>
    <mergeCell ref="D51:I51"/>
    <mergeCell ref="J51:O51"/>
    <mergeCell ref="P51:U51"/>
    <mergeCell ref="L23:S23"/>
    <mergeCell ref="B2:B21"/>
    <mergeCell ref="C5:C11"/>
    <mergeCell ref="D10:I10"/>
    <mergeCell ref="J10:O10"/>
    <mergeCell ref="D11:I11"/>
    <mergeCell ref="J11:O11"/>
    <mergeCell ref="P11:U11"/>
    <mergeCell ref="C15:C20"/>
    <mergeCell ref="D20:I20"/>
    <mergeCell ref="J20:O20"/>
    <mergeCell ref="P20:U20"/>
  </mergeCells>
  <conditionalFormatting sqref="D4">
    <cfRule type="colorScale" priority="43">
      <colorScale>
        <cfvo type="min"/>
        <cfvo type="max"/>
        <color rgb="FFFF7128"/>
        <color rgb="FFFFEF9C"/>
      </colorScale>
    </cfRule>
  </conditionalFormatting>
  <conditionalFormatting sqref="D11 J11 P11">
    <cfRule type="containsText" dxfId="86" priority="32" operator="containsText" text="VEGA">
      <formula>NOT(ISERROR(SEARCH(("VEGA"),(D11))))</formula>
    </cfRule>
    <cfRule type="containsText" dxfId="85" priority="33" operator="containsText" text="LÍDER">
      <formula>NOT(ISERROR(SEARCH(("LÍDER"),(D11))))</formula>
    </cfRule>
    <cfRule type="containsText" dxfId="84" priority="34" operator="containsText" text="GLOBAL">
      <formula>NOT(ISERROR(SEARCH(("GLOBAL"),(D11))))</formula>
    </cfRule>
    <cfRule type="containsText" dxfId="83" priority="35" operator="containsText" text="COROADO">
      <formula>NOT(ISERROR(SEARCH(("COROADO"),(D11))))</formula>
    </cfRule>
    <cfRule type="containsText" dxfId="82" priority="36" operator="containsText" text="VIA VERDE">
      <formula>NOT(ISERROR(SEARCH(("VIA VERDE"),(D11))))</formula>
    </cfRule>
    <cfRule type="containsText" dxfId="81" priority="37" operator="containsText" text="INTEGRAÇÃO">
      <formula>NOT(ISERROR(SEARCH(("INTEGRAÇÃO"),(D11))))</formula>
    </cfRule>
    <cfRule type="containsText" dxfId="80" priority="38" operator="containsText" text="SÃO PEDRO">
      <formula>NOT(ISERROR(SEARCH(("SÃO PEDRO"),(D11))))</formula>
    </cfRule>
  </conditionalFormatting>
  <conditionalFormatting sqref="D20 J20 P20">
    <cfRule type="containsText" dxfId="79" priority="25" operator="containsText" text="VEGA">
      <formula>NOT(ISERROR(SEARCH(("VEGA"),(D20))))</formula>
    </cfRule>
    <cfRule type="containsText" dxfId="78" priority="26" operator="containsText" text="LÍDER">
      <formula>NOT(ISERROR(SEARCH(("LÍDER"),(D20))))</formula>
    </cfRule>
    <cfRule type="containsText" dxfId="77" priority="27" operator="containsText" text="GLOBAL">
      <formula>NOT(ISERROR(SEARCH(("GLOBAL"),(D20))))</formula>
    </cfRule>
    <cfRule type="containsText" dxfId="76" priority="28" operator="containsText" text="COROADO">
      <formula>NOT(ISERROR(SEARCH(("COROADO"),(D20))))</formula>
    </cfRule>
    <cfRule type="containsText" dxfId="75" priority="29" operator="containsText" text="VIA VERDE">
      <formula>NOT(ISERROR(SEARCH(("VIA VERDE"),(D20))))</formula>
    </cfRule>
    <cfRule type="containsText" dxfId="74" priority="30" operator="containsText" text="INTEGRAÇÃO">
      <formula>NOT(ISERROR(SEARCH(("INTEGRAÇÃO"),(D20))))</formula>
    </cfRule>
    <cfRule type="containsText" dxfId="73" priority="31" operator="containsText" text="SÃO PEDRO">
      <formula>NOT(ISERROR(SEARCH(("SÃO PEDRO"),(D20))))</formula>
    </cfRule>
  </conditionalFormatting>
  <conditionalFormatting sqref="D35">
    <cfRule type="colorScale" priority="24">
      <colorScale>
        <cfvo type="min"/>
        <cfvo type="max"/>
        <color rgb="FFFF7128"/>
        <color rgb="FFFFEF9C"/>
      </colorScale>
    </cfRule>
  </conditionalFormatting>
  <conditionalFormatting sqref="D42 J42 P42 D51 J51 P51">
    <cfRule type="containsText" dxfId="72" priority="13" operator="containsText" text="VEGA">
      <formula>NOT(ISERROR(SEARCH(("VEGA"),(D42))))</formula>
    </cfRule>
    <cfRule type="containsText" dxfId="71" priority="14" operator="containsText" text="LÍDER">
      <formula>NOT(ISERROR(SEARCH(("LÍDER"),(D42))))</formula>
    </cfRule>
    <cfRule type="containsText" dxfId="70" priority="15" operator="containsText" text="GLOBAL">
      <formula>NOT(ISERROR(SEARCH(("GLOBAL"),(D42))))</formula>
    </cfRule>
    <cfRule type="containsText" dxfId="69" priority="16" operator="containsText" text="COROADO">
      <formula>NOT(ISERROR(SEARCH(("COROADO"),(D42))))</formula>
    </cfRule>
    <cfRule type="containsText" dxfId="68" priority="17" operator="containsText" text="VIA VERDE">
      <formula>NOT(ISERROR(SEARCH(("VIA VERDE"),(D42))))</formula>
    </cfRule>
    <cfRule type="containsText" dxfId="67" priority="18" operator="containsText" text="INTEGRAÇÃO">
      <formula>NOT(ISERROR(SEARCH(("INTEGRAÇÃO"),(D42))))</formula>
    </cfRule>
    <cfRule type="containsText" dxfId="66" priority="19" operator="containsText" text="SÃO PEDRO">
      <formula>NOT(ISERROR(SEARCH(("SÃO PEDRO"),(D42))))</formula>
    </cfRule>
  </conditionalFormatting>
  <conditionalFormatting sqref="D65">
    <cfRule type="colorScale" priority="12">
      <colorScale>
        <cfvo type="min"/>
        <cfvo type="max"/>
        <color rgb="FFFF7128"/>
        <color rgb="FFFFEF9C"/>
      </colorScale>
    </cfRule>
  </conditionalFormatting>
  <conditionalFormatting sqref="D72 J72 P72 D81 J81 P81">
    <cfRule type="containsText" dxfId="65" priority="1" operator="containsText" text="VEGA">
      <formula>NOT(ISERROR(SEARCH(("VEGA"),(D72))))</formula>
    </cfRule>
    <cfRule type="containsText" dxfId="64" priority="2" operator="containsText" text="LÍDER">
      <formula>NOT(ISERROR(SEARCH(("LÍDER"),(D72))))</formula>
    </cfRule>
    <cfRule type="containsText" dxfId="63" priority="3" operator="containsText" text="GLOBAL">
      <formula>NOT(ISERROR(SEARCH(("GLOBAL"),(D72))))</formula>
    </cfRule>
    <cfRule type="containsText" dxfId="62" priority="4" operator="containsText" text="COROADO">
      <formula>NOT(ISERROR(SEARCH(("COROADO"),(D72))))</formula>
    </cfRule>
    <cfRule type="containsText" dxfId="61" priority="5" operator="containsText" text="VIA VERDE">
      <formula>NOT(ISERROR(SEARCH(("VIA VERDE"),(D72))))</formula>
    </cfRule>
    <cfRule type="containsText" dxfId="60" priority="6" operator="containsText" text="INTEGRAÇÃO">
      <formula>NOT(ISERROR(SEARCH(("INTEGRAÇÃO"),(D72))))</formula>
    </cfRule>
    <cfRule type="containsText" dxfId="59" priority="7" operator="containsText" text="SÃO PEDRO">
      <formula>NOT(ISERROR(SEARCH(("SÃO PEDRO"),(D72))))</formula>
    </cfRule>
  </conditionalFormatting>
  <conditionalFormatting sqref="D4:I4">
    <cfRule type="expression" dxfId="58" priority="41" stopIfTrue="1">
      <formula>LEN($D4)=14</formula>
    </cfRule>
  </conditionalFormatting>
  <conditionalFormatting sqref="D35:I35">
    <cfRule type="expression" dxfId="57" priority="22" stopIfTrue="1">
      <formula>LEN($D35)=14</formula>
    </cfRule>
  </conditionalFormatting>
  <conditionalFormatting sqref="D65:I65">
    <cfRule type="expression" dxfId="56" priority="10" stopIfTrue="1">
      <formula>LEN($D65)=14</formula>
    </cfRule>
  </conditionalFormatting>
  <conditionalFormatting sqref="E4:I4">
    <cfRule type="notContainsBlanks" dxfId="55" priority="42">
      <formula>LEN(TRIM(E4))&gt;0</formula>
    </cfRule>
  </conditionalFormatting>
  <conditionalFormatting sqref="E35:I35">
    <cfRule type="notContainsBlanks" dxfId="54" priority="23">
      <formula>LEN(TRIM(E35))&gt;0</formula>
    </cfRule>
  </conditionalFormatting>
  <conditionalFormatting sqref="E65:I65">
    <cfRule type="notContainsBlanks" dxfId="53" priority="11">
      <formula>LEN(TRIM(E65))&gt;0</formula>
    </cfRule>
  </conditionalFormatting>
  <conditionalFormatting sqref="J4:O4">
    <cfRule type="expression" dxfId="52" priority="40">
      <formula>LEN($J4)=14</formula>
    </cfRule>
  </conditionalFormatting>
  <conditionalFormatting sqref="J35:O35">
    <cfRule type="expression" dxfId="51" priority="21">
      <formula>LEN($J35)=14</formula>
    </cfRule>
  </conditionalFormatting>
  <conditionalFormatting sqref="J65:O65">
    <cfRule type="expression" dxfId="50" priority="9">
      <formula>LEN($J65)=14</formula>
    </cfRule>
  </conditionalFormatting>
  <conditionalFormatting sqref="P4:U4">
    <cfRule type="expression" dxfId="49" priority="39">
      <formula>LEN($P4)=14</formula>
    </cfRule>
  </conditionalFormatting>
  <conditionalFormatting sqref="P35:U35">
    <cfRule type="expression" dxfId="48" priority="20">
      <formula>LEN($P35)=14</formula>
    </cfRule>
  </conditionalFormatting>
  <conditionalFormatting sqref="P65:U65">
    <cfRule type="expression" dxfId="47" priority="8">
      <formula>LEN($P65)=14</formula>
    </cfRule>
  </conditionalFormatting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F8BF-B5FB-467C-8395-98E62D062E1B}">
  <dimension ref="B1:AE23"/>
  <sheetViews>
    <sheetView zoomScale="70" zoomScaleNormal="70" workbookViewId="0">
      <selection activeCell="B2" sqref="B2:Y23"/>
    </sheetView>
  </sheetViews>
  <sheetFormatPr defaultColWidth="8.7109375" defaultRowHeight="24" customHeight="1" x14ac:dyDescent="0.25"/>
  <cols>
    <col min="1" max="16384" width="8.7109375" style="202"/>
  </cols>
  <sheetData>
    <row r="1" spans="2:25" ht="24" customHeight="1" thickBot="1" x14ac:dyDescent="0.3"/>
    <row r="2" spans="2:25" ht="24" customHeight="1" thickBot="1" x14ac:dyDescent="0.3">
      <c r="B2" s="295" t="s">
        <v>122</v>
      </c>
      <c r="C2" s="330" t="s">
        <v>123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4"/>
      <c r="V2" s="297" t="s">
        <v>124</v>
      </c>
      <c r="W2" s="287"/>
      <c r="X2" s="287"/>
      <c r="Y2" s="284"/>
    </row>
    <row r="3" spans="2:25" ht="24" customHeight="1" thickBot="1" x14ac:dyDescent="0.3">
      <c r="B3" s="293"/>
      <c r="C3" s="370">
        <v>6.9444444444444441E-3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4"/>
      <c r="V3" s="298" t="s">
        <v>103</v>
      </c>
      <c r="W3" s="287"/>
      <c r="X3" s="287"/>
      <c r="Y3" s="284"/>
    </row>
    <row r="4" spans="2:25" ht="24" customHeight="1" thickBot="1" x14ac:dyDescent="0.3"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1" t="s">
        <v>6</v>
      </c>
      <c r="Q4" s="287"/>
      <c r="R4" s="287"/>
      <c r="S4" s="287"/>
      <c r="T4" s="287"/>
      <c r="U4" s="284"/>
      <c r="V4" s="297" t="str">
        <f>CONCATENATE(COUNT(V6:V16,X6:X16)," VIAGENS")</f>
        <v>21 VIAGENS</v>
      </c>
      <c r="W4" s="287"/>
      <c r="X4" s="287"/>
      <c r="Y4" s="284"/>
    </row>
    <row r="5" spans="2:25" ht="24" customHeight="1" thickBot="1" x14ac:dyDescent="0.3">
      <c r="B5" s="293"/>
      <c r="C5" s="299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36" t="s">
        <v>8</v>
      </c>
      <c r="Q5" s="237" t="s">
        <v>9</v>
      </c>
      <c r="R5" s="238" t="s">
        <v>10</v>
      </c>
      <c r="S5" s="237" t="s">
        <v>11</v>
      </c>
      <c r="T5" s="238" t="s">
        <v>12</v>
      </c>
      <c r="U5" s="237" t="s">
        <v>13</v>
      </c>
      <c r="V5" s="203" t="s">
        <v>14</v>
      </c>
      <c r="W5" s="204" t="s">
        <v>15</v>
      </c>
      <c r="X5" s="203" t="s">
        <v>14</v>
      </c>
      <c r="Y5" s="204" t="s">
        <v>15</v>
      </c>
    </row>
    <row r="6" spans="2:25" ht="24" customHeight="1" x14ac:dyDescent="0.25">
      <c r="B6" s="293"/>
      <c r="C6" s="300"/>
      <c r="D6" s="239">
        <v>0.19444444444444439</v>
      </c>
      <c r="E6" s="240">
        <v>0.2277777777777778</v>
      </c>
      <c r="F6" s="240">
        <v>0.2673611111111111</v>
      </c>
      <c r="G6" s="241">
        <f t="shared" ref="G6:G7" si="0">F6-D6</f>
        <v>7.2916666666666713E-2</v>
      </c>
      <c r="H6" s="242">
        <v>306</v>
      </c>
      <c r="I6" s="243">
        <v>1</v>
      </c>
      <c r="J6" s="239">
        <v>0.22569444444444439</v>
      </c>
      <c r="K6" s="240">
        <v>0.2590277777777778</v>
      </c>
      <c r="L6" s="240">
        <v>0.3</v>
      </c>
      <c r="M6" s="241">
        <f t="shared" ref="M6:M7" si="1">L6-J6</f>
        <v>7.4305555555555597E-2</v>
      </c>
      <c r="N6" s="242">
        <v>306</v>
      </c>
      <c r="O6" s="243">
        <v>2</v>
      </c>
      <c r="P6" s="239">
        <v>0.25694444444444442</v>
      </c>
      <c r="Q6" s="240">
        <v>0.29375000000000001</v>
      </c>
      <c r="R6" s="240">
        <v>0.33402777777777781</v>
      </c>
      <c r="S6" s="241">
        <f t="shared" ref="S6:S7" si="2">R6-P6</f>
        <v>7.7083333333333393E-2</v>
      </c>
      <c r="T6" s="242">
        <v>306</v>
      </c>
      <c r="U6" s="243">
        <v>3</v>
      </c>
      <c r="V6" s="244">
        <v>0.19444444444444439</v>
      </c>
      <c r="W6" s="211"/>
      <c r="X6" s="245">
        <v>0.59375</v>
      </c>
      <c r="Y6" s="212">
        <f>X6-V16</f>
        <v>3.472222222222221E-2</v>
      </c>
    </row>
    <row r="7" spans="2:25" ht="24" customHeight="1" thickBot="1" x14ac:dyDescent="0.3">
      <c r="B7" s="293"/>
      <c r="C7" s="300"/>
      <c r="D7" s="239">
        <v>0.28125</v>
      </c>
      <c r="E7" s="240">
        <v>0.32083333333333341</v>
      </c>
      <c r="F7" s="240">
        <v>0.36041666666666672</v>
      </c>
      <c r="G7" s="241">
        <f t="shared" si="0"/>
        <v>7.9166666666666718E-2</v>
      </c>
      <c r="H7" s="242">
        <v>306</v>
      </c>
      <c r="I7" s="243">
        <v>1</v>
      </c>
      <c r="J7" s="239">
        <v>0.31597222222222221</v>
      </c>
      <c r="K7" s="240">
        <v>0.3527777777777778</v>
      </c>
      <c r="L7" s="240">
        <v>0.39513888888888887</v>
      </c>
      <c r="M7" s="241">
        <f t="shared" si="1"/>
        <v>7.9166666666666663E-2</v>
      </c>
      <c r="N7" s="242">
        <v>306</v>
      </c>
      <c r="O7" s="243">
        <v>2</v>
      </c>
      <c r="P7" s="239">
        <v>0.35069444444444442</v>
      </c>
      <c r="Q7" s="240">
        <v>0.38750000000000001</v>
      </c>
      <c r="R7" s="240">
        <v>0.42986111111111108</v>
      </c>
      <c r="S7" s="241">
        <f t="shared" si="2"/>
        <v>7.9166666666666663E-2</v>
      </c>
      <c r="T7" s="242">
        <v>306</v>
      </c>
      <c r="U7" s="243">
        <v>3</v>
      </c>
      <c r="V7" s="239">
        <v>0.22569444444444439</v>
      </c>
      <c r="W7" s="218">
        <f t="shared" ref="W7:W16" si="3">V7-V6</f>
        <v>3.125E-2</v>
      </c>
      <c r="X7" s="240">
        <v>0.61805555555555558</v>
      </c>
      <c r="Y7" s="219">
        <f t="shared" ref="Y7:Y15" si="4">X7-X6</f>
        <v>2.430555555555558E-2</v>
      </c>
    </row>
    <row r="8" spans="2:25" ht="24" customHeight="1" thickBot="1" x14ac:dyDescent="0.3">
      <c r="B8" s="293"/>
      <c r="C8" s="300"/>
      <c r="D8" s="283">
        <f>IF(F7="",E7,F7)</f>
        <v>0.36041666666666672</v>
      </c>
      <c r="E8" s="284"/>
      <c r="F8" s="283">
        <f>IF(D9="",E9,D9)</f>
        <v>0.40902777777777782</v>
      </c>
      <c r="G8" s="284"/>
      <c r="H8" s="285">
        <f>F8-D8</f>
        <v>4.8611111111111105E-2</v>
      </c>
      <c r="I8" s="284"/>
      <c r="J8" s="283">
        <f>IF(L7="",K7,L7)</f>
        <v>0.39513888888888887</v>
      </c>
      <c r="K8" s="284"/>
      <c r="L8" s="283">
        <f>IF(J9="",K9,J9)</f>
        <v>0.44374999999999998</v>
      </c>
      <c r="M8" s="284"/>
      <c r="N8" s="285">
        <f>L8-J8</f>
        <v>4.8611111111111105E-2</v>
      </c>
      <c r="O8" s="284"/>
      <c r="P8" s="283">
        <f>IF(R7="",Q7,R7)</f>
        <v>0.42986111111111108</v>
      </c>
      <c r="Q8" s="284"/>
      <c r="R8" s="283">
        <f>IF(P9="",Q9,P9)</f>
        <v>0.47847222222222219</v>
      </c>
      <c r="S8" s="284"/>
      <c r="T8" s="285">
        <f>R8-P8</f>
        <v>4.8611111111111105E-2</v>
      </c>
      <c r="U8" s="287"/>
      <c r="V8" s="239">
        <v>0.25694444444444442</v>
      </c>
      <c r="W8" s="218">
        <f t="shared" si="3"/>
        <v>3.1250000000000028E-2</v>
      </c>
      <c r="X8" s="240">
        <v>0.63888888888888884</v>
      </c>
      <c r="Y8" s="219">
        <f t="shared" si="4"/>
        <v>2.0833333333333259E-2</v>
      </c>
    </row>
    <row r="9" spans="2:25" ht="24" customHeight="1" x14ac:dyDescent="0.25">
      <c r="B9" s="293"/>
      <c r="C9" s="300"/>
      <c r="D9" s="239">
        <v>0.40902777777777782</v>
      </c>
      <c r="E9" s="240">
        <v>0.4465277777777778</v>
      </c>
      <c r="F9" s="240">
        <v>0.48819444444444438</v>
      </c>
      <c r="G9" s="241">
        <f>F9-D9</f>
        <v>7.9166666666666552E-2</v>
      </c>
      <c r="H9" s="242">
        <v>306</v>
      </c>
      <c r="I9" s="243">
        <v>1</v>
      </c>
      <c r="J9" s="239">
        <v>0.44374999999999998</v>
      </c>
      <c r="K9" s="240">
        <v>0.4777777777777778</v>
      </c>
      <c r="L9" s="240">
        <v>0.51666666666666672</v>
      </c>
      <c r="M9" s="241">
        <f>L9-J9</f>
        <v>7.2916666666666741E-2</v>
      </c>
      <c r="N9" s="242">
        <v>306</v>
      </c>
      <c r="O9" s="243">
        <v>2</v>
      </c>
      <c r="P9" s="239">
        <v>0.47847222222222219</v>
      </c>
      <c r="Q9" s="240">
        <v>0.5131944444444444</v>
      </c>
      <c r="R9" s="240">
        <v>0.55833333333333335</v>
      </c>
      <c r="S9" s="241">
        <f>R9-P9</f>
        <v>7.986111111111116E-2</v>
      </c>
      <c r="T9" s="242">
        <v>306</v>
      </c>
      <c r="U9" s="243">
        <v>3</v>
      </c>
      <c r="V9" s="239">
        <v>0.28125</v>
      </c>
      <c r="W9" s="218">
        <f t="shared" si="3"/>
        <v>2.430555555555558E-2</v>
      </c>
      <c r="X9" s="240">
        <v>0.67708333333333337</v>
      </c>
      <c r="Y9" s="219">
        <f t="shared" si="4"/>
        <v>3.8194444444444531E-2</v>
      </c>
    </row>
    <row r="10" spans="2:25" ht="24" customHeight="1" thickBot="1" x14ac:dyDescent="0.3">
      <c r="B10" s="293"/>
      <c r="C10" s="300"/>
      <c r="D10" s="239"/>
      <c r="E10" s="240"/>
      <c r="F10" s="240"/>
      <c r="G10" s="241"/>
      <c r="H10" s="242"/>
      <c r="I10" s="243"/>
      <c r="J10" s="239"/>
      <c r="K10" s="240"/>
      <c r="L10" s="240"/>
      <c r="M10" s="241"/>
      <c r="N10" s="242"/>
      <c r="O10" s="243"/>
      <c r="P10" s="239"/>
      <c r="Q10" s="240"/>
      <c r="R10" s="240"/>
      <c r="S10" s="241"/>
      <c r="T10" s="242"/>
      <c r="U10" s="243"/>
      <c r="V10" s="239">
        <v>0.31597222222222221</v>
      </c>
      <c r="W10" s="218">
        <f t="shared" si="3"/>
        <v>3.472222222222221E-2</v>
      </c>
      <c r="X10" s="240">
        <v>0.70138888888888884</v>
      </c>
      <c r="Y10" s="219">
        <f t="shared" si="4"/>
        <v>2.4305555555555469E-2</v>
      </c>
    </row>
    <row r="11" spans="2:25" ht="24" customHeight="1" thickBot="1" x14ac:dyDescent="0.3">
      <c r="B11" s="293"/>
      <c r="C11" s="301"/>
      <c r="D11" s="334" t="s">
        <v>52</v>
      </c>
      <c r="E11" s="287"/>
      <c r="F11" s="287"/>
      <c r="G11" s="287"/>
      <c r="H11" s="287"/>
      <c r="I11" s="284"/>
      <c r="J11" s="334" t="s">
        <v>52</v>
      </c>
      <c r="K11" s="287"/>
      <c r="L11" s="287"/>
      <c r="M11" s="287"/>
      <c r="N11" s="287"/>
      <c r="O11" s="284"/>
      <c r="P11" s="334" t="s">
        <v>52</v>
      </c>
      <c r="Q11" s="287"/>
      <c r="R11" s="287"/>
      <c r="S11" s="287"/>
      <c r="T11" s="287"/>
      <c r="U11" s="284"/>
      <c r="V11" s="239">
        <v>0.35069444444444442</v>
      </c>
      <c r="W11" s="218">
        <f t="shared" si="3"/>
        <v>3.472222222222221E-2</v>
      </c>
      <c r="X11" s="240">
        <v>0.72222222222222221</v>
      </c>
      <c r="Y11" s="219">
        <f t="shared" si="4"/>
        <v>2.083333333333337E-2</v>
      </c>
    </row>
    <row r="12" spans="2:25" ht="24" customHeight="1" thickBot="1" x14ac:dyDescent="0.3">
      <c r="B12" s="293"/>
      <c r="C12" s="247" t="s">
        <v>17</v>
      </c>
      <c r="D12" s="288">
        <f>MAX(E6:F10)-IF(D6="",E6,D6)-MIN(H6:H10)+$C3</f>
        <v>0.25208333333333327</v>
      </c>
      <c r="E12" s="287"/>
      <c r="F12" s="287"/>
      <c r="G12" s="284"/>
      <c r="H12" s="294">
        <f ca="1">OFFSET(H5,MATCH(MIN(H6:H10),H6:H10,0),-4)-IF(D6="",E6,D6)+$C3</f>
        <v>0.17291666666666677</v>
      </c>
      <c r="I12" s="284"/>
      <c r="J12" s="288">
        <f>MAX(K6:L10)-IF(J6="",K6,J6)-MIN(N6:N10)+$C3</f>
        <v>0.24930555555555564</v>
      </c>
      <c r="K12" s="287"/>
      <c r="L12" s="287"/>
      <c r="M12" s="284"/>
      <c r="N12" s="294">
        <f ca="1">OFFSET(N5,MATCH(MIN(N6:N10),N6:N10,0),-4)-IF(J6="",K6,J6)+$C3</f>
        <v>0.17638888888888893</v>
      </c>
      <c r="O12" s="284"/>
      <c r="P12" s="288">
        <f>MAX(Q6:R10)-IF(P6="",Q6,P6)-MIN(T6:T10)+$C3</f>
        <v>0.25972222222222224</v>
      </c>
      <c r="Q12" s="287"/>
      <c r="R12" s="287"/>
      <c r="S12" s="284"/>
      <c r="T12" s="294">
        <f ca="1">OFFSET(T5,MATCH(MIN(T6:T10),T6:T10,0),-4)-IF(P6="",Q6,P6)+$C3</f>
        <v>0.17986111111111111</v>
      </c>
      <c r="U12" s="287"/>
      <c r="V12" s="239">
        <v>0.40902777777777782</v>
      </c>
      <c r="W12" s="218">
        <f t="shared" si="3"/>
        <v>5.8333333333333404E-2</v>
      </c>
      <c r="X12" s="240">
        <v>0.78472222222222221</v>
      </c>
      <c r="Y12" s="219">
        <f t="shared" si="4"/>
        <v>6.25E-2</v>
      </c>
    </row>
    <row r="13" spans="2:25" ht="24" customHeight="1" thickBot="1" x14ac:dyDescent="0.3">
      <c r="B13" s="293"/>
      <c r="C13" s="370">
        <v>6.9444444444444441E-3</v>
      </c>
      <c r="D13" s="291" t="s">
        <v>18</v>
      </c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39">
        <v>0.44374999999999998</v>
      </c>
      <c r="W13" s="218">
        <f t="shared" si="3"/>
        <v>3.4722222222222154E-2</v>
      </c>
      <c r="X13" s="240">
        <v>0.81944444444444442</v>
      </c>
      <c r="Y13" s="219">
        <f t="shared" si="4"/>
        <v>3.472222222222221E-2</v>
      </c>
    </row>
    <row r="14" spans="2:25" ht="24" customHeight="1" thickBot="1" x14ac:dyDescent="0.3">
      <c r="B14" s="293"/>
      <c r="C14" s="290"/>
      <c r="D14" s="291" t="s">
        <v>19</v>
      </c>
      <c r="E14" s="287"/>
      <c r="F14" s="287"/>
      <c r="G14" s="287"/>
      <c r="H14" s="287"/>
      <c r="I14" s="284"/>
      <c r="J14" s="291" t="s">
        <v>20</v>
      </c>
      <c r="K14" s="287"/>
      <c r="L14" s="287"/>
      <c r="M14" s="287"/>
      <c r="N14" s="287"/>
      <c r="O14" s="284"/>
      <c r="P14" s="291" t="s">
        <v>21</v>
      </c>
      <c r="Q14" s="287"/>
      <c r="R14" s="287"/>
      <c r="S14" s="287"/>
      <c r="T14" s="287"/>
      <c r="U14" s="287"/>
      <c r="V14" s="239">
        <v>0.47847222222222219</v>
      </c>
      <c r="W14" s="218">
        <f t="shared" si="3"/>
        <v>3.472222222222221E-2</v>
      </c>
      <c r="X14" s="240">
        <v>0.86805555555555558</v>
      </c>
      <c r="Y14" s="219">
        <f t="shared" si="4"/>
        <v>4.861111111111116E-2</v>
      </c>
    </row>
    <row r="15" spans="2:25" ht="24" customHeight="1" thickBot="1" x14ac:dyDescent="0.3">
      <c r="B15" s="293"/>
      <c r="C15" s="292" t="s">
        <v>7</v>
      </c>
      <c r="D15" s="236" t="s">
        <v>8</v>
      </c>
      <c r="E15" s="237" t="s">
        <v>9</v>
      </c>
      <c r="F15" s="238" t="s">
        <v>10</v>
      </c>
      <c r="G15" s="237" t="s">
        <v>11</v>
      </c>
      <c r="H15" s="238" t="s">
        <v>12</v>
      </c>
      <c r="I15" s="237" t="s">
        <v>13</v>
      </c>
      <c r="J15" s="238" t="s">
        <v>8</v>
      </c>
      <c r="K15" s="237" t="s">
        <v>9</v>
      </c>
      <c r="L15" s="238" t="s">
        <v>10</v>
      </c>
      <c r="M15" s="237" t="s">
        <v>11</v>
      </c>
      <c r="N15" s="238" t="s">
        <v>12</v>
      </c>
      <c r="O15" s="237" t="s">
        <v>13</v>
      </c>
      <c r="P15" s="236" t="s">
        <v>8</v>
      </c>
      <c r="Q15" s="237" t="s">
        <v>9</v>
      </c>
      <c r="R15" s="238" t="s">
        <v>10</v>
      </c>
      <c r="S15" s="237" t="s">
        <v>11</v>
      </c>
      <c r="T15" s="238" t="s">
        <v>12</v>
      </c>
      <c r="U15" s="236" t="s">
        <v>13</v>
      </c>
      <c r="V15" s="239">
        <v>0.50972222222222219</v>
      </c>
      <c r="W15" s="218">
        <f t="shared" si="3"/>
        <v>3.125E-2</v>
      </c>
      <c r="X15" s="240">
        <v>0.92013888888888884</v>
      </c>
      <c r="Y15" s="219">
        <f t="shared" si="4"/>
        <v>5.2083333333333259E-2</v>
      </c>
    </row>
    <row r="16" spans="2:25" ht="24" customHeight="1" thickBot="1" x14ac:dyDescent="0.3">
      <c r="B16" s="293"/>
      <c r="C16" s="293"/>
      <c r="D16" s="244">
        <v>0.50972222222222219</v>
      </c>
      <c r="E16" s="245">
        <v>0.5444444444444444</v>
      </c>
      <c r="F16" s="245">
        <v>0.58333333333333337</v>
      </c>
      <c r="G16" s="265">
        <f t="shared" ref="G16:G18" si="5">F16-D16</f>
        <v>7.3611111111111183E-2</v>
      </c>
      <c r="H16" s="250" t="s">
        <v>125</v>
      </c>
      <c r="I16" s="251">
        <v>1</v>
      </c>
      <c r="J16" s="244">
        <v>0.55902777777777779</v>
      </c>
      <c r="K16" s="245">
        <v>0.59375</v>
      </c>
      <c r="L16" s="245">
        <v>0.62847222222222221</v>
      </c>
      <c r="M16" s="265">
        <f t="shared" ref="M16:M18" si="6">L16-J16</f>
        <v>6.944444444444442E-2</v>
      </c>
      <c r="N16" s="250">
        <v>306</v>
      </c>
      <c r="O16" s="251">
        <v>2</v>
      </c>
      <c r="P16" s="244">
        <v>0.61805555555555558</v>
      </c>
      <c r="Q16" s="245">
        <v>0.65208333333333335</v>
      </c>
      <c r="R16" s="245">
        <v>0.68819444444444444</v>
      </c>
      <c r="S16" s="265">
        <f t="shared" ref="S16:S18" si="7">R16-P16</f>
        <v>7.0138888888888862E-2</v>
      </c>
      <c r="T16" s="250">
        <v>306</v>
      </c>
      <c r="U16" s="278">
        <v>3</v>
      </c>
      <c r="V16" s="248">
        <v>0.55902777777777779</v>
      </c>
      <c r="W16" s="231">
        <f t="shared" si="3"/>
        <v>4.9305555555555602E-2</v>
      </c>
      <c r="X16" s="266"/>
      <c r="Y16" s="267"/>
    </row>
    <row r="17" spans="2:31" ht="24" customHeight="1" x14ac:dyDescent="0.25">
      <c r="B17" s="293"/>
      <c r="C17" s="293"/>
      <c r="D17" s="239">
        <v>0.59375</v>
      </c>
      <c r="E17" s="240">
        <v>0.62986111111111109</v>
      </c>
      <c r="F17" s="240">
        <v>0.66597222222222219</v>
      </c>
      <c r="G17" s="241">
        <f t="shared" si="5"/>
        <v>7.2222222222222188E-2</v>
      </c>
      <c r="H17" s="242">
        <v>306</v>
      </c>
      <c r="I17" s="252">
        <v>1</v>
      </c>
      <c r="J17" s="239">
        <v>0.63888888888888884</v>
      </c>
      <c r="K17" s="240">
        <v>0.67152777777777772</v>
      </c>
      <c r="L17" s="240">
        <v>0.70902777777777781</v>
      </c>
      <c r="M17" s="241">
        <f t="shared" si="6"/>
        <v>7.0138888888888973E-2</v>
      </c>
      <c r="N17" s="242">
        <v>306</v>
      </c>
      <c r="O17" s="252">
        <v>2</v>
      </c>
      <c r="P17" s="239">
        <v>0.70138888888888884</v>
      </c>
      <c r="Q17" s="240">
        <v>0.73402777777777772</v>
      </c>
      <c r="R17" s="240">
        <v>0.77152777777777781</v>
      </c>
      <c r="S17" s="241">
        <f t="shared" si="7"/>
        <v>7.0138888888888973E-2</v>
      </c>
      <c r="T17" s="242">
        <v>306</v>
      </c>
      <c r="U17" s="252">
        <v>3</v>
      </c>
      <c r="V17" s="201"/>
      <c r="W17" s="201"/>
      <c r="X17" s="201"/>
      <c r="Y17" s="201"/>
    </row>
    <row r="18" spans="2:31" ht="24" customHeight="1" thickBot="1" x14ac:dyDescent="0.3">
      <c r="B18" s="293"/>
      <c r="C18" s="293"/>
      <c r="D18" s="239">
        <v>0.67708333333333337</v>
      </c>
      <c r="E18" s="240">
        <v>0.70972222222222225</v>
      </c>
      <c r="F18" s="240">
        <v>0.74722222222222223</v>
      </c>
      <c r="G18" s="241">
        <f t="shared" si="5"/>
        <v>7.0138888888888862E-2</v>
      </c>
      <c r="H18" s="242">
        <v>306</v>
      </c>
      <c r="I18" s="252">
        <v>1</v>
      </c>
      <c r="J18" s="239">
        <v>0.72222222222222221</v>
      </c>
      <c r="K18" s="240">
        <v>0.75972222222222219</v>
      </c>
      <c r="L18" s="240">
        <v>0.79861111111111116</v>
      </c>
      <c r="M18" s="241">
        <f t="shared" si="6"/>
        <v>7.6388888888888951E-2</v>
      </c>
      <c r="N18" s="242">
        <v>306</v>
      </c>
      <c r="O18" s="252">
        <v>2</v>
      </c>
      <c r="P18" s="239">
        <v>0.78472222222222221</v>
      </c>
      <c r="Q18" s="240">
        <v>0.81805555555555554</v>
      </c>
      <c r="R18" s="240">
        <v>0.85277777777777775</v>
      </c>
      <c r="S18" s="241">
        <f t="shared" si="7"/>
        <v>6.8055555555555536E-2</v>
      </c>
      <c r="T18" s="242">
        <v>306</v>
      </c>
      <c r="U18" s="252">
        <v>3</v>
      </c>
      <c r="V18" s="201"/>
      <c r="W18" s="201"/>
      <c r="X18" s="201"/>
      <c r="Y18" s="201"/>
    </row>
    <row r="19" spans="2:31" ht="24" customHeight="1" thickBot="1" x14ac:dyDescent="0.3">
      <c r="B19" s="293"/>
      <c r="C19" s="293"/>
      <c r="D19" s="283">
        <f>IF(F18="",E18,F18)</f>
        <v>0.74722222222222223</v>
      </c>
      <c r="E19" s="284"/>
      <c r="F19" s="283">
        <f>IF(D20="",E20,D20)</f>
        <v>0.81944444444444442</v>
      </c>
      <c r="G19" s="284"/>
      <c r="H19" s="285">
        <f>F19-D19</f>
        <v>7.2222222222222188E-2</v>
      </c>
      <c r="I19" s="284"/>
      <c r="J19" s="283">
        <f>IF(L18="",K18,L18)</f>
        <v>0.79861111111111116</v>
      </c>
      <c r="K19" s="284"/>
      <c r="L19" s="283">
        <f>IF(J20="",K20,J20)</f>
        <v>0.86805555555555558</v>
      </c>
      <c r="M19" s="284"/>
      <c r="N19" s="285">
        <f>L19-J19</f>
        <v>6.944444444444442E-2</v>
      </c>
      <c r="O19" s="284"/>
      <c r="P19" s="283">
        <f>IF(R18="",Q18,R18)</f>
        <v>0.85277777777777775</v>
      </c>
      <c r="Q19" s="284"/>
      <c r="R19" s="283">
        <f>IF(P20="",Q20,P20)</f>
        <v>0.92013888888888884</v>
      </c>
      <c r="S19" s="284"/>
      <c r="T19" s="285">
        <f>R19-P19</f>
        <v>6.7361111111111094E-2</v>
      </c>
      <c r="U19" s="284"/>
      <c r="V19" s="201"/>
      <c r="W19" s="201"/>
      <c r="X19" s="201"/>
      <c r="Y19" s="201"/>
    </row>
    <row r="20" spans="2:31" ht="24" customHeight="1" x14ac:dyDescent="0.25">
      <c r="B20" s="293"/>
      <c r="C20" s="293"/>
      <c r="D20" s="239">
        <v>0.81944444444444442</v>
      </c>
      <c r="E20" s="240">
        <v>0.85486111111111107</v>
      </c>
      <c r="F20" s="240">
        <v>0.8930555555555556</v>
      </c>
      <c r="G20" s="241">
        <f>F20-D20</f>
        <v>7.3611111111111183E-2</v>
      </c>
      <c r="H20" s="242">
        <v>306</v>
      </c>
      <c r="I20" s="252">
        <v>1</v>
      </c>
      <c r="J20" s="239">
        <v>0.86805555555555558</v>
      </c>
      <c r="K20" s="240">
        <v>0.90069444444444446</v>
      </c>
      <c r="L20" s="240">
        <v>0.93541666666666667</v>
      </c>
      <c r="M20" s="241">
        <f>L20-J20</f>
        <v>6.7361111111111094E-2</v>
      </c>
      <c r="N20" s="242">
        <v>306</v>
      </c>
      <c r="O20" s="252">
        <v>2</v>
      </c>
      <c r="P20" s="239">
        <v>0.92013888888888884</v>
      </c>
      <c r="Q20" s="240">
        <v>0.95347222222222228</v>
      </c>
      <c r="R20" s="240">
        <v>0.99236111111111114</v>
      </c>
      <c r="S20" s="241">
        <f>R20-P20</f>
        <v>7.2222222222222299E-2</v>
      </c>
      <c r="T20" s="242">
        <v>306</v>
      </c>
      <c r="U20" s="252">
        <v>3</v>
      </c>
      <c r="V20" s="201"/>
      <c r="W20" s="201"/>
      <c r="X20" s="201"/>
      <c r="Y20" s="201"/>
    </row>
    <row r="21" spans="2:31" ht="24" customHeight="1" thickBot="1" x14ac:dyDescent="0.3">
      <c r="B21" s="293"/>
      <c r="C21" s="293"/>
      <c r="D21" s="239"/>
      <c r="E21" s="240"/>
      <c r="F21" s="240"/>
      <c r="G21" s="241"/>
      <c r="H21" s="242"/>
      <c r="I21" s="252"/>
      <c r="J21" s="239"/>
      <c r="K21" s="240"/>
      <c r="L21" s="240"/>
      <c r="M21" s="241"/>
      <c r="N21" s="242"/>
      <c r="O21" s="252"/>
      <c r="P21" s="239"/>
      <c r="Q21" s="240"/>
      <c r="R21" s="240"/>
      <c r="S21" s="241"/>
      <c r="T21" s="242"/>
      <c r="U21" s="252"/>
      <c r="V21" s="201"/>
      <c r="W21" s="201"/>
      <c r="X21" s="201"/>
      <c r="Y21" s="201"/>
    </row>
    <row r="22" spans="2:31" ht="24" customHeight="1" thickBot="1" x14ac:dyDescent="0.3">
      <c r="B22" s="293"/>
      <c r="C22" s="290"/>
      <c r="D22" s="334" t="s">
        <v>52</v>
      </c>
      <c r="E22" s="287"/>
      <c r="F22" s="287"/>
      <c r="G22" s="287"/>
      <c r="H22" s="287"/>
      <c r="I22" s="284"/>
      <c r="J22" s="334" t="s">
        <v>52</v>
      </c>
      <c r="K22" s="287"/>
      <c r="L22" s="287"/>
      <c r="M22" s="287"/>
      <c r="N22" s="287"/>
      <c r="O22" s="284"/>
      <c r="P22" s="334" t="s">
        <v>52</v>
      </c>
      <c r="Q22" s="287"/>
      <c r="R22" s="287"/>
      <c r="S22" s="287"/>
      <c r="T22" s="287"/>
      <c r="U22" s="284"/>
      <c r="V22" s="201"/>
      <c r="W22" s="201"/>
      <c r="X22" s="201"/>
      <c r="Y22" s="201"/>
    </row>
    <row r="23" spans="2:31" ht="24" customHeight="1" thickBot="1" x14ac:dyDescent="0.3">
      <c r="B23" s="290"/>
      <c r="C23" s="247" t="s">
        <v>17</v>
      </c>
      <c r="D23" s="288">
        <f>MAX(E16:F21)-IF(D16="",E16,D16)-MIN(H16:H21)+$C13</f>
        <v>0.31805555555555565</v>
      </c>
      <c r="E23" s="287"/>
      <c r="F23" s="287"/>
      <c r="G23" s="284"/>
      <c r="H23" s="281">
        <f ca="1">OFFSET(H15,MATCH(MIN(H16:H21),H16:H21,0),-4)-IF(D16="",E16,D16)</f>
        <v>0.23750000000000004</v>
      </c>
      <c r="I23" s="282"/>
      <c r="J23" s="288">
        <f>MAX(K16:L21)-IF(J16="",K16,J16)-MIN(N16:N21)+$C13</f>
        <v>0.31388888888888888</v>
      </c>
      <c r="K23" s="287"/>
      <c r="L23" s="287"/>
      <c r="M23" s="284"/>
      <c r="N23" s="281">
        <f ca="1">OFFSET(N15,MATCH(MIN(N16:N21),N16:N21,0),-4)-IF(J16="",K16,J16)</f>
        <v>0.23958333333333337</v>
      </c>
      <c r="O23" s="282"/>
      <c r="P23" s="288">
        <f>MAX(Q16:R21)-IF(P16="",Q16,P16)-MIN(T16:T21)+$C13</f>
        <v>0.31388888888888888</v>
      </c>
      <c r="Q23" s="287"/>
      <c r="R23" s="287"/>
      <c r="S23" s="284"/>
      <c r="T23" s="281">
        <f ca="1">OFFSET(T15,MATCH(MIN(T16:T21),T16:T21,0),-4)-IF(P16="",Q16,P16)</f>
        <v>0.23472222222222217</v>
      </c>
      <c r="U23" s="282"/>
      <c r="V23" s="201"/>
      <c r="W23" s="201"/>
      <c r="X23" s="201"/>
      <c r="Y23" s="201"/>
      <c r="Z23" s="200"/>
      <c r="AA23" s="200"/>
      <c r="AB23" s="200"/>
      <c r="AC23" s="200"/>
      <c r="AD23" s="200"/>
      <c r="AE23" s="200"/>
    </row>
  </sheetData>
  <mergeCells count="53">
    <mergeCell ref="B2:B23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1:I11"/>
    <mergeCell ref="J11:O11"/>
    <mergeCell ref="P11:U11"/>
    <mergeCell ref="C5:C11"/>
    <mergeCell ref="D8:E8"/>
    <mergeCell ref="F8:G8"/>
    <mergeCell ref="H8:I8"/>
    <mergeCell ref="J8:K8"/>
    <mergeCell ref="L8:M8"/>
    <mergeCell ref="T12:U12"/>
    <mergeCell ref="N8:O8"/>
    <mergeCell ref="P8:Q8"/>
    <mergeCell ref="R8:S8"/>
    <mergeCell ref="T8:U8"/>
    <mergeCell ref="D12:G12"/>
    <mergeCell ref="H12:I12"/>
    <mergeCell ref="J12:M12"/>
    <mergeCell ref="N12:O12"/>
    <mergeCell ref="P12:S12"/>
    <mergeCell ref="D22:I22"/>
    <mergeCell ref="J22:O22"/>
    <mergeCell ref="P22:U22"/>
    <mergeCell ref="C13:C14"/>
    <mergeCell ref="D13:U13"/>
    <mergeCell ref="D14:I14"/>
    <mergeCell ref="J14:O14"/>
    <mergeCell ref="P14:U14"/>
    <mergeCell ref="C15:C22"/>
    <mergeCell ref="D19:E19"/>
    <mergeCell ref="F19:G19"/>
    <mergeCell ref="H19:I19"/>
    <mergeCell ref="J19:K19"/>
    <mergeCell ref="T23:U23"/>
    <mergeCell ref="L19:M19"/>
    <mergeCell ref="N19:O19"/>
    <mergeCell ref="P19:Q19"/>
    <mergeCell ref="R19:S19"/>
    <mergeCell ref="T19:U19"/>
    <mergeCell ref="D23:G23"/>
    <mergeCell ref="H23:I23"/>
    <mergeCell ref="J23:M23"/>
    <mergeCell ref="N23:O23"/>
    <mergeCell ref="P23:S23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46" priority="2" stopIfTrue="1">
      <formula>LEN($D4)=14</formula>
    </cfRule>
  </conditionalFormatting>
  <conditionalFormatting sqref="J4:O4">
    <cfRule type="expression" dxfId="45" priority="3">
      <formula>LEN($J4)=14</formula>
    </cfRule>
  </conditionalFormatting>
  <conditionalFormatting sqref="P4:U4">
    <cfRule type="expression" dxfId="44" priority="4">
      <formula>LEN($P4)=14</formula>
    </cfRule>
  </conditionalFormatting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D0BE-A4C3-450F-AFAF-CB2A6B880199}">
  <dimension ref="A1:AF72"/>
  <sheetViews>
    <sheetView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27" width="8.7109375" style="1" customWidth="1"/>
    <col min="28" max="16384" width="8.7109375" style="1"/>
  </cols>
  <sheetData>
    <row r="1" spans="1:31" ht="24" customHeight="1" thickBot="1" x14ac:dyDescent="0.3"/>
    <row r="2" spans="1:31" ht="24" customHeight="1" thickBot="1" x14ac:dyDescent="0.3">
      <c r="B2" s="310" t="s">
        <v>32</v>
      </c>
      <c r="C2" s="2" t="s">
        <v>88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3"/>
      <c r="W2" s="3"/>
      <c r="X2" s="3"/>
      <c r="Y2" s="3"/>
      <c r="Z2" s="4"/>
      <c r="AA2" s="5"/>
      <c r="AB2" s="6" t="s">
        <v>89</v>
      </c>
      <c r="AC2" s="7"/>
      <c r="AD2" s="7"/>
      <c r="AE2" s="8"/>
    </row>
    <row r="3" spans="1:31" ht="24" customHeight="1" thickBot="1" x14ac:dyDescent="0.3">
      <c r="B3" s="311"/>
      <c r="C3" s="308">
        <v>1.3888888888888888E-2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9"/>
      <c r="W3" s="7"/>
      <c r="X3" s="7"/>
      <c r="Y3" s="7"/>
      <c r="Z3" s="7"/>
      <c r="AA3" s="8"/>
      <c r="AB3" s="10" t="s">
        <v>3</v>
      </c>
      <c r="AC3" s="11"/>
      <c r="AD3" s="11"/>
      <c r="AE3" s="12"/>
    </row>
    <row r="4" spans="1:31" ht="24" customHeight="1" thickBot="1" x14ac:dyDescent="0.3">
      <c r="B4" s="311"/>
      <c r="C4" s="319"/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8"/>
      <c r="P4" s="9" t="s">
        <v>6</v>
      </c>
      <c r="Q4" s="7"/>
      <c r="R4" s="7"/>
      <c r="S4" s="7"/>
      <c r="T4" s="7"/>
      <c r="U4" s="8"/>
      <c r="V4" s="9" t="s">
        <v>43</v>
      </c>
      <c r="W4" s="7"/>
      <c r="X4" s="7"/>
      <c r="Y4" s="7"/>
      <c r="Z4" s="7"/>
      <c r="AA4" s="7"/>
      <c r="AB4" s="6" t="str">
        <f>CONCATENATE(COUNT(AB6:AB21,AD6:AD21)," VIAGENS")</f>
        <v>31 VIAGENS</v>
      </c>
      <c r="AC4" s="7"/>
      <c r="AD4" s="7"/>
      <c r="AE4" s="8"/>
    </row>
    <row r="5" spans="1:31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4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" t="s">
        <v>8</v>
      </c>
      <c r="W5" s="14" t="s">
        <v>9</v>
      </c>
      <c r="X5" s="15" t="s">
        <v>10</v>
      </c>
      <c r="Y5" s="14" t="s">
        <v>11</v>
      </c>
      <c r="Z5" s="15" t="s">
        <v>12</v>
      </c>
      <c r="AA5" s="13" t="s">
        <v>13</v>
      </c>
      <c r="AB5" s="16" t="s">
        <v>14</v>
      </c>
      <c r="AC5" s="17" t="s">
        <v>15</v>
      </c>
      <c r="AD5" s="16" t="s">
        <v>14</v>
      </c>
      <c r="AE5" s="17" t="s">
        <v>15</v>
      </c>
    </row>
    <row r="6" spans="1:31" ht="24" customHeight="1" x14ac:dyDescent="0.25">
      <c r="B6" s="311"/>
      <c r="C6" s="314"/>
      <c r="D6" s="18">
        <v>0.21527777777777779</v>
      </c>
      <c r="E6" s="19">
        <v>0.24374999999999999</v>
      </c>
      <c r="F6" s="19">
        <v>0.28333333333333333</v>
      </c>
      <c r="G6" s="20">
        <f>F6-D6</f>
        <v>6.8055555555555536E-2</v>
      </c>
      <c r="H6" s="55">
        <v>320</v>
      </c>
      <c r="I6" s="22">
        <v>1</v>
      </c>
      <c r="J6" s="18">
        <v>0.23749999999999999</v>
      </c>
      <c r="K6" s="19">
        <v>0.27013888888888887</v>
      </c>
      <c r="L6" s="19">
        <v>0.31041666666666667</v>
      </c>
      <c r="M6" s="20">
        <f>L6-J6</f>
        <v>7.2916666666666685E-2</v>
      </c>
      <c r="N6" s="55">
        <v>320</v>
      </c>
      <c r="O6" s="22">
        <v>2</v>
      </c>
      <c r="P6" s="18">
        <v>0.25694444444444442</v>
      </c>
      <c r="Q6" s="19">
        <v>0.28819444444444442</v>
      </c>
      <c r="R6" s="19">
        <v>0.32777777777777778</v>
      </c>
      <c r="S6" s="20">
        <f t="shared" ref="S6:S7" si="0">R6-P6</f>
        <v>7.0833333333333359E-2</v>
      </c>
      <c r="T6" s="55">
        <v>320</v>
      </c>
      <c r="U6" s="22">
        <v>3</v>
      </c>
      <c r="V6" s="18">
        <v>0.27777777777777779</v>
      </c>
      <c r="W6" s="19">
        <v>0.31527777777777782</v>
      </c>
      <c r="X6" s="19">
        <v>0.35833333333333328</v>
      </c>
      <c r="Y6" s="20">
        <f t="shared" ref="Y6:Y7" si="1">X6-V6</f>
        <v>8.0555555555555491E-2</v>
      </c>
      <c r="Z6" s="55">
        <v>320</v>
      </c>
      <c r="AA6" s="22">
        <v>4</v>
      </c>
      <c r="AB6" s="23">
        <v>0.21527777777777779</v>
      </c>
      <c r="AC6" s="24"/>
      <c r="AD6" s="25">
        <v>0.60069444444444442</v>
      </c>
      <c r="AE6" s="26">
        <f>AD6-AB21</f>
        <v>2.777777777777779E-2</v>
      </c>
    </row>
    <row r="7" spans="1:31" ht="24" customHeight="1" thickBot="1" x14ac:dyDescent="0.3">
      <c r="B7" s="311"/>
      <c r="C7" s="314"/>
      <c r="D7" s="18">
        <v>0.2986111111111111</v>
      </c>
      <c r="E7" s="19">
        <v>0.33888888888888891</v>
      </c>
      <c r="F7" s="19">
        <v>0.37986111111111109</v>
      </c>
      <c r="G7" s="20">
        <f>F7-D7</f>
        <v>8.1249999999999989E-2</v>
      </c>
      <c r="H7" s="55">
        <v>320</v>
      </c>
      <c r="I7" s="22">
        <v>1</v>
      </c>
      <c r="J7" s="18">
        <v>0.31944444444444442</v>
      </c>
      <c r="K7" s="19">
        <v>0.35416666666666669</v>
      </c>
      <c r="L7" s="19">
        <v>0.39513888888888887</v>
      </c>
      <c r="M7" s="20">
        <f t="shared" ref="M7:M8" si="2">L7-J7</f>
        <v>7.5694444444444453E-2</v>
      </c>
      <c r="N7" s="55">
        <v>320</v>
      </c>
      <c r="O7" s="22">
        <v>2</v>
      </c>
      <c r="P7" s="18">
        <v>0.34027777777777779</v>
      </c>
      <c r="Q7" s="19">
        <v>0.37152777777777779</v>
      </c>
      <c r="R7" s="19">
        <v>0.41180555555555548</v>
      </c>
      <c r="S7" s="20">
        <f t="shared" si="0"/>
        <v>7.152777777777769E-2</v>
      </c>
      <c r="T7" s="55">
        <v>320</v>
      </c>
      <c r="U7" s="22">
        <v>3</v>
      </c>
      <c r="V7" s="18">
        <v>0.36805555555555558</v>
      </c>
      <c r="W7" s="19">
        <v>0.39791666666666659</v>
      </c>
      <c r="X7" s="19">
        <v>0.43888888888888888</v>
      </c>
      <c r="Y7" s="20">
        <f t="shared" si="1"/>
        <v>7.0833333333333304E-2</v>
      </c>
      <c r="Z7" s="55">
        <v>320</v>
      </c>
      <c r="AA7" s="22">
        <v>4</v>
      </c>
      <c r="AB7" s="27">
        <v>0.23749999999999999</v>
      </c>
      <c r="AC7" s="28">
        <f t="shared" ref="AC7:AC21" si="3">AB7-AB6</f>
        <v>2.2222222222222199E-2</v>
      </c>
      <c r="AD7" s="29">
        <v>0.625</v>
      </c>
      <c r="AE7" s="30">
        <f t="shared" ref="AE7:AE20" si="4">AD7-AD6</f>
        <v>2.430555555555558E-2</v>
      </c>
    </row>
    <row r="8" spans="1:31" ht="24" customHeight="1" thickBot="1" x14ac:dyDescent="0.3">
      <c r="B8" s="311"/>
      <c r="C8" s="314"/>
      <c r="D8" s="31">
        <f>IF(F7="",E7,F7)</f>
        <v>0.37986111111111109</v>
      </c>
      <c r="E8" s="32"/>
      <c r="F8" s="31">
        <f>IF(D9="",E9,D9)</f>
        <v>0.4375</v>
      </c>
      <c r="G8" s="32"/>
      <c r="H8" s="32">
        <f>F8-D8</f>
        <v>5.7638888888888906E-2</v>
      </c>
      <c r="I8" s="32"/>
      <c r="J8" s="18">
        <v>0.40277777777777779</v>
      </c>
      <c r="K8" s="19">
        <v>0.43402777777777779</v>
      </c>
      <c r="L8" s="19">
        <v>0.47222222222222221</v>
      </c>
      <c r="M8" s="20">
        <f t="shared" si="2"/>
        <v>6.944444444444442E-2</v>
      </c>
      <c r="N8" s="55">
        <v>320</v>
      </c>
      <c r="O8" s="22">
        <v>2</v>
      </c>
      <c r="P8" s="31">
        <f>IF(R7="",Q7,R7)</f>
        <v>0.41180555555555548</v>
      </c>
      <c r="Q8" s="32"/>
      <c r="R8" s="31">
        <f>IF(P9="",Q9,P9)</f>
        <v>0.47152777777777782</v>
      </c>
      <c r="S8" s="32"/>
      <c r="T8" s="32">
        <f>R8-P8</f>
        <v>5.9722222222222343E-2</v>
      </c>
      <c r="U8" s="32"/>
      <c r="V8" s="31">
        <f>IF(X7="",W7,X7)</f>
        <v>0.43888888888888888</v>
      </c>
      <c r="W8" s="32"/>
      <c r="X8" s="31">
        <f>IF(V9="",W9,V9)</f>
        <v>0.49236111111111108</v>
      </c>
      <c r="Y8" s="32"/>
      <c r="Z8" s="32">
        <f>X8-V8</f>
        <v>5.3472222222222199E-2</v>
      </c>
      <c r="AA8" s="33"/>
      <c r="AB8" s="27">
        <v>0.25694444444444442</v>
      </c>
      <c r="AC8" s="28">
        <f t="shared" si="3"/>
        <v>1.9444444444444431E-2</v>
      </c>
      <c r="AD8" s="29">
        <v>0.64583333333333337</v>
      </c>
      <c r="AE8" s="30">
        <f t="shared" si="4"/>
        <v>2.083333333333337E-2</v>
      </c>
    </row>
    <row r="9" spans="1:31" ht="24" customHeight="1" thickBot="1" x14ac:dyDescent="0.3">
      <c r="B9" s="311"/>
      <c r="C9" s="314"/>
      <c r="D9" s="18">
        <v>0.4375</v>
      </c>
      <c r="E9" s="19">
        <v>0.46736111111111112</v>
      </c>
      <c r="F9" s="19">
        <v>0.50972222222222219</v>
      </c>
      <c r="G9" s="20">
        <f t="shared" ref="G9:G10" si="5">F9-D9</f>
        <v>7.2222222222222188E-2</v>
      </c>
      <c r="H9" s="55">
        <v>320</v>
      </c>
      <c r="I9" s="22">
        <v>1</v>
      </c>
      <c r="J9" s="31">
        <f>IF(L8="",K8,L8)</f>
        <v>0.47222222222222221</v>
      </c>
      <c r="K9" s="32"/>
      <c r="L9" s="31">
        <f>IF(J10="",K10,J10)</f>
        <v>0.53402777777777777</v>
      </c>
      <c r="M9" s="32"/>
      <c r="N9" s="32">
        <f>L9-J9</f>
        <v>6.1805555555555558E-2</v>
      </c>
      <c r="O9" s="32"/>
      <c r="P9" s="18">
        <v>0.47152777777777782</v>
      </c>
      <c r="Q9" s="19">
        <v>0.49791666666666667</v>
      </c>
      <c r="R9" s="19">
        <v>0.53472222222222221</v>
      </c>
      <c r="S9" s="20">
        <f t="shared" ref="S9:S10" si="6">R9-P9</f>
        <v>6.3194444444444386E-2</v>
      </c>
      <c r="T9" s="55">
        <v>320</v>
      </c>
      <c r="U9" s="22">
        <v>3</v>
      </c>
      <c r="V9" s="18">
        <v>0.49236111111111108</v>
      </c>
      <c r="W9" s="19">
        <v>0.51944444444444449</v>
      </c>
      <c r="X9" s="19">
        <v>0.55763888888888891</v>
      </c>
      <c r="Y9" s="20">
        <f t="shared" ref="Y9:Y10" si="7">X9-V9</f>
        <v>6.5277777777777823E-2</v>
      </c>
      <c r="Z9" s="55">
        <v>320</v>
      </c>
      <c r="AA9" s="22">
        <v>4</v>
      </c>
      <c r="AB9" s="27">
        <v>0.27777777777777779</v>
      </c>
      <c r="AC9" s="28">
        <f t="shared" si="3"/>
        <v>2.083333333333337E-2</v>
      </c>
      <c r="AD9" s="29">
        <v>0.66666666666666663</v>
      </c>
      <c r="AE9" s="30">
        <f t="shared" si="4"/>
        <v>2.0833333333333259E-2</v>
      </c>
    </row>
    <row r="10" spans="1:31" ht="24" customHeight="1" thickBot="1" x14ac:dyDescent="0.3">
      <c r="B10" s="311"/>
      <c r="C10" s="314"/>
      <c r="D10" s="18">
        <v>0.51666666666666672</v>
      </c>
      <c r="E10" s="19">
        <v>0.54583333333333328</v>
      </c>
      <c r="F10" s="19">
        <v>0.58680555555555558</v>
      </c>
      <c r="G10" s="20">
        <f t="shared" si="5"/>
        <v>7.0138888888888862E-2</v>
      </c>
      <c r="H10" s="55">
        <v>320</v>
      </c>
      <c r="I10" s="22">
        <v>1</v>
      </c>
      <c r="J10" s="18">
        <v>0.53402777777777777</v>
      </c>
      <c r="K10" s="19">
        <v>0.56458333333333333</v>
      </c>
      <c r="L10" s="19">
        <v>0.60972222222222228</v>
      </c>
      <c r="M10" s="20">
        <f>L10-J10</f>
        <v>7.5694444444444509E-2</v>
      </c>
      <c r="N10" s="55">
        <v>320</v>
      </c>
      <c r="O10" s="22">
        <v>2</v>
      </c>
      <c r="P10" s="18">
        <v>0.55208333333333337</v>
      </c>
      <c r="Q10" s="19">
        <v>0.58333333333333337</v>
      </c>
      <c r="R10" s="19">
        <v>0.63402777777777775</v>
      </c>
      <c r="S10" s="20">
        <f t="shared" si="6"/>
        <v>8.1944444444444375E-2</v>
      </c>
      <c r="T10" s="55">
        <v>320</v>
      </c>
      <c r="U10" s="22">
        <v>3</v>
      </c>
      <c r="V10" s="18">
        <v>0.57291666666666663</v>
      </c>
      <c r="W10" s="19">
        <v>0.60763888888888884</v>
      </c>
      <c r="X10" s="19">
        <v>0.65625</v>
      </c>
      <c r="Y10" s="20">
        <f t="shared" si="7"/>
        <v>8.333333333333337E-2</v>
      </c>
      <c r="Z10" s="55">
        <v>320</v>
      </c>
      <c r="AA10" s="22">
        <v>4</v>
      </c>
      <c r="AB10" s="27">
        <v>0.2986111111111111</v>
      </c>
      <c r="AC10" s="28">
        <f t="shared" si="3"/>
        <v>2.0833333333333315E-2</v>
      </c>
      <c r="AD10" s="29">
        <v>0.6875</v>
      </c>
      <c r="AE10" s="30">
        <f t="shared" si="4"/>
        <v>2.083333333333337E-2</v>
      </c>
    </row>
    <row r="11" spans="1:31" s="35" customFormat="1" ht="24" customHeight="1" thickBot="1" x14ac:dyDescent="0.3">
      <c r="A11" s="34"/>
      <c r="B11" s="311"/>
      <c r="C11" s="315"/>
      <c r="D11" s="318" t="s">
        <v>16</v>
      </c>
      <c r="E11" s="443"/>
      <c r="F11" s="443"/>
      <c r="G11" s="443"/>
      <c r="H11" s="443"/>
      <c r="I11" s="444"/>
      <c r="J11" s="318" t="s">
        <v>16</v>
      </c>
      <c r="K11" s="443"/>
      <c r="L11" s="443"/>
      <c r="M11" s="443"/>
      <c r="N11" s="443"/>
      <c r="O11" s="444"/>
      <c r="P11" s="318" t="s">
        <v>16</v>
      </c>
      <c r="Q11" s="443"/>
      <c r="R11" s="443"/>
      <c r="S11" s="443"/>
      <c r="T11" s="443"/>
      <c r="U11" s="444"/>
      <c r="V11" s="318" t="s">
        <v>16</v>
      </c>
      <c r="W11" s="443"/>
      <c r="X11" s="443"/>
      <c r="Y11" s="443"/>
      <c r="Z11" s="443"/>
      <c r="AA11" s="444"/>
      <c r="AB11" s="27">
        <v>0.31944444444444442</v>
      </c>
      <c r="AC11" s="28">
        <f t="shared" si="3"/>
        <v>2.0833333333333315E-2</v>
      </c>
      <c r="AD11" s="29">
        <v>0.71875</v>
      </c>
      <c r="AE11" s="30">
        <f t="shared" si="4"/>
        <v>3.125E-2</v>
      </c>
    </row>
    <row r="12" spans="1:31" ht="24" customHeight="1" thickBot="1" x14ac:dyDescent="0.3">
      <c r="B12" s="311"/>
      <c r="C12" s="36" t="s">
        <v>17</v>
      </c>
      <c r="D12" s="37">
        <f>MAX(E6:F10)-IF(D6="",E6,D6)-MIN(H6:H10)+$C3</f>
        <v>0.32777777777777778</v>
      </c>
      <c r="E12" s="38"/>
      <c r="F12" s="38"/>
      <c r="G12" s="39"/>
      <c r="H12" s="40">
        <f ca="1">OFFSET(H5,MATCH(MIN(H6:H10),H6:H10,0),-4)-IF(D6="",E6,D6)+$C3</f>
        <v>0.1784722222222222</v>
      </c>
      <c r="I12" s="41"/>
      <c r="J12" s="37">
        <f>MAX(K6:L10)-IF(J6="",K6,J6)-MIN(N6:N10)+$C3</f>
        <v>0.32430555555555562</v>
      </c>
      <c r="K12" s="38"/>
      <c r="L12" s="38"/>
      <c r="M12" s="39"/>
      <c r="N12" s="40">
        <f ca="1">OFFSET(N5,MATCH(MIN(N6:N10),N6:N10,0),-4)-IF(J6="",K6,J6)+$C3</f>
        <v>0.24861111111111112</v>
      </c>
      <c r="O12" s="41"/>
      <c r="P12" s="37">
        <f>MAX(Q6:R10)-IF(P6="",Q6,P6)-MIN(T6:T10)+$C3</f>
        <v>0.33124999999999988</v>
      </c>
      <c r="Q12" s="38"/>
      <c r="R12" s="38"/>
      <c r="S12" s="39"/>
      <c r="T12" s="40">
        <f ca="1">OFFSET(T5,MATCH(MIN(T6:T10),T6:T10,0),-4)-IF(P6="",Q6,P6)+$C3</f>
        <v>0.16874999999999996</v>
      </c>
      <c r="U12" s="41"/>
      <c r="V12" s="37">
        <f>MAX(W6:X10)-IF(V6="",W6,V6)-MIN(Z6:Z10)+$C3</f>
        <v>0.33888888888888891</v>
      </c>
      <c r="W12" s="38"/>
      <c r="X12" s="38"/>
      <c r="Y12" s="39"/>
      <c r="Z12" s="40">
        <f ca="1">OFFSET(Z5,MATCH(MIN(Z6:Z10),Z6:Z10,0),-4)-IF(V6="",W6,V6)+$C3</f>
        <v>0.17499999999999999</v>
      </c>
      <c r="AA12" s="42"/>
      <c r="AB12" s="27">
        <v>0.34027777777777779</v>
      </c>
      <c r="AC12" s="28">
        <f t="shared" si="3"/>
        <v>2.083333333333337E-2</v>
      </c>
      <c r="AD12" s="29">
        <v>0.75</v>
      </c>
      <c r="AE12" s="30">
        <f t="shared" si="4"/>
        <v>3.125E-2</v>
      </c>
    </row>
    <row r="13" spans="1:31" ht="24" customHeight="1" thickBot="1" x14ac:dyDescent="0.3">
      <c r="B13" s="311"/>
      <c r="C13" s="308">
        <v>1.3888888888888888E-2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9"/>
      <c r="W13" s="7"/>
      <c r="X13" s="7"/>
      <c r="Y13" s="7"/>
      <c r="Z13" s="7"/>
      <c r="AA13" s="7"/>
      <c r="AB13" s="27">
        <v>0.36805555555555558</v>
      </c>
      <c r="AC13" s="28">
        <f t="shared" si="3"/>
        <v>2.777777777777779E-2</v>
      </c>
      <c r="AD13" s="29">
        <v>0.78472222222222221</v>
      </c>
      <c r="AE13" s="30">
        <f t="shared" si="4"/>
        <v>3.472222222222221E-2</v>
      </c>
    </row>
    <row r="14" spans="1:31" ht="24" customHeight="1" thickBot="1" x14ac:dyDescent="0.3">
      <c r="B14" s="311"/>
      <c r="C14" s="319"/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8"/>
      <c r="P14" s="9" t="s">
        <v>21</v>
      </c>
      <c r="Q14" s="7"/>
      <c r="R14" s="7"/>
      <c r="S14" s="7"/>
      <c r="T14" s="7"/>
      <c r="U14" s="8"/>
      <c r="V14" s="9" t="s">
        <v>45</v>
      </c>
      <c r="W14" s="7"/>
      <c r="X14" s="7"/>
      <c r="Y14" s="7"/>
      <c r="Z14" s="7"/>
      <c r="AA14" s="7"/>
      <c r="AB14" s="27">
        <v>0.40277777777777779</v>
      </c>
      <c r="AC14" s="28">
        <f t="shared" si="3"/>
        <v>3.472222222222221E-2</v>
      </c>
      <c r="AD14" s="29">
        <v>0.83888888888888891</v>
      </c>
      <c r="AE14" s="30">
        <f t="shared" si="4"/>
        <v>5.4166666666666696E-2</v>
      </c>
    </row>
    <row r="15" spans="1:31" ht="24" customHeight="1" thickBot="1" x14ac:dyDescent="0.3">
      <c r="B15" s="311"/>
      <c r="C15" s="302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4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4" t="s">
        <v>13</v>
      </c>
      <c r="V15" s="13" t="s">
        <v>8</v>
      </c>
      <c r="W15" s="14" t="s">
        <v>9</v>
      </c>
      <c r="X15" s="15" t="s">
        <v>10</v>
      </c>
      <c r="Y15" s="14" t="s">
        <v>11</v>
      </c>
      <c r="Z15" s="15" t="s">
        <v>12</v>
      </c>
      <c r="AA15" s="13" t="s">
        <v>13</v>
      </c>
      <c r="AB15" s="27">
        <v>0.4375</v>
      </c>
      <c r="AC15" s="28">
        <f t="shared" si="3"/>
        <v>3.472222222222221E-2</v>
      </c>
      <c r="AD15" s="29">
        <v>0.87361111111111112</v>
      </c>
      <c r="AE15" s="30">
        <f t="shared" si="4"/>
        <v>3.472222222222221E-2</v>
      </c>
    </row>
    <row r="16" spans="1:31" ht="24" customHeight="1" x14ac:dyDescent="0.25">
      <c r="B16" s="311"/>
      <c r="C16" s="303"/>
      <c r="D16" s="23">
        <v>0.60069444444444442</v>
      </c>
      <c r="E16" s="25">
        <v>0.63124999999999998</v>
      </c>
      <c r="F16" s="25">
        <v>0.67638888888888893</v>
      </c>
      <c r="G16" s="20">
        <f t="shared" ref="G16:G17" si="8">F16-D16</f>
        <v>7.5694444444444509E-2</v>
      </c>
      <c r="H16" s="56">
        <v>320</v>
      </c>
      <c r="I16" s="48">
        <v>1</v>
      </c>
      <c r="J16" s="23">
        <v>0.625</v>
      </c>
      <c r="K16" s="25">
        <v>0.65555555555555556</v>
      </c>
      <c r="L16" s="25">
        <v>0.70902777777777781</v>
      </c>
      <c r="M16" s="20">
        <f t="shared" ref="M16:M17" si="9">L16-J16</f>
        <v>8.4027777777777812E-2</v>
      </c>
      <c r="N16" s="56">
        <v>320</v>
      </c>
      <c r="O16" s="48">
        <v>2</v>
      </c>
      <c r="P16" s="23">
        <v>0.64583333333333337</v>
      </c>
      <c r="Q16" s="25">
        <v>0.6791666666666667</v>
      </c>
      <c r="R16" s="25">
        <v>0.73958333333333337</v>
      </c>
      <c r="S16" s="20">
        <f t="shared" ref="S16:S17" si="10">R16-P16</f>
        <v>9.375E-2</v>
      </c>
      <c r="T16" s="56">
        <v>320</v>
      </c>
      <c r="U16" s="48">
        <v>3</v>
      </c>
      <c r="V16" s="23">
        <v>0.66666666666666663</v>
      </c>
      <c r="W16" s="25">
        <v>0.69861111111111107</v>
      </c>
      <c r="X16" s="25">
        <v>0.76666666666666672</v>
      </c>
      <c r="Y16" s="20">
        <f t="shared" ref="Y16:Y17" si="11">X16-V16</f>
        <v>0.10000000000000009</v>
      </c>
      <c r="Z16" s="56">
        <v>320</v>
      </c>
      <c r="AA16" s="57">
        <v>4</v>
      </c>
      <c r="AB16" s="27">
        <v>0.47152777777777782</v>
      </c>
      <c r="AC16" s="28">
        <f t="shared" si="3"/>
        <v>3.4027777777777823E-2</v>
      </c>
      <c r="AD16" s="29">
        <v>0.90138888888888891</v>
      </c>
      <c r="AE16" s="30">
        <f t="shared" si="4"/>
        <v>2.777777777777779E-2</v>
      </c>
    </row>
    <row r="17" spans="1:32" ht="24" customHeight="1" thickBot="1" x14ac:dyDescent="0.3">
      <c r="B17" s="311"/>
      <c r="C17" s="303"/>
      <c r="D17" s="27">
        <v>0.6875</v>
      </c>
      <c r="E17" s="29">
        <v>0.71944444444444444</v>
      </c>
      <c r="F17" s="29">
        <v>0.79027777777777775</v>
      </c>
      <c r="G17" s="20">
        <f t="shared" si="8"/>
        <v>0.10277777777777775</v>
      </c>
      <c r="H17" s="58">
        <v>320</v>
      </c>
      <c r="I17" s="50">
        <v>1</v>
      </c>
      <c r="J17" s="27">
        <v>0.71875</v>
      </c>
      <c r="K17" s="29">
        <v>0.7583333333333333</v>
      </c>
      <c r="L17" s="29">
        <v>0.81874999999999998</v>
      </c>
      <c r="M17" s="20">
        <f t="shared" si="9"/>
        <v>9.9999999999999978E-2</v>
      </c>
      <c r="N17" s="58">
        <v>320</v>
      </c>
      <c r="O17" s="50">
        <v>2</v>
      </c>
      <c r="P17" s="27">
        <v>0.75</v>
      </c>
      <c r="Q17" s="29">
        <v>0.77986111111111112</v>
      </c>
      <c r="R17" s="29">
        <v>0.82777777777777772</v>
      </c>
      <c r="S17" s="20">
        <f t="shared" si="10"/>
        <v>7.7777777777777724E-2</v>
      </c>
      <c r="T17" s="58">
        <v>320</v>
      </c>
      <c r="U17" s="50">
        <v>3</v>
      </c>
      <c r="V17" s="27">
        <v>0.78472222222222221</v>
      </c>
      <c r="W17" s="29">
        <v>0.81597222222222221</v>
      </c>
      <c r="X17" s="29">
        <v>0.85138888888888886</v>
      </c>
      <c r="Y17" s="20">
        <f t="shared" si="11"/>
        <v>6.6666666666666652E-2</v>
      </c>
      <c r="Z17" s="58">
        <v>320</v>
      </c>
      <c r="AA17" s="64">
        <v>4</v>
      </c>
      <c r="AB17" s="27">
        <v>0.49236111111111108</v>
      </c>
      <c r="AC17" s="28">
        <f t="shared" si="3"/>
        <v>2.0833333333333259E-2</v>
      </c>
      <c r="AD17" s="29">
        <v>0.9291666666666667</v>
      </c>
      <c r="AE17" s="30">
        <f t="shared" si="4"/>
        <v>2.777777777777779E-2</v>
      </c>
    </row>
    <row r="18" spans="1:32" ht="24" customHeight="1" thickBot="1" x14ac:dyDescent="0.3">
      <c r="B18" s="311"/>
      <c r="C18" s="303"/>
      <c r="D18" s="31">
        <f>IF(F17="",E17,F17)</f>
        <v>0.79027777777777775</v>
      </c>
      <c r="E18" s="32"/>
      <c r="F18" s="31">
        <f>IF(D19="",E19,D19)</f>
        <v>0.83888888888888891</v>
      </c>
      <c r="G18" s="32"/>
      <c r="H18" s="32">
        <f>F18-D18</f>
        <v>4.861111111111116E-2</v>
      </c>
      <c r="I18" s="32"/>
      <c r="J18" s="31">
        <f>IF(L17="",K17,L17)</f>
        <v>0.81874999999999998</v>
      </c>
      <c r="K18" s="32"/>
      <c r="L18" s="31">
        <f>IF(J19="",K19,J19)</f>
        <v>0.87361111111111112</v>
      </c>
      <c r="M18" s="32"/>
      <c r="N18" s="32">
        <f>L18-J18</f>
        <v>5.4861111111111138E-2</v>
      </c>
      <c r="O18" s="32"/>
      <c r="P18" s="31">
        <f>IF(R17="",Q17,R17)</f>
        <v>0.82777777777777772</v>
      </c>
      <c r="Q18" s="32"/>
      <c r="R18" s="31">
        <f>IF(P19="",Q19,P19)</f>
        <v>0.90138888888888891</v>
      </c>
      <c r="S18" s="32"/>
      <c r="T18" s="32">
        <f>R18-P18</f>
        <v>7.3611111111111183E-2</v>
      </c>
      <c r="U18" s="32"/>
      <c r="V18" s="31">
        <f>IF(X17="",W17,X17)</f>
        <v>0.85138888888888886</v>
      </c>
      <c r="W18" s="32"/>
      <c r="X18" s="31">
        <f>IF(V19="",W19,V19)</f>
        <v>0.9291666666666667</v>
      </c>
      <c r="Y18" s="32"/>
      <c r="Z18" s="32">
        <f>X18-V18</f>
        <v>7.7777777777777835E-2</v>
      </c>
      <c r="AA18" s="33"/>
      <c r="AB18" s="27">
        <v>0.51666666666666672</v>
      </c>
      <c r="AC18" s="28">
        <f t="shared" si="3"/>
        <v>2.4305555555555636E-2</v>
      </c>
      <c r="AD18" s="29">
        <v>0.95694444444444449</v>
      </c>
      <c r="AE18" s="30">
        <f t="shared" si="4"/>
        <v>2.777777777777779E-2</v>
      </c>
    </row>
    <row r="19" spans="1:32" ht="24" customHeight="1" x14ac:dyDescent="0.25">
      <c r="B19" s="311"/>
      <c r="C19" s="303"/>
      <c r="D19" s="27">
        <v>0.83888888888888891</v>
      </c>
      <c r="E19" s="29">
        <v>0.86597222222222225</v>
      </c>
      <c r="F19" s="29">
        <v>0.90416666666666667</v>
      </c>
      <c r="G19" s="20">
        <f>F19-D19</f>
        <v>6.5277777777777768E-2</v>
      </c>
      <c r="H19" s="58">
        <v>320</v>
      </c>
      <c r="I19" s="50">
        <v>1</v>
      </c>
      <c r="J19" s="27">
        <v>0.87361111111111112</v>
      </c>
      <c r="K19" s="29">
        <v>0.9</v>
      </c>
      <c r="L19" s="29">
        <v>0.93611111111111112</v>
      </c>
      <c r="M19" s="20">
        <f t="shared" ref="M19:M20" si="12">L19-J19</f>
        <v>6.25E-2</v>
      </c>
      <c r="N19" s="58">
        <v>320</v>
      </c>
      <c r="O19" s="50">
        <v>2</v>
      </c>
      <c r="P19" s="27">
        <v>0.90138888888888891</v>
      </c>
      <c r="Q19" s="29">
        <v>0.92569444444444449</v>
      </c>
      <c r="R19" s="29">
        <v>0.95972222222222225</v>
      </c>
      <c r="S19" s="20">
        <f t="shared" ref="S19:S20" si="13">R19-P19</f>
        <v>5.8333333333333348E-2</v>
      </c>
      <c r="T19" s="58">
        <v>320</v>
      </c>
      <c r="U19" s="50">
        <v>3</v>
      </c>
      <c r="V19" s="27">
        <v>0.9291666666666667</v>
      </c>
      <c r="W19" s="29">
        <v>0.95486111111111116</v>
      </c>
      <c r="X19" s="29">
        <v>0.98750000000000004</v>
      </c>
      <c r="Y19" s="20">
        <f t="shared" ref="Y19:Y20" si="14">X19-V19</f>
        <v>5.8333333333333348E-2</v>
      </c>
      <c r="Z19" s="58">
        <v>320</v>
      </c>
      <c r="AA19" s="64">
        <v>4</v>
      </c>
      <c r="AB19" s="27">
        <v>0.53402777777777777</v>
      </c>
      <c r="AC19" s="28">
        <f t="shared" si="3"/>
        <v>1.7361111111111049E-2</v>
      </c>
      <c r="AD19" s="29">
        <v>0.98472222222222228</v>
      </c>
      <c r="AE19" s="30">
        <f t="shared" si="4"/>
        <v>2.777777777777779E-2</v>
      </c>
    </row>
    <row r="20" spans="1:32" ht="24" customHeight="1" thickBot="1" x14ac:dyDescent="0.3">
      <c r="B20" s="311"/>
      <c r="C20" s="303"/>
      <c r="D20" s="27"/>
      <c r="E20" s="29"/>
      <c r="F20" s="29"/>
      <c r="G20" s="194"/>
      <c r="H20" s="58"/>
      <c r="I20" s="50"/>
      <c r="J20" s="27">
        <v>0.95694444444444449</v>
      </c>
      <c r="K20" s="29">
        <v>0.98263888888888884</v>
      </c>
      <c r="L20" s="29">
        <v>1.0152777777777777</v>
      </c>
      <c r="M20" s="20">
        <f t="shared" si="12"/>
        <v>5.8333333333333237E-2</v>
      </c>
      <c r="N20" s="58">
        <v>320</v>
      </c>
      <c r="O20" s="50">
        <v>2</v>
      </c>
      <c r="P20" s="27">
        <v>0.98472222222222228</v>
      </c>
      <c r="Q20" s="29">
        <v>1.0125</v>
      </c>
      <c r="R20" s="29">
        <v>1.0402777777777779</v>
      </c>
      <c r="S20" s="20">
        <f t="shared" si="13"/>
        <v>5.555555555555558E-2</v>
      </c>
      <c r="T20" s="58">
        <v>320</v>
      </c>
      <c r="U20" s="50">
        <v>3</v>
      </c>
      <c r="V20" s="27">
        <v>1.0125</v>
      </c>
      <c r="W20" s="29">
        <v>1.0402777777777779</v>
      </c>
      <c r="X20" s="29">
        <v>1.0680555555555555</v>
      </c>
      <c r="Y20" s="20">
        <f t="shared" si="14"/>
        <v>5.555555555555558E-2</v>
      </c>
      <c r="Z20" s="58">
        <v>320</v>
      </c>
      <c r="AA20" s="64">
        <v>4</v>
      </c>
      <c r="AB20" s="27">
        <v>0.55208333333333337</v>
      </c>
      <c r="AC20" s="28">
        <f t="shared" si="3"/>
        <v>1.8055555555555602E-2</v>
      </c>
      <c r="AD20" s="63">
        <v>1.0125</v>
      </c>
      <c r="AE20" s="30">
        <f t="shared" si="4"/>
        <v>2.7777777777777679E-2</v>
      </c>
    </row>
    <row r="21" spans="1:32" s="35" customFormat="1" ht="24" customHeight="1" thickBot="1" x14ac:dyDescent="0.3">
      <c r="A21" s="34"/>
      <c r="B21" s="311"/>
      <c r="C21" s="304"/>
      <c r="D21" s="318" t="s">
        <v>16</v>
      </c>
      <c r="E21" s="443"/>
      <c r="F21" s="443"/>
      <c r="G21" s="443"/>
      <c r="H21" s="443"/>
      <c r="I21" s="444"/>
      <c r="J21" s="318" t="s">
        <v>16</v>
      </c>
      <c r="K21" s="443"/>
      <c r="L21" s="443"/>
      <c r="M21" s="443"/>
      <c r="N21" s="443"/>
      <c r="O21" s="444"/>
      <c r="P21" s="318" t="s">
        <v>16</v>
      </c>
      <c r="Q21" s="443"/>
      <c r="R21" s="443"/>
      <c r="S21" s="443"/>
      <c r="T21" s="443"/>
      <c r="U21" s="444"/>
      <c r="V21" s="318" t="s">
        <v>16</v>
      </c>
      <c r="W21" s="443"/>
      <c r="X21" s="443"/>
      <c r="Y21" s="443"/>
      <c r="Z21" s="443"/>
      <c r="AA21" s="444"/>
      <c r="AB21" s="43">
        <v>0.57291666666666663</v>
      </c>
      <c r="AC21" s="44">
        <f t="shared" si="3"/>
        <v>2.0833333333333259E-2</v>
      </c>
      <c r="AD21" s="45"/>
      <c r="AE21" s="46"/>
      <c r="AF21" s="1"/>
    </row>
    <row r="22" spans="1:32" ht="24" customHeight="1" thickBot="1" x14ac:dyDescent="0.3">
      <c r="B22" s="312"/>
      <c r="C22" s="36" t="s">
        <v>17</v>
      </c>
      <c r="D22" s="37">
        <f>MAX(E16:F20)-IF(D16="",E16,D16)-MIN(H16:H20)+$C13</f>
        <v>0.26874999999999999</v>
      </c>
      <c r="E22" s="51"/>
      <c r="F22" s="51"/>
      <c r="G22" s="52"/>
      <c r="H22" s="53">
        <f ca="1">OFFSET(H15,MATCH(MIN(H16:H20),H16:H20,0),-4)-IF(D16="",E16,D16)</f>
        <v>0.18958333333333333</v>
      </c>
      <c r="I22" s="54"/>
      <c r="J22" s="37">
        <f>MAX(K16:L20)-IF(J16="",K16,J16)-MIN(N16:N20)+$C13</f>
        <v>0.34930555555555548</v>
      </c>
      <c r="K22" s="38"/>
      <c r="L22" s="38"/>
      <c r="M22" s="39"/>
      <c r="N22" s="53">
        <f ca="1">OFFSET(N15,MATCH(MIN(N16:N20),N16:N20,0),-4)-IF(J16="",K16,J16)</f>
        <v>0.19374999999999998</v>
      </c>
      <c r="O22" s="41"/>
      <c r="P22" s="37">
        <f>MAX(Q16:R20)-IF(P16="",Q16,P16)-MIN(T16:T20)+$C13</f>
        <v>0.3347222222222222</v>
      </c>
      <c r="Q22" s="38"/>
      <c r="R22" s="38"/>
      <c r="S22" s="39"/>
      <c r="T22" s="53">
        <f ca="1">OFFSET(T15,MATCH(MIN(T16:T20),T16:T20,0),-4)-IF(P16="",Q16,P16)</f>
        <v>0.18194444444444435</v>
      </c>
      <c r="U22" s="41"/>
      <c r="V22" s="37">
        <f>MAX(W16:X20)-IF(V16="",W16,V16)-MIN(Z16:Z20)+$C13</f>
        <v>0.33749999999999997</v>
      </c>
      <c r="W22" s="38"/>
      <c r="X22" s="38"/>
      <c r="Y22" s="39"/>
      <c r="Z22" s="53">
        <f ca="1">OFFSET(Z15,MATCH(MIN(Z16:Z20),Z16:Z20,0),-4)-IF(V16="",W16,V16)</f>
        <v>0.18472222222222223</v>
      </c>
      <c r="AA22" s="41"/>
    </row>
    <row r="25" spans="1:32" ht="24" customHeight="1" x14ac:dyDescent="0.25">
      <c r="D25"/>
      <c r="E25"/>
      <c r="F25"/>
      <c r="G25"/>
      <c r="H25"/>
      <c r="I25"/>
      <c r="J25"/>
      <c r="K25"/>
    </row>
    <row r="26" spans="1:32" ht="24" customHeight="1" thickBot="1" x14ac:dyDescent="0.3"/>
    <row r="27" spans="1:32" ht="24" customHeight="1" thickBot="1" x14ac:dyDescent="0.3">
      <c r="B27" s="310" t="s">
        <v>36</v>
      </c>
      <c r="C27" s="2" t="s">
        <v>90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3"/>
      <c r="W27" s="3"/>
      <c r="X27" s="3"/>
      <c r="Y27" s="3"/>
      <c r="Z27" s="4"/>
      <c r="AA27" s="5"/>
      <c r="AB27" s="6" t="s">
        <v>89</v>
      </c>
      <c r="AC27" s="7"/>
      <c r="AD27" s="7"/>
      <c r="AE27" s="8"/>
    </row>
    <row r="28" spans="1:32" ht="24" customHeight="1" thickBot="1" x14ac:dyDescent="0.3">
      <c r="B28" s="316"/>
      <c r="C28" s="308">
        <v>1.3888888888888888E-2</v>
      </c>
      <c r="D28" s="9" t="s">
        <v>2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9"/>
      <c r="W28" s="7"/>
      <c r="X28" s="7"/>
      <c r="Y28" s="7"/>
      <c r="Z28" s="7"/>
      <c r="AA28" s="8"/>
      <c r="AB28" s="10" t="s">
        <v>23</v>
      </c>
      <c r="AC28" s="11"/>
      <c r="AD28" s="11"/>
      <c r="AE28" s="12"/>
    </row>
    <row r="29" spans="1:32" ht="24" customHeight="1" thickBot="1" x14ac:dyDescent="0.3">
      <c r="B29" s="316"/>
      <c r="C29" s="319"/>
      <c r="D29" s="9" t="s">
        <v>4</v>
      </c>
      <c r="E29" s="7"/>
      <c r="F29" s="7"/>
      <c r="G29" s="7"/>
      <c r="H29" s="7"/>
      <c r="I29" s="8"/>
      <c r="J29" s="9" t="s">
        <v>5</v>
      </c>
      <c r="K29" s="7"/>
      <c r="L29" s="7"/>
      <c r="M29" s="7"/>
      <c r="N29" s="7"/>
      <c r="O29" s="8"/>
      <c r="P29" s="9" t="s">
        <v>6</v>
      </c>
      <c r="Q29" s="7"/>
      <c r="R29" s="7"/>
      <c r="S29" s="7"/>
      <c r="T29" s="7"/>
      <c r="U29" s="8"/>
      <c r="V29" s="9" t="s">
        <v>43</v>
      </c>
      <c r="W29" s="7"/>
      <c r="X29" s="7"/>
      <c r="Y29" s="7"/>
      <c r="Z29" s="7"/>
      <c r="AA29" s="7"/>
      <c r="AB29" s="6" t="str">
        <f>CONCATENATE(COUNT(AB31:AB46,AD31:AD46)," VIAGENS")</f>
        <v>31 VIAGENS</v>
      </c>
      <c r="AC29" s="7"/>
      <c r="AD29" s="7"/>
      <c r="AE29" s="8"/>
    </row>
    <row r="30" spans="1:32" ht="24" customHeight="1" thickBot="1" x14ac:dyDescent="0.3">
      <c r="B30" s="316"/>
      <c r="C30" s="313" t="s">
        <v>7</v>
      </c>
      <c r="D30" s="13" t="s">
        <v>8</v>
      </c>
      <c r="E30" s="14" t="s">
        <v>9</v>
      </c>
      <c r="F30" s="15" t="s">
        <v>10</v>
      </c>
      <c r="G30" s="14" t="s">
        <v>11</v>
      </c>
      <c r="H30" s="15" t="s">
        <v>12</v>
      </c>
      <c r="I30" s="14" t="s">
        <v>13</v>
      </c>
      <c r="J30" s="13" t="s">
        <v>8</v>
      </c>
      <c r="K30" s="14" t="s">
        <v>9</v>
      </c>
      <c r="L30" s="15" t="s">
        <v>10</v>
      </c>
      <c r="M30" s="14" t="s">
        <v>11</v>
      </c>
      <c r="N30" s="15" t="s">
        <v>12</v>
      </c>
      <c r="O30" s="14" t="s">
        <v>13</v>
      </c>
      <c r="P30" s="13" t="s">
        <v>8</v>
      </c>
      <c r="Q30" s="14" t="s">
        <v>9</v>
      </c>
      <c r="R30" s="15" t="s">
        <v>10</v>
      </c>
      <c r="S30" s="14" t="s">
        <v>11</v>
      </c>
      <c r="T30" s="15" t="s">
        <v>12</v>
      </c>
      <c r="U30" s="14" t="s">
        <v>13</v>
      </c>
      <c r="V30" s="13" t="s">
        <v>8</v>
      </c>
      <c r="W30" s="14" t="s">
        <v>9</v>
      </c>
      <c r="X30" s="15" t="s">
        <v>10</v>
      </c>
      <c r="Y30" s="14" t="s">
        <v>11</v>
      </c>
      <c r="Z30" s="15" t="s">
        <v>12</v>
      </c>
      <c r="AA30" s="13" t="s">
        <v>13</v>
      </c>
      <c r="AB30" s="16" t="s">
        <v>14</v>
      </c>
      <c r="AC30" s="17" t="s">
        <v>15</v>
      </c>
      <c r="AD30" s="16" t="s">
        <v>14</v>
      </c>
      <c r="AE30" s="17" t="s">
        <v>15</v>
      </c>
    </row>
    <row r="31" spans="1:32" ht="24" customHeight="1" x14ac:dyDescent="0.25">
      <c r="B31" s="316"/>
      <c r="C31" s="314"/>
      <c r="D31" s="18">
        <v>0.21527777777777779</v>
      </c>
      <c r="E31" s="19">
        <v>0.24374999999999999</v>
      </c>
      <c r="F31" s="19">
        <v>0.28333333333333333</v>
      </c>
      <c r="G31" s="20">
        <f>F31-D31</f>
        <v>6.8055555555555536E-2</v>
      </c>
      <c r="H31" s="55">
        <v>320</v>
      </c>
      <c r="I31" s="22">
        <v>1</v>
      </c>
      <c r="J31" s="18">
        <v>0.23749999999999999</v>
      </c>
      <c r="K31" s="19">
        <v>0.27013888888888887</v>
      </c>
      <c r="L31" s="19">
        <v>0.31041666666666667</v>
      </c>
      <c r="M31" s="20">
        <f>L31-J31</f>
        <v>7.2916666666666685E-2</v>
      </c>
      <c r="N31" s="55">
        <v>320</v>
      </c>
      <c r="O31" s="22">
        <v>2</v>
      </c>
      <c r="P31" s="18">
        <v>0.25694444444444442</v>
      </c>
      <c r="Q31" s="19">
        <v>0.28819444444444442</v>
      </c>
      <c r="R31" s="19">
        <v>0.32777777777777778</v>
      </c>
      <c r="S31" s="20">
        <f t="shared" ref="S31:S32" si="15">R31-P31</f>
        <v>7.0833333333333359E-2</v>
      </c>
      <c r="T31" s="55">
        <v>320</v>
      </c>
      <c r="U31" s="22">
        <v>3</v>
      </c>
      <c r="V31" s="18">
        <v>0.27777777777777779</v>
      </c>
      <c r="W31" s="19">
        <v>0.31527777777777782</v>
      </c>
      <c r="X31" s="19">
        <v>0.35833333333333328</v>
      </c>
      <c r="Y31" s="20">
        <f t="shared" ref="Y31:Y32" si="16">X31-V31</f>
        <v>8.0555555555555491E-2</v>
      </c>
      <c r="Z31" s="55">
        <v>320</v>
      </c>
      <c r="AA31" s="22">
        <v>4</v>
      </c>
      <c r="AB31" s="23">
        <v>0.21527777777777779</v>
      </c>
      <c r="AC31" s="24"/>
      <c r="AD31" s="25">
        <v>0.60069444444444442</v>
      </c>
      <c r="AE31" s="26">
        <f>AD31-AB46</f>
        <v>2.777777777777779E-2</v>
      </c>
    </row>
    <row r="32" spans="1:32" ht="24" customHeight="1" thickBot="1" x14ac:dyDescent="0.3">
      <c r="B32" s="316"/>
      <c r="C32" s="314"/>
      <c r="D32" s="18">
        <v>0.2986111111111111</v>
      </c>
      <c r="E32" s="19">
        <v>0.33888888888888891</v>
      </c>
      <c r="F32" s="19">
        <v>0.37986111111111109</v>
      </c>
      <c r="G32" s="20">
        <f>F32-D32</f>
        <v>8.1249999999999989E-2</v>
      </c>
      <c r="H32" s="55">
        <v>320</v>
      </c>
      <c r="I32" s="22">
        <v>1</v>
      </c>
      <c r="J32" s="18">
        <v>0.31944444444444442</v>
      </c>
      <c r="K32" s="19">
        <v>0.35416666666666669</v>
      </c>
      <c r="L32" s="19">
        <v>0.39513888888888887</v>
      </c>
      <c r="M32" s="20">
        <f t="shared" ref="M32:M33" si="17">L32-J32</f>
        <v>7.5694444444444453E-2</v>
      </c>
      <c r="N32" s="55">
        <v>320</v>
      </c>
      <c r="O32" s="22">
        <v>2</v>
      </c>
      <c r="P32" s="18">
        <v>0.34027777777777779</v>
      </c>
      <c r="Q32" s="19">
        <v>0.37152777777777779</v>
      </c>
      <c r="R32" s="19">
        <v>0.41180555555555548</v>
      </c>
      <c r="S32" s="20">
        <f t="shared" si="15"/>
        <v>7.152777777777769E-2</v>
      </c>
      <c r="T32" s="55">
        <v>320</v>
      </c>
      <c r="U32" s="22">
        <v>3</v>
      </c>
      <c r="V32" s="18">
        <v>0.36805555555555558</v>
      </c>
      <c r="W32" s="19">
        <v>0.39791666666666659</v>
      </c>
      <c r="X32" s="19">
        <v>0.43888888888888888</v>
      </c>
      <c r="Y32" s="20">
        <f t="shared" si="16"/>
        <v>7.0833333333333304E-2</v>
      </c>
      <c r="Z32" s="55">
        <v>320</v>
      </c>
      <c r="AA32" s="22">
        <v>4</v>
      </c>
      <c r="AB32" s="27">
        <v>0.23749999999999999</v>
      </c>
      <c r="AC32" s="28">
        <f t="shared" ref="AC32:AC46" si="18">AB32-AB31</f>
        <v>2.2222222222222199E-2</v>
      </c>
      <c r="AD32" s="29">
        <v>0.625</v>
      </c>
      <c r="AE32" s="30">
        <f t="shared" ref="AE32:AE45" si="19">AD32-AD31</f>
        <v>2.430555555555558E-2</v>
      </c>
    </row>
    <row r="33" spans="2:31" ht="24" customHeight="1" thickBot="1" x14ac:dyDescent="0.3">
      <c r="B33" s="316"/>
      <c r="C33" s="314"/>
      <c r="D33" s="31">
        <f>IF(F32="",E32,F32)</f>
        <v>0.37986111111111109</v>
      </c>
      <c r="E33" s="32"/>
      <c r="F33" s="31">
        <f>IF(D34="",E34,D34)</f>
        <v>0.4375</v>
      </c>
      <c r="G33" s="32"/>
      <c r="H33" s="32">
        <f>F33-D33</f>
        <v>5.7638888888888906E-2</v>
      </c>
      <c r="I33" s="32"/>
      <c r="J33" s="18">
        <v>0.40277777777777779</v>
      </c>
      <c r="K33" s="19">
        <v>0.43402777777777779</v>
      </c>
      <c r="L33" s="19">
        <v>0.47222222222222221</v>
      </c>
      <c r="M33" s="20">
        <f t="shared" si="17"/>
        <v>6.944444444444442E-2</v>
      </c>
      <c r="N33" s="55">
        <v>320</v>
      </c>
      <c r="O33" s="22">
        <v>2</v>
      </c>
      <c r="P33" s="31">
        <f>IF(R32="",Q32,R32)</f>
        <v>0.41180555555555548</v>
      </c>
      <c r="Q33" s="32"/>
      <c r="R33" s="31">
        <f>IF(P34="",Q34,P34)</f>
        <v>0.47152777777777782</v>
      </c>
      <c r="S33" s="32"/>
      <c r="T33" s="32">
        <f>R33-P33</f>
        <v>5.9722222222222343E-2</v>
      </c>
      <c r="U33" s="32"/>
      <c r="V33" s="31">
        <f>IF(X32="",W32,X32)</f>
        <v>0.43888888888888888</v>
      </c>
      <c r="W33" s="32"/>
      <c r="X33" s="31">
        <f>IF(V34="",W34,V34)</f>
        <v>0.49236111111111108</v>
      </c>
      <c r="Y33" s="32"/>
      <c r="Z33" s="32">
        <f>X33-V33</f>
        <v>5.3472222222222199E-2</v>
      </c>
      <c r="AA33" s="33"/>
      <c r="AB33" s="27">
        <v>0.25694444444444442</v>
      </c>
      <c r="AC33" s="28">
        <f t="shared" si="18"/>
        <v>1.9444444444444431E-2</v>
      </c>
      <c r="AD33" s="29">
        <v>0.64583333333333337</v>
      </c>
      <c r="AE33" s="30">
        <f t="shared" si="19"/>
        <v>2.083333333333337E-2</v>
      </c>
    </row>
    <row r="34" spans="2:31" ht="24" customHeight="1" thickBot="1" x14ac:dyDescent="0.3">
      <c r="B34" s="316"/>
      <c r="C34" s="314"/>
      <c r="D34" s="18">
        <v>0.4375</v>
      </c>
      <c r="E34" s="19">
        <v>0.46736111111111112</v>
      </c>
      <c r="F34" s="19">
        <v>0.50972222222222219</v>
      </c>
      <c r="G34" s="20">
        <f t="shared" ref="G34:G35" si="20">F34-D34</f>
        <v>7.2222222222222188E-2</v>
      </c>
      <c r="H34" s="55">
        <v>320</v>
      </c>
      <c r="I34" s="22">
        <v>1</v>
      </c>
      <c r="J34" s="31">
        <f>IF(L33="",K33,L33)</f>
        <v>0.47222222222222221</v>
      </c>
      <c r="K34" s="32"/>
      <c r="L34" s="31">
        <f>IF(J35="",K35,J35)</f>
        <v>0.53402777777777777</v>
      </c>
      <c r="M34" s="32"/>
      <c r="N34" s="32">
        <f>L34-J34</f>
        <v>6.1805555555555558E-2</v>
      </c>
      <c r="O34" s="32"/>
      <c r="P34" s="18">
        <v>0.47152777777777782</v>
      </c>
      <c r="Q34" s="19">
        <v>0.49791666666666667</v>
      </c>
      <c r="R34" s="19">
        <v>0.53472222222222221</v>
      </c>
      <c r="S34" s="20">
        <f t="shared" ref="S34:S35" si="21">R34-P34</f>
        <v>6.3194444444444386E-2</v>
      </c>
      <c r="T34" s="55">
        <v>320</v>
      </c>
      <c r="U34" s="22">
        <v>3</v>
      </c>
      <c r="V34" s="18">
        <v>0.49236111111111108</v>
      </c>
      <c r="W34" s="19">
        <v>0.51944444444444449</v>
      </c>
      <c r="X34" s="19">
        <v>0.55763888888888891</v>
      </c>
      <c r="Y34" s="20">
        <f t="shared" ref="Y34:Y35" si="22">X34-V34</f>
        <v>6.5277777777777823E-2</v>
      </c>
      <c r="Z34" s="55">
        <v>320</v>
      </c>
      <c r="AA34" s="22">
        <v>4</v>
      </c>
      <c r="AB34" s="27">
        <v>0.27777777777777779</v>
      </c>
      <c r="AC34" s="28">
        <f t="shared" si="18"/>
        <v>2.083333333333337E-2</v>
      </c>
      <c r="AD34" s="29">
        <v>0.66666666666666663</v>
      </c>
      <c r="AE34" s="30">
        <f t="shared" si="19"/>
        <v>2.0833333333333259E-2</v>
      </c>
    </row>
    <row r="35" spans="2:31" ht="24" customHeight="1" thickBot="1" x14ac:dyDescent="0.3">
      <c r="B35" s="316"/>
      <c r="C35" s="314"/>
      <c r="D35" s="18">
        <v>0.51666666666666672</v>
      </c>
      <c r="E35" s="19">
        <v>0.54583333333333328</v>
      </c>
      <c r="F35" s="19">
        <v>0.58680555555555558</v>
      </c>
      <c r="G35" s="20">
        <f t="shared" si="20"/>
        <v>7.0138888888888862E-2</v>
      </c>
      <c r="H35" s="55">
        <v>320</v>
      </c>
      <c r="I35" s="22">
        <v>1</v>
      </c>
      <c r="J35" s="18">
        <v>0.53402777777777777</v>
      </c>
      <c r="K35" s="19">
        <v>0.56458333333333333</v>
      </c>
      <c r="L35" s="19">
        <v>0.60972222222222228</v>
      </c>
      <c r="M35" s="20">
        <f>L35-J35</f>
        <v>7.5694444444444509E-2</v>
      </c>
      <c r="N35" s="55">
        <v>320</v>
      </c>
      <c r="O35" s="22">
        <v>2</v>
      </c>
      <c r="P35" s="18">
        <v>0.55208333333333337</v>
      </c>
      <c r="Q35" s="19">
        <v>0.58333333333333337</v>
      </c>
      <c r="R35" s="19">
        <v>0.63402777777777775</v>
      </c>
      <c r="S35" s="20">
        <f t="shared" si="21"/>
        <v>8.1944444444444375E-2</v>
      </c>
      <c r="T35" s="55">
        <v>320</v>
      </c>
      <c r="U35" s="22">
        <v>3</v>
      </c>
      <c r="V35" s="18">
        <v>0.57291666666666663</v>
      </c>
      <c r="W35" s="19">
        <v>0.60763888888888884</v>
      </c>
      <c r="X35" s="19">
        <v>0.65625</v>
      </c>
      <c r="Y35" s="20">
        <f t="shared" si="22"/>
        <v>8.333333333333337E-2</v>
      </c>
      <c r="Z35" s="55">
        <v>320</v>
      </c>
      <c r="AA35" s="22">
        <v>4</v>
      </c>
      <c r="AB35" s="27">
        <v>0.2986111111111111</v>
      </c>
      <c r="AC35" s="28">
        <f t="shared" si="18"/>
        <v>2.0833333333333315E-2</v>
      </c>
      <c r="AD35" s="29">
        <v>0.6875</v>
      </c>
      <c r="AE35" s="30">
        <f t="shared" si="19"/>
        <v>2.083333333333337E-2</v>
      </c>
    </row>
    <row r="36" spans="2:31" ht="24" customHeight="1" thickBot="1" x14ac:dyDescent="0.3">
      <c r="B36" s="316"/>
      <c r="C36" s="315"/>
      <c r="D36" s="318" t="s">
        <v>16</v>
      </c>
      <c r="E36" s="443"/>
      <c r="F36" s="443"/>
      <c r="G36" s="443"/>
      <c r="H36" s="443"/>
      <c r="I36" s="444"/>
      <c r="J36" s="318" t="s">
        <v>16</v>
      </c>
      <c r="K36" s="443"/>
      <c r="L36" s="443"/>
      <c r="M36" s="443"/>
      <c r="N36" s="443"/>
      <c r="O36" s="444"/>
      <c r="P36" s="318" t="s">
        <v>16</v>
      </c>
      <c r="Q36" s="443"/>
      <c r="R36" s="443"/>
      <c r="S36" s="443"/>
      <c r="T36" s="443"/>
      <c r="U36" s="444"/>
      <c r="V36" s="318" t="s">
        <v>16</v>
      </c>
      <c r="W36" s="443"/>
      <c r="X36" s="443"/>
      <c r="Y36" s="443"/>
      <c r="Z36" s="443"/>
      <c r="AA36" s="444"/>
      <c r="AB36" s="27">
        <v>0.31944444444444442</v>
      </c>
      <c r="AC36" s="28">
        <f t="shared" si="18"/>
        <v>2.0833333333333315E-2</v>
      </c>
      <c r="AD36" s="29">
        <v>0.71875</v>
      </c>
      <c r="AE36" s="30">
        <f t="shared" si="19"/>
        <v>3.125E-2</v>
      </c>
    </row>
    <row r="37" spans="2:31" ht="24" customHeight="1" thickBot="1" x14ac:dyDescent="0.3">
      <c r="B37" s="316"/>
      <c r="C37" s="36" t="s">
        <v>17</v>
      </c>
      <c r="D37" s="37">
        <f>MAX(E31:F35)-IF(D31="",E31,D31)-MIN(H31:H35)+$C28</f>
        <v>0.32777777777777778</v>
      </c>
      <c r="E37" s="38"/>
      <c r="F37" s="38"/>
      <c r="G37" s="39"/>
      <c r="H37" s="40">
        <f ca="1">OFFSET(H30,MATCH(MIN(H31:H35),H31:H35,0),-4)-IF(D31="",E31,D31)+$C28</f>
        <v>0.1784722222222222</v>
      </c>
      <c r="I37" s="41"/>
      <c r="J37" s="37">
        <f>MAX(K31:L35)-IF(J31="",K31,J31)-MIN(N31:N35)+$C28</f>
        <v>0.32430555555555562</v>
      </c>
      <c r="K37" s="38"/>
      <c r="L37" s="38"/>
      <c r="M37" s="39"/>
      <c r="N37" s="40">
        <f ca="1">OFFSET(N30,MATCH(MIN(N31:N35),N31:N35,0),-4)-IF(J31="",K31,J31)+$C28</f>
        <v>0.24861111111111112</v>
      </c>
      <c r="O37" s="41"/>
      <c r="P37" s="37">
        <f>MAX(Q31:R35)-IF(P31="",Q31,P31)-MIN(T31:T35)+$C28</f>
        <v>0.33124999999999988</v>
      </c>
      <c r="Q37" s="38"/>
      <c r="R37" s="38"/>
      <c r="S37" s="39"/>
      <c r="T37" s="40">
        <f ca="1">OFFSET(T30,MATCH(MIN(T31:T35),T31:T35,0),-4)-IF(P31="",Q31,P31)+$C28</f>
        <v>0.16874999999999996</v>
      </c>
      <c r="U37" s="41"/>
      <c r="V37" s="37">
        <f>MAX(W31:X35)-IF(V31="",W31,V31)-MIN(Z31:Z35)+$C28</f>
        <v>0.33888888888888891</v>
      </c>
      <c r="W37" s="38"/>
      <c r="X37" s="38"/>
      <c r="Y37" s="39"/>
      <c r="Z37" s="40">
        <f ca="1">OFFSET(Z30,MATCH(MIN(Z31:Z35),Z31:Z35,0),-4)-IF(V31="",W31,V31)+$C28</f>
        <v>0.17499999999999999</v>
      </c>
      <c r="AA37" s="42"/>
      <c r="AB37" s="27">
        <v>0.34027777777777779</v>
      </c>
      <c r="AC37" s="28">
        <f t="shared" si="18"/>
        <v>2.083333333333337E-2</v>
      </c>
      <c r="AD37" s="29">
        <v>0.75</v>
      </c>
      <c r="AE37" s="30">
        <f t="shared" si="19"/>
        <v>3.125E-2</v>
      </c>
    </row>
    <row r="38" spans="2:31" ht="24" customHeight="1" thickBot="1" x14ac:dyDescent="0.3">
      <c r="B38" s="316"/>
      <c r="C38" s="308">
        <v>1.3888888888888888E-2</v>
      </c>
      <c r="D38" s="9" t="s">
        <v>18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8"/>
      <c r="V38" s="9"/>
      <c r="W38" s="7"/>
      <c r="X38" s="7"/>
      <c r="Y38" s="7"/>
      <c r="Z38" s="7"/>
      <c r="AA38" s="7"/>
      <c r="AB38" s="27">
        <v>0.36805555555555558</v>
      </c>
      <c r="AC38" s="28">
        <f t="shared" si="18"/>
        <v>2.777777777777779E-2</v>
      </c>
      <c r="AD38" s="29">
        <v>0.78472222222222221</v>
      </c>
      <c r="AE38" s="30">
        <f t="shared" si="19"/>
        <v>3.472222222222221E-2</v>
      </c>
    </row>
    <row r="39" spans="2:31" ht="24" customHeight="1" thickBot="1" x14ac:dyDescent="0.3">
      <c r="B39" s="316"/>
      <c r="C39" s="319"/>
      <c r="D39" s="9" t="s">
        <v>19</v>
      </c>
      <c r="E39" s="7"/>
      <c r="F39" s="7"/>
      <c r="G39" s="7"/>
      <c r="H39" s="7"/>
      <c r="I39" s="8"/>
      <c r="J39" s="9" t="s">
        <v>20</v>
      </c>
      <c r="K39" s="7"/>
      <c r="L39" s="7"/>
      <c r="M39" s="7"/>
      <c r="N39" s="7"/>
      <c r="O39" s="8"/>
      <c r="P39" s="9" t="s">
        <v>21</v>
      </c>
      <c r="Q39" s="7"/>
      <c r="R39" s="7"/>
      <c r="S39" s="7"/>
      <c r="T39" s="7"/>
      <c r="U39" s="8"/>
      <c r="V39" s="9" t="s">
        <v>45</v>
      </c>
      <c r="W39" s="7"/>
      <c r="X39" s="7"/>
      <c r="Y39" s="7"/>
      <c r="Z39" s="7"/>
      <c r="AA39" s="7"/>
      <c r="AB39" s="27">
        <v>0.40277777777777779</v>
      </c>
      <c r="AC39" s="28">
        <f t="shared" si="18"/>
        <v>3.472222222222221E-2</v>
      </c>
      <c r="AD39" s="29">
        <v>0.83888888888888891</v>
      </c>
      <c r="AE39" s="30">
        <f t="shared" si="19"/>
        <v>5.4166666666666696E-2</v>
      </c>
    </row>
    <row r="40" spans="2:31" ht="24" customHeight="1" thickBot="1" x14ac:dyDescent="0.3">
      <c r="B40" s="316"/>
      <c r="C40" s="302" t="s">
        <v>7</v>
      </c>
      <c r="D40" s="13" t="s">
        <v>8</v>
      </c>
      <c r="E40" s="14" t="s">
        <v>9</v>
      </c>
      <c r="F40" s="15" t="s">
        <v>10</v>
      </c>
      <c r="G40" s="14" t="s">
        <v>11</v>
      </c>
      <c r="H40" s="15" t="s">
        <v>12</v>
      </c>
      <c r="I40" s="14" t="s">
        <v>13</v>
      </c>
      <c r="J40" s="15" t="s">
        <v>8</v>
      </c>
      <c r="K40" s="14" t="s">
        <v>9</v>
      </c>
      <c r="L40" s="15" t="s">
        <v>10</v>
      </c>
      <c r="M40" s="14" t="s">
        <v>11</v>
      </c>
      <c r="N40" s="15" t="s">
        <v>12</v>
      </c>
      <c r="O40" s="14" t="s">
        <v>13</v>
      </c>
      <c r="P40" s="13" t="s">
        <v>8</v>
      </c>
      <c r="Q40" s="14" t="s">
        <v>9</v>
      </c>
      <c r="R40" s="15" t="s">
        <v>10</v>
      </c>
      <c r="S40" s="14" t="s">
        <v>11</v>
      </c>
      <c r="T40" s="15" t="s">
        <v>12</v>
      </c>
      <c r="U40" s="14" t="s">
        <v>13</v>
      </c>
      <c r="V40" s="13" t="s">
        <v>8</v>
      </c>
      <c r="W40" s="14" t="s">
        <v>9</v>
      </c>
      <c r="X40" s="15" t="s">
        <v>10</v>
      </c>
      <c r="Y40" s="14" t="s">
        <v>11</v>
      </c>
      <c r="Z40" s="15" t="s">
        <v>12</v>
      </c>
      <c r="AA40" s="13" t="s">
        <v>13</v>
      </c>
      <c r="AB40" s="27">
        <v>0.4375</v>
      </c>
      <c r="AC40" s="28">
        <f t="shared" si="18"/>
        <v>3.472222222222221E-2</v>
      </c>
      <c r="AD40" s="29">
        <v>0.87361111111111112</v>
      </c>
      <c r="AE40" s="30">
        <f t="shared" si="19"/>
        <v>3.472222222222221E-2</v>
      </c>
    </row>
    <row r="41" spans="2:31" ht="24" customHeight="1" x14ac:dyDescent="0.25">
      <c r="B41" s="316"/>
      <c r="C41" s="303"/>
      <c r="D41" s="23">
        <v>0.60069444444444442</v>
      </c>
      <c r="E41" s="25">
        <v>0.63124999999999998</v>
      </c>
      <c r="F41" s="25">
        <v>0.67638888888888893</v>
      </c>
      <c r="G41" s="20">
        <f t="shared" ref="G41:G42" si="23">F41-D41</f>
        <v>7.5694444444444509E-2</v>
      </c>
      <c r="H41" s="56">
        <v>320</v>
      </c>
      <c r="I41" s="48">
        <v>1</v>
      </c>
      <c r="J41" s="23">
        <v>0.625</v>
      </c>
      <c r="K41" s="25">
        <v>0.65555555555555556</v>
      </c>
      <c r="L41" s="25">
        <v>0.70902777777777781</v>
      </c>
      <c r="M41" s="20">
        <f t="shared" ref="M41:M42" si="24">L41-J41</f>
        <v>8.4027777777777812E-2</v>
      </c>
      <c r="N41" s="56">
        <v>320</v>
      </c>
      <c r="O41" s="48">
        <v>2</v>
      </c>
      <c r="P41" s="23">
        <v>0.64583333333333337</v>
      </c>
      <c r="Q41" s="25">
        <v>0.6791666666666667</v>
      </c>
      <c r="R41" s="25">
        <v>0.73958333333333337</v>
      </c>
      <c r="S41" s="20">
        <f t="shared" ref="S41:S42" si="25">R41-P41</f>
        <v>9.375E-2</v>
      </c>
      <c r="T41" s="56">
        <v>320</v>
      </c>
      <c r="U41" s="48">
        <v>3</v>
      </c>
      <c r="V41" s="23">
        <v>0.66666666666666663</v>
      </c>
      <c r="W41" s="25">
        <v>0.69861111111111107</v>
      </c>
      <c r="X41" s="25">
        <v>0.76666666666666672</v>
      </c>
      <c r="Y41" s="20">
        <f t="shared" ref="Y41:Y42" si="26">X41-V41</f>
        <v>0.10000000000000009</v>
      </c>
      <c r="Z41" s="56">
        <v>320</v>
      </c>
      <c r="AA41" s="57">
        <v>4</v>
      </c>
      <c r="AB41" s="27">
        <v>0.47152777777777782</v>
      </c>
      <c r="AC41" s="28">
        <f t="shared" si="18"/>
        <v>3.4027777777777823E-2</v>
      </c>
      <c r="AD41" s="29">
        <v>0.90138888888888891</v>
      </c>
      <c r="AE41" s="30">
        <f t="shared" si="19"/>
        <v>2.777777777777779E-2</v>
      </c>
    </row>
    <row r="42" spans="2:31" ht="24" customHeight="1" thickBot="1" x14ac:dyDescent="0.3">
      <c r="B42" s="316"/>
      <c r="C42" s="303"/>
      <c r="D42" s="27">
        <v>0.6875</v>
      </c>
      <c r="E42" s="29">
        <v>0.71944444444444444</v>
      </c>
      <c r="F42" s="29">
        <v>0.79027777777777775</v>
      </c>
      <c r="G42" s="20">
        <f t="shared" si="23"/>
        <v>0.10277777777777775</v>
      </c>
      <c r="H42" s="58">
        <v>320</v>
      </c>
      <c r="I42" s="50">
        <v>1</v>
      </c>
      <c r="J42" s="27">
        <v>0.71875</v>
      </c>
      <c r="K42" s="29">
        <v>0.7583333333333333</v>
      </c>
      <c r="L42" s="29">
        <v>0.81874999999999998</v>
      </c>
      <c r="M42" s="20">
        <f t="shared" si="24"/>
        <v>9.9999999999999978E-2</v>
      </c>
      <c r="N42" s="58">
        <v>320</v>
      </c>
      <c r="O42" s="50">
        <v>2</v>
      </c>
      <c r="P42" s="27">
        <v>0.75</v>
      </c>
      <c r="Q42" s="29">
        <v>0.77986111111111112</v>
      </c>
      <c r="R42" s="29">
        <v>0.82777777777777772</v>
      </c>
      <c r="S42" s="20">
        <f t="shared" si="25"/>
        <v>7.7777777777777724E-2</v>
      </c>
      <c r="T42" s="58">
        <v>320</v>
      </c>
      <c r="U42" s="50">
        <v>3</v>
      </c>
      <c r="V42" s="27">
        <v>0.78472222222222221</v>
      </c>
      <c r="W42" s="29">
        <v>0.81597222222222221</v>
      </c>
      <c r="X42" s="29">
        <v>0.85138888888888886</v>
      </c>
      <c r="Y42" s="20">
        <f t="shared" si="26"/>
        <v>6.6666666666666652E-2</v>
      </c>
      <c r="Z42" s="58">
        <v>320</v>
      </c>
      <c r="AA42" s="64">
        <v>4</v>
      </c>
      <c r="AB42" s="27">
        <v>0.49236111111111108</v>
      </c>
      <c r="AC42" s="28">
        <f t="shared" si="18"/>
        <v>2.0833333333333259E-2</v>
      </c>
      <c r="AD42" s="29">
        <v>0.9291666666666667</v>
      </c>
      <c r="AE42" s="30">
        <f t="shared" si="19"/>
        <v>2.777777777777779E-2</v>
      </c>
    </row>
    <row r="43" spans="2:31" ht="24" customHeight="1" thickBot="1" x14ac:dyDescent="0.3">
      <c r="B43" s="316"/>
      <c r="C43" s="303"/>
      <c r="D43" s="31">
        <f>IF(F42="",E42,F42)</f>
        <v>0.79027777777777775</v>
      </c>
      <c r="E43" s="32"/>
      <c r="F43" s="31">
        <f>IF(D44="",E44,D44)</f>
        <v>0.83888888888888891</v>
      </c>
      <c r="G43" s="32"/>
      <c r="H43" s="32">
        <f>F43-D43</f>
        <v>4.861111111111116E-2</v>
      </c>
      <c r="I43" s="32"/>
      <c r="J43" s="31">
        <f>IF(L42="",K42,L42)</f>
        <v>0.81874999999999998</v>
      </c>
      <c r="K43" s="32"/>
      <c r="L43" s="31">
        <f>IF(J44="",K44,J44)</f>
        <v>0.87361111111111112</v>
      </c>
      <c r="M43" s="32"/>
      <c r="N43" s="32">
        <f>L43-J43</f>
        <v>5.4861111111111138E-2</v>
      </c>
      <c r="O43" s="32"/>
      <c r="P43" s="31">
        <f>IF(R42="",Q42,R42)</f>
        <v>0.82777777777777772</v>
      </c>
      <c r="Q43" s="32"/>
      <c r="R43" s="31">
        <f>IF(P44="",Q44,P44)</f>
        <v>0.90138888888888891</v>
      </c>
      <c r="S43" s="32"/>
      <c r="T43" s="32">
        <f>R43-P43</f>
        <v>7.3611111111111183E-2</v>
      </c>
      <c r="U43" s="32"/>
      <c r="V43" s="31">
        <f>IF(X42="",W42,X42)</f>
        <v>0.85138888888888886</v>
      </c>
      <c r="W43" s="32"/>
      <c r="X43" s="31">
        <f>IF(V44="",W44,V44)</f>
        <v>0.9291666666666667</v>
      </c>
      <c r="Y43" s="32"/>
      <c r="Z43" s="32">
        <f>X43-V43</f>
        <v>7.7777777777777835E-2</v>
      </c>
      <c r="AA43" s="33"/>
      <c r="AB43" s="27">
        <v>0.51666666666666672</v>
      </c>
      <c r="AC43" s="28">
        <f t="shared" si="18"/>
        <v>2.4305555555555636E-2</v>
      </c>
      <c r="AD43" s="29">
        <v>0.95694444444444449</v>
      </c>
      <c r="AE43" s="30">
        <f t="shared" si="19"/>
        <v>2.777777777777779E-2</v>
      </c>
    </row>
    <row r="44" spans="2:31" ht="24" customHeight="1" x14ac:dyDescent="0.25">
      <c r="B44" s="316"/>
      <c r="C44" s="303"/>
      <c r="D44" s="27">
        <v>0.83888888888888891</v>
      </c>
      <c r="E44" s="29">
        <v>0.86597222222222225</v>
      </c>
      <c r="F44" s="29">
        <v>0.90416666666666667</v>
      </c>
      <c r="G44" s="20">
        <f>F44-D44</f>
        <v>6.5277777777777768E-2</v>
      </c>
      <c r="H44" s="58">
        <v>320</v>
      </c>
      <c r="I44" s="50">
        <v>1</v>
      </c>
      <c r="J44" s="27">
        <v>0.87361111111111112</v>
      </c>
      <c r="K44" s="29">
        <v>0.9</v>
      </c>
      <c r="L44" s="29">
        <v>0.93611111111111112</v>
      </c>
      <c r="M44" s="20">
        <f t="shared" ref="M44:M45" si="27">L44-J44</f>
        <v>6.25E-2</v>
      </c>
      <c r="N44" s="58">
        <v>320</v>
      </c>
      <c r="O44" s="50">
        <v>2</v>
      </c>
      <c r="P44" s="27">
        <v>0.90138888888888891</v>
      </c>
      <c r="Q44" s="29">
        <v>0.92569444444444449</v>
      </c>
      <c r="R44" s="29">
        <v>0.95972222222222225</v>
      </c>
      <c r="S44" s="20">
        <f t="shared" ref="S44:S45" si="28">R44-P44</f>
        <v>5.8333333333333348E-2</v>
      </c>
      <c r="T44" s="58">
        <v>320</v>
      </c>
      <c r="U44" s="50">
        <v>3</v>
      </c>
      <c r="V44" s="27">
        <v>0.9291666666666667</v>
      </c>
      <c r="W44" s="29">
        <v>0.95486111111111116</v>
      </c>
      <c r="X44" s="29">
        <v>0.98750000000000004</v>
      </c>
      <c r="Y44" s="20">
        <f t="shared" ref="Y44:Y45" si="29">X44-V44</f>
        <v>5.8333333333333348E-2</v>
      </c>
      <c r="Z44" s="58">
        <v>320</v>
      </c>
      <c r="AA44" s="64">
        <v>4</v>
      </c>
      <c r="AB44" s="27">
        <v>0.53402777777777777</v>
      </c>
      <c r="AC44" s="28">
        <f t="shared" si="18"/>
        <v>1.7361111111111049E-2</v>
      </c>
      <c r="AD44" s="29">
        <v>0.98472222222222228</v>
      </c>
      <c r="AE44" s="30">
        <f t="shared" si="19"/>
        <v>2.777777777777779E-2</v>
      </c>
    </row>
    <row r="45" spans="2:31" ht="24" customHeight="1" thickBot="1" x14ac:dyDescent="0.3">
      <c r="B45" s="316"/>
      <c r="C45" s="303"/>
      <c r="D45" s="27"/>
      <c r="E45" s="29"/>
      <c r="F45" s="29"/>
      <c r="G45" s="194"/>
      <c r="H45" s="58"/>
      <c r="I45" s="50"/>
      <c r="J45" s="27">
        <v>0.95694444444444449</v>
      </c>
      <c r="K45" s="29">
        <v>0.98263888888888884</v>
      </c>
      <c r="L45" s="29">
        <v>1.0152777777777777</v>
      </c>
      <c r="M45" s="20">
        <f t="shared" si="27"/>
        <v>5.8333333333333237E-2</v>
      </c>
      <c r="N45" s="58">
        <v>320</v>
      </c>
      <c r="O45" s="50">
        <v>2</v>
      </c>
      <c r="P45" s="27">
        <v>0.98472222222222228</v>
      </c>
      <c r="Q45" s="29">
        <v>1.0125</v>
      </c>
      <c r="R45" s="29">
        <v>1.0402777777777779</v>
      </c>
      <c r="S45" s="20">
        <f t="shared" si="28"/>
        <v>5.555555555555558E-2</v>
      </c>
      <c r="T45" s="58">
        <v>320</v>
      </c>
      <c r="U45" s="50">
        <v>3</v>
      </c>
      <c r="V45" s="27">
        <v>1.0125</v>
      </c>
      <c r="W45" s="29">
        <v>1.0402777777777779</v>
      </c>
      <c r="X45" s="29">
        <v>1.0680555555555555</v>
      </c>
      <c r="Y45" s="20">
        <f t="shared" si="29"/>
        <v>5.555555555555558E-2</v>
      </c>
      <c r="Z45" s="58">
        <v>320</v>
      </c>
      <c r="AA45" s="64">
        <v>4</v>
      </c>
      <c r="AB45" s="27">
        <v>0.55208333333333337</v>
      </c>
      <c r="AC45" s="28">
        <f t="shared" si="18"/>
        <v>1.8055555555555602E-2</v>
      </c>
      <c r="AD45" s="63">
        <v>1.0125</v>
      </c>
      <c r="AE45" s="30">
        <f t="shared" si="19"/>
        <v>2.7777777777777679E-2</v>
      </c>
    </row>
    <row r="46" spans="2:31" ht="24" customHeight="1" thickBot="1" x14ac:dyDescent="0.3">
      <c r="B46" s="316"/>
      <c r="C46" s="304"/>
      <c r="D46" s="318" t="s">
        <v>16</v>
      </c>
      <c r="E46" s="443"/>
      <c r="F46" s="443"/>
      <c r="G46" s="443"/>
      <c r="H46" s="443"/>
      <c r="I46" s="444"/>
      <c r="J46" s="318" t="s">
        <v>16</v>
      </c>
      <c r="K46" s="443"/>
      <c r="L46" s="443"/>
      <c r="M46" s="443"/>
      <c r="N46" s="443"/>
      <c r="O46" s="444"/>
      <c r="P46" s="318" t="s">
        <v>16</v>
      </c>
      <c r="Q46" s="443"/>
      <c r="R46" s="443"/>
      <c r="S46" s="443"/>
      <c r="T46" s="443"/>
      <c r="U46" s="444"/>
      <c r="V46" s="318" t="s">
        <v>16</v>
      </c>
      <c r="W46" s="443"/>
      <c r="X46" s="443"/>
      <c r="Y46" s="443"/>
      <c r="Z46" s="443"/>
      <c r="AA46" s="444"/>
      <c r="AB46" s="43">
        <v>0.57291666666666663</v>
      </c>
      <c r="AC46" s="44">
        <f t="shared" si="18"/>
        <v>2.0833333333333259E-2</v>
      </c>
      <c r="AD46" s="45"/>
      <c r="AE46" s="46"/>
    </row>
    <row r="47" spans="2:31" ht="24" customHeight="1" thickBot="1" x14ac:dyDescent="0.3">
      <c r="B47" s="317"/>
      <c r="C47" s="36" t="s">
        <v>17</v>
      </c>
      <c r="D47" s="37">
        <f>MAX(E41:F45)-IF(D41="",E41,D41)-MIN(H41:H45)+$C38</f>
        <v>0.26874999999999999</v>
      </c>
      <c r="E47" s="51"/>
      <c r="F47" s="51"/>
      <c r="G47" s="52"/>
      <c r="H47" s="53">
        <f ca="1">OFFSET(H40,MATCH(MIN(H41:H45),H41:H45,0),-4)-IF(D41="",E41,D41)</f>
        <v>0.18958333333333333</v>
      </c>
      <c r="I47" s="54"/>
      <c r="J47" s="37">
        <f>MAX(K41:L45)-IF(J41="",K41,J41)-MIN(N41:N45)+$C38</f>
        <v>0.34930555555555548</v>
      </c>
      <c r="K47" s="38"/>
      <c r="L47" s="38"/>
      <c r="M47" s="39"/>
      <c r="N47" s="53">
        <f ca="1">OFFSET(N40,MATCH(MIN(N41:N45),N41:N45,0),-4)-IF(J41="",K41,J41)</f>
        <v>0.19374999999999998</v>
      </c>
      <c r="O47" s="41"/>
      <c r="P47" s="37">
        <f>MAX(Q41:R45)-IF(P41="",Q41,P41)-MIN(T41:T45)+$C38</f>
        <v>0.3347222222222222</v>
      </c>
      <c r="Q47" s="38"/>
      <c r="R47" s="38"/>
      <c r="S47" s="39"/>
      <c r="T47" s="53">
        <f ca="1">OFFSET(T40,MATCH(MIN(T41:T45),T41:T45,0),-4)-IF(P41="",Q41,P41)</f>
        <v>0.18194444444444435</v>
      </c>
      <c r="U47" s="41"/>
      <c r="V47" s="37">
        <f>MAX(W41:X45)-IF(V41="",W41,V41)-MIN(Z41:Z45)+$C38</f>
        <v>0.33749999999999997</v>
      </c>
      <c r="W47" s="38"/>
      <c r="X47" s="38"/>
      <c r="Y47" s="39"/>
      <c r="Z47" s="53">
        <f ca="1">OFFSET(Z40,MATCH(MIN(Z41:Z45),Z41:Z45,0),-4)-IF(V41="",W41,V41)</f>
        <v>0.18472222222222223</v>
      </c>
      <c r="AA47" s="41"/>
    </row>
    <row r="51" spans="2:31" ht="24" customHeight="1" thickBot="1" x14ac:dyDescent="0.3"/>
    <row r="52" spans="2:31" ht="24" customHeight="1" thickBot="1" x14ac:dyDescent="0.3">
      <c r="B52" s="310" t="s">
        <v>38</v>
      </c>
      <c r="C52" s="2" t="s">
        <v>91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3"/>
      <c r="W52" s="3"/>
      <c r="X52" s="3"/>
      <c r="Y52" s="3"/>
      <c r="Z52" s="4"/>
      <c r="AA52" s="5"/>
      <c r="AB52" s="6" t="s">
        <v>89</v>
      </c>
      <c r="AC52" s="7"/>
      <c r="AD52" s="7"/>
      <c r="AE52" s="8"/>
    </row>
    <row r="53" spans="2:31" ht="24" customHeight="1" thickBot="1" x14ac:dyDescent="0.3">
      <c r="B53" s="316"/>
      <c r="C53" s="308">
        <v>1.3888888888888888E-2</v>
      </c>
      <c r="D53" s="9" t="s">
        <v>2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9"/>
      <c r="W53" s="7"/>
      <c r="X53" s="7"/>
      <c r="Y53" s="7"/>
      <c r="Z53" s="7"/>
      <c r="AA53" s="8"/>
      <c r="AB53" s="10" t="s">
        <v>25</v>
      </c>
      <c r="AC53" s="11"/>
      <c r="AD53" s="11"/>
      <c r="AE53" s="12"/>
    </row>
    <row r="54" spans="2:31" ht="24" customHeight="1" thickBot="1" x14ac:dyDescent="0.3">
      <c r="B54" s="316"/>
      <c r="C54" s="319"/>
      <c r="D54" s="9" t="s">
        <v>4</v>
      </c>
      <c r="E54" s="7"/>
      <c r="F54" s="7"/>
      <c r="G54" s="7"/>
      <c r="H54" s="7"/>
      <c r="I54" s="8"/>
      <c r="J54" s="9" t="s">
        <v>5</v>
      </c>
      <c r="K54" s="7"/>
      <c r="L54" s="7"/>
      <c r="M54" s="7"/>
      <c r="N54" s="7"/>
      <c r="O54" s="8"/>
      <c r="P54" s="9" t="s">
        <v>6</v>
      </c>
      <c r="Q54" s="7"/>
      <c r="R54" s="7"/>
      <c r="S54" s="7"/>
      <c r="T54" s="7"/>
      <c r="U54" s="8"/>
      <c r="V54" s="9" t="s">
        <v>43</v>
      </c>
      <c r="W54" s="7"/>
      <c r="X54" s="7"/>
      <c r="Y54" s="7"/>
      <c r="Z54" s="7"/>
      <c r="AA54" s="7"/>
      <c r="AB54" s="6" t="str">
        <f>CONCATENATE(COUNT(AB56:AB71,AD56:AD71)," VIAGENS")</f>
        <v>31 VIAGENS</v>
      </c>
      <c r="AC54" s="7"/>
      <c r="AD54" s="7"/>
      <c r="AE54" s="8"/>
    </row>
    <row r="55" spans="2:31" ht="24" customHeight="1" thickBot="1" x14ac:dyDescent="0.3">
      <c r="B55" s="316"/>
      <c r="C55" s="313" t="s">
        <v>7</v>
      </c>
      <c r="D55" s="13" t="s">
        <v>8</v>
      </c>
      <c r="E55" s="14" t="s">
        <v>9</v>
      </c>
      <c r="F55" s="15" t="s">
        <v>10</v>
      </c>
      <c r="G55" s="14" t="s">
        <v>11</v>
      </c>
      <c r="H55" s="15" t="s">
        <v>12</v>
      </c>
      <c r="I55" s="14" t="s">
        <v>13</v>
      </c>
      <c r="J55" s="13" t="s">
        <v>8</v>
      </c>
      <c r="K55" s="14" t="s">
        <v>9</v>
      </c>
      <c r="L55" s="15" t="s">
        <v>10</v>
      </c>
      <c r="M55" s="14" t="s">
        <v>11</v>
      </c>
      <c r="N55" s="15" t="s">
        <v>12</v>
      </c>
      <c r="O55" s="14" t="s">
        <v>13</v>
      </c>
      <c r="P55" s="13" t="s">
        <v>8</v>
      </c>
      <c r="Q55" s="14" t="s">
        <v>9</v>
      </c>
      <c r="R55" s="15" t="s">
        <v>10</v>
      </c>
      <c r="S55" s="14" t="s">
        <v>11</v>
      </c>
      <c r="T55" s="15" t="s">
        <v>12</v>
      </c>
      <c r="U55" s="14" t="s">
        <v>13</v>
      </c>
      <c r="V55" s="13" t="s">
        <v>8</v>
      </c>
      <c r="W55" s="14" t="s">
        <v>9</v>
      </c>
      <c r="X55" s="15" t="s">
        <v>10</v>
      </c>
      <c r="Y55" s="14" t="s">
        <v>11</v>
      </c>
      <c r="Z55" s="15" t="s">
        <v>12</v>
      </c>
      <c r="AA55" s="13" t="s">
        <v>13</v>
      </c>
      <c r="AB55" s="16" t="s">
        <v>14</v>
      </c>
      <c r="AC55" s="17" t="s">
        <v>15</v>
      </c>
      <c r="AD55" s="16" t="s">
        <v>14</v>
      </c>
      <c r="AE55" s="17" t="s">
        <v>15</v>
      </c>
    </row>
    <row r="56" spans="2:31" ht="24" customHeight="1" x14ac:dyDescent="0.25">
      <c r="B56" s="316"/>
      <c r="C56" s="314"/>
      <c r="D56" s="18">
        <v>0.21527777777777779</v>
      </c>
      <c r="E56" s="19">
        <v>0.24374999999999999</v>
      </c>
      <c r="F56" s="19">
        <v>0.28333333333333333</v>
      </c>
      <c r="G56" s="20">
        <f>F56-D56</f>
        <v>6.8055555555555536E-2</v>
      </c>
      <c r="H56" s="55">
        <v>320</v>
      </c>
      <c r="I56" s="22">
        <v>1</v>
      </c>
      <c r="J56" s="18">
        <v>0.23749999999999999</v>
      </c>
      <c r="K56" s="19">
        <v>0.27013888888888887</v>
      </c>
      <c r="L56" s="19">
        <v>0.31041666666666667</v>
      </c>
      <c r="M56" s="20">
        <f>L56-J56</f>
        <v>7.2916666666666685E-2</v>
      </c>
      <c r="N56" s="55">
        <v>320</v>
      </c>
      <c r="O56" s="22">
        <v>2</v>
      </c>
      <c r="P56" s="18">
        <v>0.25694444444444442</v>
      </c>
      <c r="Q56" s="19">
        <v>0.28819444444444442</v>
      </c>
      <c r="R56" s="19">
        <v>0.32777777777777778</v>
      </c>
      <c r="S56" s="20">
        <f>R56-P56</f>
        <v>7.0833333333333359E-2</v>
      </c>
      <c r="T56" s="55">
        <v>320</v>
      </c>
      <c r="U56" s="22">
        <v>3</v>
      </c>
      <c r="V56" s="18">
        <v>0.27777777777777779</v>
      </c>
      <c r="W56" s="19">
        <v>0.31527777777777782</v>
      </c>
      <c r="X56" s="19">
        <v>0.35833333333333328</v>
      </c>
      <c r="Y56" s="20">
        <f>X56-V56</f>
        <v>8.0555555555555491E-2</v>
      </c>
      <c r="Z56" s="55">
        <v>320</v>
      </c>
      <c r="AA56" s="22">
        <v>4</v>
      </c>
      <c r="AB56" s="23">
        <v>0.21527777777777779</v>
      </c>
      <c r="AC56" s="24"/>
      <c r="AD56" s="25">
        <v>0.60069444444444442</v>
      </c>
      <c r="AE56" s="26">
        <f>AD56-AB71</f>
        <v>2.777777777777779E-2</v>
      </c>
    </row>
    <row r="57" spans="2:31" ht="24" customHeight="1" thickBot="1" x14ac:dyDescent="0.3">
      <c r="B57" s="316"/>
      <c r="C57" s="314"/>
      <c r="D57" s="18">
        <v>0.2986111111111111</v>
      </c>
      <c r="E57" s="19">
        <v>0.33888888888888891</v>
      </c>
      <c r="F57" s="19">
        <v>0.37986111111111109</v>
      </c>
      <c r="G57" s="20">
        <f>F57-D57</f>
        <v>8.1249999999999989E-2</v>
      </c>
      <c r="H57" s="55">
        <v>320</v>
      </c>
      <c r="I57" s="22">
        <v>1</v>
      </c>
      <c r="J57" s="18">
        <v>0.31944444444444442</v>
      </c>
      <c r="K57" s="19">
        <v>0.35416666666666669</v>
      </c>
      <c r="L57" s="19">
        <v>0.39513888888888887</v>
      </c>
      <c r="M57" s="20">
        <f>L57-J57</f>
        <v>7.5694444444444453E-2</v>
      </c>
      <c r="N57" s="55">
        <v>320</v>
      </c>
      <c r="O57" s="22">
        <v>2</v>
      </c>
      <c r="P57" s="18">
        <v>0.34027777777777779</v>
      </c>
      <c r="Q57" s="19">
        <v>0.37152777777777779</v>
      </c>
      <c r="R57" s="19">
        <v>0.41180555555555548</v>
      </c>
      <c r="S57" s="20">
        <f>R57-P57</f>
        <v>7.152777777777769E-2</v>
      </c>
      <c r="T57" s="55">
        <v>320</v>
      </c>
      <c r="U57" s="22">
        <v>3</v>
      </c>
      <c r="V57" s="18">
        <v>0.36805555555555558</v>
      </c>
      <c r="W57" s="19">
        <v>0.39791666666666659</v>
      </c>
      <c r="X57" s="19">
        <v>0.43888888888888888</v>
      </c>
      <c r="Y57" s="20">
        <f>X57-V57</f>
        <v>7.0833333333333304E-2</v>
      </c>
      <c r="Z57" s="55">
        <v>320</v>
      </c>
      <c r="AA57" s="22">
        <v>4</v>
      </c>
      <c r="AB57" s="27">
        <v>0.23749999999999999</v>
      </c>
      <c r="AC57" s="28">
        <f t="shared" ref="AC57:AC71" si="30">AB57-AB56</f>
        <v>2.2222222222222199E-2</v>
      </c>
      <c r="AD57" s="29">
        <v>0.625</v>
      </c>
      <c r="AE57" s="30">
        <f t="shared" ref="AE57:AE70" si="31">AD57-AD56</f>
        <v>2.430555555555558E-2</v>
      </c>
    </row>
    <row r="58" spans="2:31" ht="24" customHeight="1" thickBot="1" x14ac:dyDescent="0.3">
      <c r="B58" s="316"/>
      <c r="C58" s="314"/>
      <c r="D58" s="31">
        <f>IF(F57="",E57,F57)</f>
        <v>0.37986111111111109</v>
      </c>
      <c r="E58" s="32"/>
      <c r="F58" s="31">
        <f>IF(D59="",E59,D59)</f>
        <v>0.4375</v>
      </c>
      <c r="G58" s="32"/>
      <c r="H58" s="32">
        <f>F58-D58</f>
        <v>5.7638888888888906E-2</v>
      </c>
      <c r="I58" s="32"/>
      <c r="J58" s="18">
        <v>0.40277777777777779</v>
      </c>
      <c r="K58" s="19">
        <v>0.43402777777777779</v>
      </c>
      <c r="L58" s="19">
        <v>0.47222222222222221</v>
      </c>
      <c r="M58" s="20">
        <f>L58-J58</f>
        <v>6.944444444444442E-2</v>
      </c>
      <c r="N58" s="55">
        <v>320</v>
      </c>
      <c r="O58" s="22">
        <v>2</v>
      </c>
      <c r="P58" s="31">
        <f>IF(R57="",Q57,R57)</f>
        <v>0.41180555555555548</v>
      </c>
      <c r="Q58" s="32"/>
      <c r="R58" s="31">
        <f>IF(P59="",Q59,P59)</f>
        <v>0.47152777777777782</v>
      </c>
      <c r="S58" s="32"/>
      <c r="T58" s="32">
        <f>R58-P58</f>
        <v>5.9722222222222343E-2</v>
      </c>
      <c r="U58" s="32"/>
      <c r="V58" s="31">
        <f>IF(X57="",W57,X57)</f>
        <v>0.43888888888888888</v>
      </c>
      <c r="W58" s="32"/>
      <c r="X58" s="31">
        <f>IF(V59="",W59,V59)</f>
        <v>0.49236111111111108</v>
      </c>
      <c r="Y58" s="32"/>
      <c r="Z58" s="32">
        <f>X58-V58</f>
        <v>5.3472222222222199E-2</v>
      </c>
      <c r="AA58" s="33"/>
      <c r="AB58" s="27">
        <v>0.25694444444444442</v>
      </c>
      <c r="AC58" s="28">
        <f t="shared" si="30"/>
        <v>1.9444444444444431E-2</v>
      </c>
      <c r="AD58" s="29">
        <v>0.64583333333333337</v>
      </c>
      <c r="AE58" s="30">
        <f t="shared" si="31"/>
        <v>2.083333333333337E-2</v>
      </c>
    </row>
    <row r="59" spans="2:31" ht="24" customHeight="1" thickBot="1" x14ac:dyDescent="0.3">
      <c r="B59" s="316"/>
      <c r="C59" s="314"/>
      <c r="D59" s="18">
        <v>0.4375</v>
      </c>
      <c r="E59" s="19">
        <v>0.46736111111111112</v>
      </c>
      <c r="F59" s="19">
        <v>0.50972222222222219</v>
      </c>
      <c r="G59" s="20">
        <f>F59-D59</f>
        <v>7.2222222222222188E-2</v>
      </c>
      <c r="H59" s="55">
        <v>320</v>
      </c>
      <c r="I59" s="22">
        <v>1</v>
      </c>
      <c r="J59" s="31">
        <f>IF(L58="",K58,L58)</f>
        <v>0.47222222222222221</v>
      </c>
      <c r="K59" s="32"/>
      <c r="L59" s="31">
        <f>IF(J60="",K60,J60)</f>
        <v>0.53402777777777777</v>
      </c>
      <c r="M59" s="32"/>
      <c r="N59" s="32">
        <f>L59-J59</f>
        <v>6.1805555555555558E-2</v>
      </c>
      <c r="O59" s="32"/>
      <c r="P59" s="18">
        <v>0.47152777777777782</v>
      </c>
      <c r="Q59" s="19">
        <v>0.49791666666666667</v>
      </c>
      <c r="R59" s="19">
        <v>0.53472222222222221</v>
      </c>
      <c r="S59" s="20">
        <f>R59-P59</f>
        <v>6.3194444444444386E-2</v>
      </c>
      <c r="T59" s="55">
        <v>320</v>
      </c>
      <c r="U59" s="22">
        <v>3</v>
      </c>
      <c r="V59" s="18">
        <v>0.49236111111111108</v>
      </c>
      <c r="W59" s="19">
        <v>0.51944444444444449</v>
      </c>
      <c r="X59" s="19">
        <v>0.55763888888888891</v>
      </c>
      <c r="Y59" s="20">
        <f>X59-V59</f>
        <v>6.5277777777777823E-2</v>
      </c>
      <c r="Z59" s="55">
        <v>320</v>
      </c>
      <c r="AA59" s="22">
        <v>4</v>
      </c>
      <c r="AB59" s="27">
        <v>0.27777777777777779</v>
      </c>
      <c r="AC59" s="28">
        <f t="shared" si="30"/>
        <v>2.083333333333337E-2</v>
      </c>
      <c r="AD59" s="29">
        <v>0.66666666666666663</v>
      </c>
      <c r="AE59" s="30">
        <f t="shared" si="31"/>
        <v>2.0833333333333259E-2</v>
      </c>
    </row>
    <row r="60" spans="2:31" ht="24" customHeight="1" thickBot="1" x14ac:dyDescent="0.3">
      <c r="B60" s="316"/>
      <c r="C60" s="314"/>
      <c r="D60" s="18">
        <v>0.51666666666666672</v>
      </c>
      <c r="E60" s="19">
        <v>0.54583333333333328</v>
      </c>
      <c r="F60" s="19">
        <v>0.58680555555555558</v>
      </c>
      <c r="G60" s="20">
        <f>F60-D60</f>
        <v>7.0138888888888862E-2</v>
      </c>
      <c r="H60" s="55">
        <v>320</v>
      </c>
      <c r="I60" s="22">
        <v>1</v>
      </c>
      <c r="J60" s="18">
        <v>0.53402777777777777</v>
      </c>
      <c r="K60" s="19">
        <v>0.56458333333333333</v>
      </c>
      <c r="L60" s="19">
        <v>0.60972222222222228</v>
      </c>
      <c r="M60" s="20">
        <f>L60-J60</f>
        <v>7.5694444444444509E-2</v>
      </c>
      <c r="N60" s="55">
        <v>320</v>
      </c>
      <c r="O60" s="22">
        <v>2</v>
      </c>
      <c r="P60" s="18">
        <v>0.55208333333333337</v>
      </c>
      <c r="Q60" s="19">
        <v>0.58333333333333337</v>
      </c>
      <c r="R60" s="19">
        <v>0.63402777777777775</v>
      </c>
      <c r="S60" s="20">
        <f>R60-P60</f>
        <v>8.1944444444444375E-2</v>
      </c>
      <c r="T60" s="55">
        <v>320</v>
      </c>
      <c r="U60" s="22">
        <v>3</v>
      </c>
      <c r="V60" s="18">
        <v>0.57291666666666663</v>
      </c>
      <c r="W60" s="19">
        <v>0.60763888888888884</v>
      </c>
      <c r="X60" s="19">
        <v>0.65625</v>
      </c>
      <c r="Y60" s="20">
        <f>X60-V60</f>
        <v>8.333333333333337E-2</v>
      </c>
      <c r="Z60" s="55">
        <v>320</v>
      </c>
      <c r="AA60" s="22">
        <v>4</v>
      </c>
      <c r="AB60" s="27">
        <v>0.2986111111111111</v>
      </c>
      <c r="AC60" s="28">
        <f t="shared" si="30"/>
        <v>2.0833333333333315E-2</v>
      </c>
      <c r="AD60" s="29">
        <v>0.6875</v>
      </c>
      <c r="AE60" s="30">
        <f t="shared" si="31"/>
        <v>2.083333333333337E-2</v>
      </c>
    </row>
    <row r="61" spans="2:31" ht="24" customHeight="1" thickBot="1" x14ac:dyDescent="0.3">
      <c r="B61" s="316"/>
      <c r="C61" s="315"/>
      <c r="D61" s="318" t="s">
        <v>16</v>
      </c>
      <c r="E61" s="306"/>
      <c r="F61" s="306"/>
      <c r="G61" s="306"/>
      <c r="H61" s="306"/>
      <c r="I61" s="307"/>
      <c r="J61" s="318" t="s">
        <v>16</v>
      </c>
      <c r="K61" s="306"/>
      <c r="L61" s="306"/>
      <c r="M61" s="306"/>
      <c r="N61" s="306"/>
      <c r="O61" s="307"/>
      <c r="P61" s="318" t="s">
        <v>16</v>
      </c>
      <c r="Q61" s="306"/>
      <c r="R61" s="306"/>
      <c r="S61" s="306"/>
      <c r="T61" s="306"/>
      <c r="U61" s="307"/>
      <c r="V61" s="318" t="s">
        <v>16</v>
      </c>
      <c r="W61" s="306"/>
      <c r="X61" s="306"/>
      <c r="Y61" s="306"/>
      <c r="Z61" s="306"/>
      <c r="AA61" s="307"/>
      <c r="AB61" s="27">
        <v>0.31944444444444442</v>
      </c>
      <c r="AC61" s="28">
        <f t="shared" si="30"/>
        <v>2.0833333333333315E-2</v>
      </c>
      <c r="AD61" s="29">
        <v>0.71875</v>
      </c>
      <c r="AE61" s="30">
        <f t="shared" si="31"/>
        <v>3.125E-2</v>
      </c>
    </row>
    <row r="62" spans="2:31" ht="24" customHeight="1" thickBot="1" x14ac:dyDescent="0.3">
      <c r="B62" s="316"/>
      <c r="C62" s="36" t="s">
        <v>17</v>
      </c>
      <c r="D62" s="37">
        <f>MAX(E56:F60)-IF(D56="",E56,D56)-MIN(H56:H60)+$C53</f>
        <v>0.32777777777777778</v>
      </c>
      <c r="E62" s="38"/>
      <c r="F62" s="38"/>
      <c r="G62" s="39"/>
      <c r="H62" s="40">
        <f ca="1">OFFSET(H55,MATCH(MIN(H56:H60),H56:H60,0),-4)-IF(D56="",E56,D56)+$C53</f>
        <v>0.1784722222222222</v>
      </c>
      <c r="I62" s="41"/>
      <c r="J62" s="37">
        <f>MAX(K56:L60)-IF(J56="",K56,J56)-MIN(N56:N60)+$C53</f>
        <v>0.32430555555555562</v>
      </c>
      <c r="K62" s="38"/>
      <c r="L62" s="38"/>
      <c r="M62" s="39"/>
      <c r="N62" s="40">
        <f ca="1">OFFSET(N55,MATCH(MIN(N56:N60),N56:N60,0),-4)-IF(J56="",K56,J56)+$C53</f>
        <v>0.24861111111111112</v>
      </c>
      <c r="O62" s="41"/>
      <c r="P62" s="37">
        <f>MAX(Q56:R60)-IF(P56="",Q56,P56)-MIN(T56:T60)+$C53</f>
        <v>0.33124999999999988</v>
      </c>
      <c r="Q62" s="38"/>
      <c r="R62" s="38"/>
      <c r="S62" s="39"/>
      <c r="T62" s="40">
        <f ca="1">OFFSET(T55,MATCH(MIN(T56:T60),T56:T60,0),-4)-IF(P56="",Q56,P56)+$C53</f>
        <v>0.16874999999999996</v>
      </c>
      <c r="U62" s="41"/>
      <c r="V62" s="37">
        <f>MAX(W56:X60)-IF(V56="",W56,V56)-MIN(Z56:Z60)+$C53</f>
        <v>0.33888888888888891</v>
      </c>
      <c r="W62" s="38"/>
      <c r="X62" s="38"/>
      <c r="Y62" s="39"/>
      <c r="Z62" s="40">
        <f ca="1">OFFSET(Z55,MATCH(MIN(Z56:Z60),Z56:Z60,0),-4)-IF(V56="",W56,V56)+$C53</f>
        <v>0.17499999999999999</v>
      </c>
      <c r="AA62" s="42"/>
      <c r="AB62" s="27">
        <v>0.34027777777777779</v>
      </c>
      <c r="AC62" s="28">
        <f t="shared" si="30"/>
        <v>2.083333333333337E-2</v>
      </c>
      <c r="AD62" s="29">
        <v>0.75</v>
      </c>
      <c r="AE62" s="30">
        <f t="shared" si="31"/>
        <v>3.125E-2</v>
      </c>
    </row>
    <row r="63" spans="2:31" ht="24" customHeight="1" thickBot="1" x14ac:dyDescent="0.3">
      <c r="B63" s="316"/>
      <c r="C63" s="308">
        <v>1.3888888888888888E-2</v>
      </c>
      <c r="D63" s="9" t="s">
        <v>18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8"/>
      <c r="V63" s="9"/>
      <c r="W63" s="7"/>
      <c r="X63" s="7"/>
      <c r="Y63" s="7"/>
      <c r="Z63" s="7"/>
      <c r="AA63" s="7"/>
      <c r="AB63" s="27">
        <v>0.36805555555555558</v>
      </c>
      <c r="AC63" s="28">
        <f t="shared" si="30"/>
        <v>2.777777777777779E-2</v>
      </c>
      <c r="AD63" s="29">
        <v>0.78472222222222221</v>
      </c>
      <c r="AE63" s="30">
        <f t="shared" si="31"/>
        <v>3.472222222222221E-2</v>
      </c>
    </row>
    <row r="64" spans="2:31" ht="24" customHeight="1" thickBot="1" x14ac:dyDescent="0.3">
      <c r="B64" s="316"/>
      <c r="C64" s="319"/>
      <c r="D64" s="9" t="s">
        <v>19</v>
      </c>
      <c r="E64" s="7"/>
      <c r="F64" s="7"/>
      <c r="G64" s="7"/>
      <c r="H64" s="7"/>
      <c r="I64" s="8"/>
      <c r="J64" s="9" t="s">
        <v>20</v>
      </c>
      <c r="K64" s="7"/>
      <c r="L64" s="7"/>
      <c r="M64" s="7"/>
      <c r="N64" s="7"/>
      <c r="O64" s="8"/>
      <c r="P64" s="9" t="s">
        <v>21</v>
      </c>
      <c r="Q64" s="7"/>
      <c r="R64" s="7"/>
      <c r="S64" s="7"/>
      <c r="T64" s="7"/>
      <c r="U64" s="8"/>
      <c r="V64" s="9" t="s">
        <v>45</v>
      </c>
      <c r="W64" s="7"/>
      <c r="X64" s="7"/>
      <c r="Y64" s="7"/>
      <c r="Z64" s="7"/>
      <c r="AA64" s="7"/>
      <c r="AB64" s="27">
        <v>0.40277777777777779</v>
      </c>
      <c r="AC64" s="28">
        <f t="shared" si="30"/>
        <v>3.472222222222221E-2</v>
      </c>
      <c r="AD64" s="29">
        <v>0.83888888888888891</v>
      </c>
      <c r="AE64" s="30">
        <f t="shared" si="31"/>
        <v>5.4166666666666696E-2</v>
      </c>
    </row>
    <row r="65" spans="2:31" ht="24" customHeight="1" thickBot="1" x14ac:dyDescent="0.3">
      <c r="B65" s="316"/>
      <c r="C65" s="302" t="s">
        <v>7</v>
      </c>
      <c r="D65" s="13" t="s">
        <v>8</v>
      </c>
      <c r="E65" s="14" t="s">
        <v>9</v>
      </c>
      <c r="F65" s="15" t="s">
        <v>10</v>
      </c>
      <c r="G65" s="14" t="s">
        <v>11</v>
      </c>
      <c r="H65" s="15" t="s">
        <v>12</v>
      </c>
      <c r="I65" s="14" t="s">
        <v>13</v>
      </c>
      <c r="J65" s="15" t="s">
        <v>8</v>
      </c>
      <c r="K65" s="14" t="s">
        <v>9</v>
      </c>
      <c r="L65" s="15" t="s">
        <v>10</v>
      </c>
      <c r="M65" s="14" t="s">
        <v>11</v>
      </c>
      <c r="N65" s="15" t="s">
        <v>12</v>
      </c>
      <c r="O65" s="14" t="s">
        <v>13</v>
      </c>
      <c r="P65" s="13" t="s">
        <v>8</v>
      </c>
      <c r="Q65" s="14" t="s">
        <v>9</v>
      </c>
      <c r="R65" s="15" t="s">
        <v>10</v>
      </c>
      <c r="S65" s="14" t="s">
        <v>11</v>
      </c>
      <c r="T65" s="15" t="s">
        <v>12</v>
      </c>
      <c r="U65" s="14" t="s">
        <v>13</v>
      </c>
      <c r="V65" s="13" t="s">
        <v>8</v>
      </c>
      <c r="W65" s="14" t="s">
        <v>9</v>
      </c>
      <c r="X65" s="15" t="s">
        <v>10</v>
      </c>
      <c r="Y65" s="14" t="s">
        <v>11</v>
      </c>
      <c r="Z65" s="15" t="s">
        <v>12</v>
      </c>
      <c r="AA65" s="13" t="s">
        <v>13</v>
      </c>
      <c r="AB65" s="27">
        <v>0.4375</v>
      </c>
      <c r="AC65" s="28">
        <f t="shared" si="30"/>
        <v>3.472222222222221E-2</v>
      </c>
      <c r="AD65" s="29">
        <v>0.87361111111111112</v>
      </c>
      <c r="AE65" s="30">
        <f t="shared" si="31"/>
        <v>3.472222222222221E-2</v>
      </c>
    </row>
    <row r="66" spans="2:31" ht="24" customHeight="1" x14ac:dyDescent="0.25">
      <c r="B66" s="316"/>
      <c r="C66" s="303"/>
      <c r="D66" s="23">
        <v>0.60069444444444442</v>
      </c>
      <c r="E66" s="25">
        <v>0.63124999999999998</v>
      </c>
      <c r="F66" s="25">
        <v>0.67638888888888893</v>
      </c>
      <c r="G66" s="20">
        <f>F66-D66</f>
        <v>7.5694444444444509E-2</v>
      </c>
      <c r="H66" s="56">
        <v>320</v>
      </c>
      <c r="I66" s="48">
        <v>1</v>
      </c>
      <c r="J66" s="23">
        <v>0.625</v>
      </c>
      <c r="K66" s="25">
        <v>0.65555555555555556</v>
      </c>
      <c r="L66" s="25">
        <v>0.70902777777777781</v>
      </c>
      <c r="M66" s="20">
        <f>L66-J66</f>
        <v>8.4027777777777812E-2</v>
      </c>
      <c r="N66" s="56">
        <v>320</v>
      </c>
      <c r="O66" s="48">
        <v>2</v>
      </c>
      <c r="P66" s="23">
        <v>0.64583333333333337</v>
      </c>
      <c r="Q66" s="25">
        <v>0.6791666666666667</v>
      </c>
      <c r="R66" s="25">
        <v>0.73958333333333337</v>
      </c>
      <c r="S66" s="20">
        <f>R66-P66</f>
        <v>9.375E-2</v>
      </c>
      <c r="T66" s="56">
        <v>320</v>
      </c>
      <c r="U66" s="48">
        <v>3</v>
      </c>
      <c r="V66" s="23">
        <v>0.66666666666666663</v>
      </c>
      <c r="W66" s="25">
        <v>0.69861111111111107</v>
      </c>
      <c r="X66" s="25">
        <v>0.76666666666666672</v>
      </c>
      <c r="Y66" s="20">
        <f>X66-V66</f>
        <v>0.10000000000000009</v>
      </c>
      <c r="Z66" s="56">
        <v>320</v>
      </c>
      <c r="AA66" s="57">
        <v>4</v>
      </c>
      <c r="AB66" s="27">
        <v>0.47152777777777782</v>
      </c>
      <c r="AC66" s="28">
        <f t="shared" si="30"/>
        <v>3.4027777777777823E-2</v>
      </c>
      <c r="AD66" s="29">
        <v>0.90138888888888891</v>
      </c>
      <c r="AE66" s="30">
        <f t="shared" si="31"/>
        <v>2.777777777777779E-2</v>
      </c>
    </row>
    <row r="67" spans="2:31" ht="24" customHeight="1" thickBot="1" x14ac:dyDescent="0.3">
      <c r="B67" s="316"/>
      <c r="C67" s="303"/>
      <c r="D67" s="27">
        <v>0.6875</v>
      </c>
      <c r="E67" s="29">
        <v>0.71944444444444444</v>
      </c>
      <c r="F67" s="29">
        <v>0.79027777777777775</v>
      </c>
      <c r="G67" s="20">
        <f>F67-D67</f>
        <v>0.10277777777777775</v>
      </c>
      <c r="H67" s="58">
        <v>320</v>
      </c>
      <c r="I67" s="50">
        <v>1</v>
      </c>
      <c r="J67" s="27">
        <v>0.71875</v>
      </c>
      <c r="K67" s="29">
        <v>0.7583333333333333</v>
      </c>
      <c r="L67" s="29">
        <v>0.81874999999999998</v>
      </c>
      <c r="M67" s="20">
        <f>L67-J67</f>
        <v>9.9999999999999978E-2</v>
      </c>
      <c r="N67" s="58">
        <v>320</v>
      </c>
      <c r="O67" s="50">
        <v>2</v>
      </c>
      <c r="P67" s="27">
        <v>0.75</v>
      </c>
      <c r="Q67" s="29">
        <v>0.77986111111111112</v>
      </c>
      <c r="R67" s="29">
        <v>0.82777777777777772</v>
      </c>
      <c r="S67" s="20">
        <f>R67-P67</f>
        <v>7.7777777777777724E-2</v>
      </c>
      <c r="T67" s="58">
        <v>320</v>
      </c>
      <c r="U67" s="50">
        <v>3</v>
      </c>
      <c r="V67" s="27">
        <v>0.78472222222222221</v>
      </c>
      <c r="W67" s="29">
        <v>0.81597222222222221</v>
      </c>
      <c r="X67" s="29">
        <v>0.85138888888888886</v>
      </c>
      <c r="Y67" s="20">
        <f>X67-V67</f>
        <v>6.6666666666666652E-2</v>
      </c>
      <c r="Z67" s="58">
        <v>320</v>
      </c>
      <c r="AA67" s="64">
        <v>4</v>
      </c>
      <c r="AB67" s="27">
        <v>0.49236111111111108</v>
      </c>
      <c r="AC67" s="28">
        <f t="shared" si="30"/>
        <v>2.0833333333333259E-2</v>
      </c>
      <c r="AD67" s="29">
        <v>0.9291666666666667</v>
      </c>
      <c r="AE67" s="30">
        <f t="shared" si="31"/>
        <v>2.777777777777779E-2</v>
      </c>
    </row>
    <row r="68" spans="2:31" ht="24" customHeight="1" thickBot="1" x14ac:dyDescent="0.3">
      <c r="B68" s="316"/>
      <c r="C68" s="303"/>
      <c r="D68" s="31">
        <f>IF(F67="",E67,F67)</f>
        <v>0.79027777777777775</v>
      </c>
      <c r="E68" s="32"/>
      <c r="F68" s="31">
        <f>IF(D69="",E69,D69)</f>
        <v>0.83888888888888891</v>
      </c>
      <c r="G68" s="32"/>
      <c r="H68" s="32">
        <f>F68-D68</f>
        <v>4.861111111111116E-2</v>
      </c>
      <c r="I68" s="32"/>
      <c r="J68" s="31">
        <f>IF(L67="",K67,L67)</f>
        <v>0.81874999999999998</v>
      </c>
      <c r="K68" s="32"/>
      <c r="L68" s="31">
        <f>IF(J69="",K69,J69)</f>
        <v>0.87361111111111112</v>
      </c>
      <c r="M68" s="32"/>
      <c r="N68" s="32">
        <f>L68-J68</f>
        <v>5.4861111111111138E-2</v>
      </c>
      <c r="O68" s="32"/>
      <c r="P68" s="31">
        <f>IF(R67="",Q67,R67)</f>
        <v>0.82777777777777772</v>
      </c>
      <c r="Q68" s="32"/>
      <c r="R68" s="31">
        <f>IF(P69="",Q69,P69)</f>
        <v>0.90138888888888891</v>
      </c>
      <c r="S68" s="32"/>
      <c r="T68" s="32">
        <f>R68-P68</f>
        <v>7.3611111111111183E-2</v>
      </c>
      <c r="U68" s="32"/>
      <c r="V68" s="31">
        <f>IF(X67="",W67,X67)</f>
        <v>0.85138888888888886</v>
      </c>
      <c r="W68" s="32"/>
      <c r="X68" s="31">
        <f>IF(V69="",W69,V69)</f>
        <v>0.9291666666666667</v>
      </c>
      <c r="Y68" s="32"/>
      <c r="Z68" s="32">
        <f>X68-V68</f>
        <v>7.7777777777777835E-2</v>
      </c>
      <c r="AA68" s="33"/>
      <c r="AB68" s="27">
        <v>0.51666666666666672</v>
      </c>
      <c r="AC68" s="28">
        <f t="shared" si="30"/>
        <v>2.4305555555555636E-2</v>
      </c>
      <c r="AD68" s="29">
        <v>0.95694444444444449</v>
      </c>
      <c r="AE68" s="30">
        <f t="shared" si="31"/>
        <v>2.777777777777779E-2</v>
      </c>
    </row>
    <row r="69" spans="2:31" ht="24" customHeight="1" x14ac:dyDescent="0.25">
      <c r="B69" s="316"/>
      <c r="C69" s="303"/>
      <c r="D69" s="27">
        <v>0.83888888888888891</v>
      </c>
      <c r="E69" s="29">
        <v>0.86597222222222225</v>
      </c>
      <c r="F69" s="29">
        <v>0.90416666666666667</v>
      </c>
      <c r="G69" s="20">
        <f>F69-D69</f>
        <v>6.5277777777777768E-2</v>
      </c>
      <c r="H69" s="58">
        <v>320</v>
      </c>
      <c r="I69" s="50">
        <v>1</v>
      </c>
      <c r="J69" s="27">
        <v>0.87361111111111112</v>
      </c>
      <c r="K69" s="29">
        <v>0.9</v>
      </c>
      <c r="L69" s="29">
        <v>0.93611111111111112</v>
      </c>
      <c r="M69" s="20">
        <f>L69-J69</f>
        <v>6.25E-2</v>
      </c>
      <c r="N69" s="58">
        <v>320</v>
      </c>
      <c r="O69" s="50">
        <v>2</v>
      </c>
      <c r="P69" s="27">
        <v>0.90138888888888891</v>
      </c>
      <c r="Q69" s="29">
        <v>0.92569444444444449</v>
      </c>
      <c r="R69" s="29">
        <v>0.95972222222222225</v>
      </c>
      <c r="S69" s="20">
        <f>R69-P69</f>
        <v>5.8333333333333348E-2</v>
      </c>
      <c r="T69" s="58">
        <v>320</v>
      </c>
      <c r="U69" s="50">
        <v>3</v>
      </c>
      <c r="V69" s="27">
        <v>0.9291666666666667</v>
      </c>
      <c r="W69" s="29">
        <v>0.95486111111111116</v>
      </c>
      <c r="X69" s="29">
        <v>0.98750000000000004</v>
      </c>
      <c r="Y69" s="20">
        <f>X69-V69</f>
        <v>5.8333333333333348E-2</v>
      </c>
      <c r="Z69" s="58">
        <v>320</v>
      </c>
      <c r="AA69" s="64">
        <v>4</v>
      </c>
      <c r="AB69" s="27">
        <v>0.53402777777777777</v>
      </c>
      <c r="AC69" s="28">
        <f t="shared" si="30"/>
        <v>1.7361111111111049E-2</v>
      </c>
      <c r="AD69" s="29">
        <v>0.98472222222222228</v>
      </c>
      <c r="AE69" s="30">
        <f t="shared" si="31"/>
        <v>2.777777777777779E-2</v>
      </c>
    </row>
    <row r="70" spans="2:31" ht="24" customHeight="1" thickBot="1" x14ac:dyDescent="0.3">
      <c r="B70" s="316"/>
      <c r="C70" s="303"/>
      <c r="D70" s="27"/>
      <c r="E70" s="29"/>
      <c r="F70" s="29"/>
      <c r="G70" s="194"/>
      <c r="H70" s="58"/>
      <c r="I70" s="50"/>
      <c r="J70" s="27">
        <v>0.95694444444444449</v>
      </c>
      <c r="K70" s="29">
        <v>0.98263888888888884</v>
      </c>
      <c r="L70" s="29">
        <v>1.0152777777777777</v>
      </c>
      <c r="M70" s="20">
        <f>L70-J70</f>
        <v>5.8333333333333237E-2</v>
      </c>
      <c r="N70" s="58">
        <v>320</v>
      </c>
      <c r="O70" s="50">
        <v>2</v>
      </c>
      <c r="P70" s="27">
        <v>0.98472222222222228</v>
      </c>
      <c r="Q70" s="29">
        <v>1.0125</v>
      </c>
      <c r="R70" s="29">
        <v>1.0402777777777779</v>
      </c>
      <c r="S70" s="20">
        <f>R70-P70</f>
        <v>5.555555555555558E-2</v>
      </c>
      <c r="T70" s="58">
        <v>320</v>
      </c>
      <c r="U70" s="50">
        <v>3</v>
      </c>
      <c r="V70" s="27">
        <v>1.0125</v>
      </c>
      <c r="W70" s="29">
        <v>1.0402777777777779</v>
      </c>
      <c r="X70" s="29">
        <v>1.0680555555555555</v>
      </c>
      <c r="Y70" s="20">
        <f>X70-V70</f>
        <v>5.555555555555558E-2</v>
      </c>
      <c r="Z70" s="58">
        <v>320</v>
      </c>
      <c r="AA70" s="64">
        <v>4</v>
      </c>
      <c r="AB70" s="27">
        <v>0.55208333333333337</v>
      </c>
      <c r="AC70" s="28">
        <f t="shared" si="30"/>
        <v>1.8055555555555602E-2</v>
      </c>
      <c r="AD70" s="63">
        <v>1.0125</v>
      </c>
      <c r="AE70" s="30">
        <f t="shared" si="31"/>
        <v>2.7777777777777679E-2</v>
      </c>
    </row>
    <row r="71" spans="2:31" ht="24" customHeight="1" thickBot="1" x14ac:dyDescent="0.3">
      <c r="B71" s="316"/>
      <c r="C71" s="304"/>
      <c r="D71" s="318" t="s">
        <v>16</v>
      </c>
      <c r="E71" s="306"/>
      <c r="F71" s="306"/>
      <c r="G71" s="306"/>
      <c r="H71" s="306"/>
      <c r="I71" s="307"/>
      <c r="J71" s="318" t="s">
        <v>16</v>
      </c>
      <c r="K71" s="306"/>
      <c r="L71" s="306"/>
      <c r="M71" s="306"/>
      <c r="N71" s="306"/>
      <c r="O71" s="307"/>
      <c r="P71" s="318" t="s">
        <v>16</v>
      </c>
      <c r="Q71" s="306"/>
      <c r="R71" s="306"/>
      <c r="S71" s="306"/>
      <c r="T71" s="306"/>
      <c r="U71" s="307"/>
      <c r="V71" s="318" t="s">
        <v>16</v>
      </c>
      <c r="W71" s="306"/>
      <c r="X71" s="306"/>
      <c r="Y71" s="306"/>
      <c r="Z71" s="306"/>
      <c r="AA71" s="307"/>
      <c r="AB71" s="43">
        <v>0.57291666666666663</v>
      </c>
      <c r="AC71" s="44">
        <f t="shared" si="30"/>
        <v>2.0833333333333259E-2</v>
      </c>
      <c r="AD71" s="45"/>
      <c r="AE71" s="46"/>
    </row>
    <row r="72" spans="2:31" ht="24" customHeight="1" thickBot="1" x14ac:dyDescent="0.3">
      <c r="B72" s="317"/>
      <c r="C72" s="36" t="s">
        <v>17</v>
      </c>
      <c r="D72" s="37">
        <f>MAX(E66:F70)-IF(D66="",E66,D66)-MIN(H66:H70)+$C63</f>
        <v>0.26874999999999999</v>
      </c>
      <c r="E72" s="51"/>
      <c r="F72" s="51"/>
      <c r="G72" s="52"/>
      <c r="H72" s="53">
        <f ca="1">OFFSET(H65,MATCH(MIN(H66:H70),H66:H70,0),-4)-IF(D66="",E66,D66)</f>
        <v>0.18958333333333333</v>
      </c>
      <c r="I72" s="54"/>
      <c r="J72" s="37">
        <f>MAX(K66:L70)-IF(J66="",K66,J66)-MIN(N66:N70)+$C63</f>
        <v>0.34930555555555548</v>
      </c>
      <c r="K72" s="38"/>
      <c r="L72" s="38"/>
      <c r="M72" s="39"/>
      <c r="N72" s="53">
        <f ca="1">OFFSET(N65,MATCH(MIN(N66:N70),N66:N70,0),-4)-IF(J66="",K66,J66)</f>
        <v>0.19374999999999998</v>
      </c>
      <c r="O72" s="41"/>
      <c r="P72" s="37">
        <f>MAX(Q66:R70)-IF(P66="",Q66,P66)-MIN(T66:T70)+$C63</f>
        <v>0.3347222222222222</v>
      </c>
      <c r="Q72" s="38"/>
      <c r="R72" s="38"/>
      <c r="S72" s="39"/>
      <c r="T72" s="53">
        <f ca="1">OFFSET(T65,MATCH(MIN(T66:T70),T66:T70,0),-4)-IF(P66="",Q66,P66)</f>
        <v>0.18194444444444435</v>
      </c>
      <c r="U72" s="41"/>
      <c r="V72" s="37">
        <f>MAX(W66:X70)-IF(V66="",W66,V66)-MIN(Z66:Z70)+$C63</f>
        <v>0.33749999999999997</v>
      </c>
      <c r="W72" s="38"/>
      <c r="X72" s="38"/>
      <c r="Y72" s="39"/>
      <c r="Z72" s="53">
        <f ca="1">OFFSET(Z65,MATCH(MIN(Z66:Z70),Z66:Z70,0),-4)-IF(V66="",W66,V66)</f>
        <v>0.18472222222222223</v>
      </c>
      <c r="AA72" s="41"/>
    </row>
  </sheetData>
  <mergeCells count="39">
    <mergeCell ref="V61:AA61"/>
    <mergeCell ref="C63:C64"/>
    <mergeCell ref="C65:C71"/>
    <mergeCell ref="D71:I71"/>
    <mergeCell ref="J71:O71"/>
    <mergeCell ref="P71:U71"/>
    <mergeCell ref="V71:AA71"/>
    <mergeCell ref="P61:U61"/>
    <mergeCell ref="B52:B72"/>
    <mergeCell ref="C53:C54"/>
    <mergeCell ref="C55:C61"/>
    <mergeCell ref="D61:I61"/>
    <mergeCell ref="J61:O61"/>
    <mergeCell ref="V36:AA36"/>
    <mergeCell ref="C38:C39"/>
    <mergeCell ref="C40:C46"/>
    <mergeCell ref="D46:I46"/>
    <mergeCell ref="J46:O46"/>
    <mergeCell ref="P46:U46"/>
    <mergeCell ref="V46:AA46"/>
    <mergeCell ref="P36:U36"/>
    <mergeCell ref="B27:B47"/>
    <mergeCell ref="C28:C29"/>
    <mergeCell ref="C30:C36"/>
    <mergeCell ref="D36:I36"/>
    <mergeCell ref="J36:O36"/>
    <mergeCell ref="V11:AA11"/>
    <mergeCell ref="C13:C14"/>
    <mergeCell ref="C15:C21"/>
    <mergeCell ref="D21:I21"/>
    <mergeCell ref="J21:O21"/>
    <mergeCell ref="P21:U21"/>
    <mergeCell ref="V21:AA21"/>
    <mergeCell ref="P11:U11"/>
    <mergeCell ref="B2:B22"/>
    <mergeCell ref="C3:C4"/>
    <mergeCell ref="C5:C11"/>
    <mergeCell ref="D11:I11"/>
    <mergeCell ref="J11:O11"/>
  </mergeCells>
  <conditionalFormatting sqref="D4">
    <cfRule type="colorScale" priority="18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2">
      <colorScale>
        <cfvo type="min"/>
        <cfvo type="max"/>
        <color rgb="FFFF7128"/>
        <color rgb="FFFFEF9C"/>
      </colorScale>
    </cfRule>
  </conditionalFormatting>
  <conditionalFormatting sqref="D54">
    <cfRule type="colorScale" priority="6">
      <colorScale>
        <cfvo type="min"/>
        <cfvo type="max"/>
        <color rgb="FFFF7128"/>
        <color rgb="FFFFEF9C"/>
      </colorScale>
    </cfRule>
  </conditionalFormatting>
  <conditionalFormatting sqref="D4:I4">
    <cfRule type="expression" dxfId="43" priority="16" stopIfTrue="1">
      <formula>LEN($D4)=14</formula>
    </cfRule>
  </conditionalFormatting>
  <conditionalFormatting sqref="D29:I29">
    <cfRule type="expression" dxfId="42" priority="10" stopIfTrue="1">
      <formula>LEN($D29)=14</formula>
    </cfRule>
  </conditionalFormatting>
  <conditionalFormatting sqref="D54:I54">
    <cfRule type="expression" dxfId="41" priority="4" stopIfTrue="1">
      <formula>LEN($D54)=14</formula>
    </cfRule>
  </conditionalFormatting>
  <conditionalFormatting sqref="E4:I4">
    <cfRule type="notContainsBlanks" dxfId="40" priority="17">
      <formula>LEN(TRIM(E4))&gt;0</formula>
    </cfRule>
  </conditionalFormatting>
  <conditionalFormatting sqref="E29:I29">
    <cfRule type="notContainsBlanks" dxfId="39" priority="11">
      <formula>LEN(TRIM(E29))&gt;0</formula>
    </cfRule>
  </conditionalFormatting>
  <conditionalFormatting sqref="E54:I54">
    <cfRule type="notContainsBlanks" dxfId="38" priority="5">
      <formula>LEN(TRIM(E54))&gt;0</formula>
    </cfRule>
  </conditionalFormatting>
  <conditionalFormatting sqref="J4:O4">
    <cfRule type="expression" dxfId="37" priority="15">
      <formula>LEN($J4)=14</formula>
    </cfRule>
  </conditionalFormatting>
  <conditionalFormatting sqref="J29:O29">
    <cfRule type="expression" dxfId="36" priority="9">
      <formula>LEN($J29)=14</formula>
    </cfRule>
  </conditionalFormatting>
  <conditionalFormatting sqref="J54:O54">
    <cfRule type="expression" dxfId="35" priority="3">
      <formula>LEN($J54)=14</formula>
    </cfRule>
  </conditionalFormatting>
  <conditionalFormatting sqref="P4:U4">
    <cfRule type="expression" dxfId="34" priority="14">
      <formula>LEN($P4)=14</formula>
    </cfRule>
  </conditionalFormatting>
  <conditionalFormatting sqref="P29:U29">
    <cfRule type="expression" dxfId="33" priority="8">
      <formula>LEN($P29)=14</formula>
    </cfRule>
  </conditionalFormatting>
  <conditionalFormatting sqref="P54:U54">
    <cfRule type="expression" dxfId="32" priority="2">
      <formula>LEN($P54)=14</formula>
    </cfRule>
  </conditionalFormatting>
  <conditionalFormatting sqref="V4:AA4">
    <cfRule type="expression" dxfId="31" priority="13">
      <formula>LEN($V4)=14</formula>
    </cfRule>
  </conditionalFormatting>
  <conditionalFormatting sqref="V29:AA29">
    <cfRule type="expression" dxfId="30" priority="7">
      <formula>LEN($V29)=14</formula>
    </cfRule>
  </conditionalFormatting>
  <conditionalFormatting sqref="V54:AA54">
    <cfRule type="expression" dxfId="29" priority="1">
      <formula>LEN($V54)=14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C20C-522A-4A01-8633-060D1CE4FCAD}">
  <dimension ref="A1:Z72"/>
  <sheetViews>
    <sheetView zoomScale="70" zoomScaleNormal="70" workbookViewId="0">
      <selection activeCell="B2" sqref="B2:B22"/>
    </sheetView>
  </sheetViews>
  <sheetFormatPr defaultColWidth="8.7109375" defaultRowHeight="24" customHeight="1" x14ac:dyDescent="0.25"/>
  <cols>
    <col min="1" max="21" width="8.7109375" style="1" customWidth="1"/>
    <col min="22" max="16384" width="8.7109375" style="1"/>
  </cols>
  <sheetData>
    <row r="1" spans="1:25" ht="24" customHeight="1" thickBot="1" x14ac:dyDescent="0.3"/>
    <row r="2" spans="1:25" ht="24" customHeight="1" thickBot="1" x14ac:dyDescent="0.3">
      <c r="B2" s="310">
        <v>46270</v>
      </c>
      <c r="C2" s="2" t="s">
        <v>92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93</v>
      </c>
      <c r="W2" s="7"/>
      <c r="X2" s="7"/>
      <c r="Y2" s="8"/>
    </row>
    <row r="3" spans="1:25" ht="24" customHeight="1" thickBot="1" x14ac:dyDescent="0.3">
      <c r="B3" s="311"/>
      <c r="C3" s="136">
        <v>1.0416666666666666E-2</v>
      </c>
      <c r="D3" s="9" t="s">
        <v>2</v>
      </c>
      <c r="E3" s="7"/>
      <c r="F3" s="7"/>
      <c r="G3" s="7"/>
      <c r="H3" s="7"/>
      <c r="I3" s="8"/>
      <c r="J3" s="9"/>
      <c r="K3" s="7"/>
      <c r="L3" s="7"/>
      <c r="M3" s="7"/>
      <c r="N3" s="7"/>
      <c r="O3" s="8"/>
      <c r="P3" s="9"/>
      <c r="Q3" s="7"/>
      <c r="R3" s="7"/>
      <c r="S3" s="7"/>
      <c r="T3" s="7"/>
      <c r="U3" s="8"/>
      <c r="V3" s="10" t="s">
        <v>3</v>
      </c>
      <c r="W3" s="11"/>
      <c r="X3" s="11"/>
      <c r="Y3" s="12"/>
    </row>
    <row r="4" spans="1:25" ht="24" customHeight="1" thickBot="1" x14ac:dyDescent="0.3">
      <c r="B4" s="311"/>
      <c r="C4" s="136">
        <v>2.0833333333333332E-2</v>
      </c>
      <c r="D4" s="9" t="s">
        <v>4</v>
      </c>
      <c r="E4" s="7"/>
      <c r="F4" s="7"/>
      <c r="G4" s="7"/>
      <c r="H4" s="7"/>
      <c r="I4" s="8"/>
      <c r="J4" s="9" t="s">
        <v>5</v>
      </c>
      <c r="K4" s="7"/>
      <c r="L4" s="7"/>
      <c r="M4" s="7"/>
      <c r="N4" s="7"/>
      <c r="O4" s="7"/>
      <c r="P4" s="9" t="s">
        <v>6</v>
      </c>
      <c r="Q4" s="7"/>
      <c r="R4" s="7"/>
      <c r="S4" s="7"/>
      <c r="T4" s="7"/>
      <c r="U4" s="8"/>
      <c r="V4" s="195" t="str">
        <f>CONCATENATE(COUNT(V6:V16,X6:X16)," VIAGENS")</f>
        <v>22 VIAGENS</v>
      </c>
      <c r="W4" s="7"/>
      <c r="X4" s="7"/>
      <c r="Y4" s="8"/>
    </row>
    <row r="5" spans="1:25" ht="24" customHeight="1" thickBot="1" x14ac:dyDescent="0.3">
      <c r="B5" s="311"/>
      <c r="C5" s="313" t="s">
        <v>7</v>
      </c>
      <c r="D5" s="13" t="s">
        <v>8</v>
      </c>
      <c r="E5" s="14" t="s">
        <v>9</v>
      </c>
      <c r="F5" s="15" t="s">
        <v>10</v>
      </c>
      <c r="G5" s="14" t="s">
        <v>11</v>
      </c>
      <c r="H5" s="15" t="s">
        <v>12</v>
      </c>
      <c r="I5" s="14" t="s">
        <v>13</v>
      </c>
      <c r="J5" s="13" t="s">
        <v>8</v>
      </c>
      <c r="K5" s="14" t="s">
        <v>9</v>
      </c>
      <c r="L5" s="15" t="s">
        <v>10</v>
      </c>
      <c r="M5" s="14" t="s">
        <v>11</v>
      </c>
      <c r="N5" s="15" t="s">
        <v>12</v>
      </c>
      <c r="O5" s="13" t="s">
        <v>13</v>
      </c>
      <c r="P5" s="13" t="s">
        <v>8</v>
      </c>
      <c r="Q5" s="14" t="s">
        <v>9</v>
      </c>
      <c r="R5" s="15" t="s">
        <v>10</v>
      </c>
      <c r="S5" s="14" t="s">
        <v>11</v>
      </c>
      <c r="T5" s="15" t="s">
        <v>12</v>
      </c>
      <c r="U5" s="14" t="s">
        <v>13</v>
      </c>
      <c r="V5" s="137" t="s">
        <v>14</v>
      </c>
      <c r="W5" s="17" t="s">
        <v>15</v>
      </c>
      <c r="X5" s="16" t="s">
        <v>14</v>
      </c>
      <c r="Y5" s="17" t="s">
        <v>15</v>
      </c>
    </row>
    <row r="6" spans="1:25" ht="24" customHeight="1" thickBot="1" x14ac:dyDescent="0.3">
      <c r="B6" s="311"/>
      <c r="C6" s="314"/>
      <c r="D6" s="18">
        <v>0.19444444444444439</v>
      </c>
      <c r="E6" s="19">
        <v>0.22847222222222219</v>
      </c>
      <c r="F6" s="19">
        <v>0.27430555555555558</v>
      </c>
      <c r="G6" s="20">
        <f>F6-D6</f>
        <v>7.9861111111111188E-2</v>
      </c>
      <c r="H6" s="55">
        <v>321</v>
      </c>
      <c r="I6" s="22">
        <v>1</v>
      </c>
      <c r="J6" s="18">
        <v>0.21527777777777779</v>
      </c>
      <c r="K6" s="19">
        <v>0.25</v>
      </c>
      <c r="L6" s="19">
        <v>0.2951388888888889</v>
      </c>
      <c r="M6" s="20">
        <f>L6-J6</f>
        <v>7.9861111111111105E-2</v>
      </c>
      <c r="N6" s="55">
        <v>321</v>
      </c>
      <c r="O6" s="22">
        <v>2</v>
      </c>
      <c r="P6" s="196">
        <v>0.2361111111111111</v>
      </c>
      <c r="Q6" s="19">
        <v>0.28125</v>
      </c>
      <c r="R6" s="19">
        <v>0.32500000000000001</v>
      </c>
      <c r="S6" s="20">
        <f>R6-P6</f>
        <v>8.8888888888888906E-2</v>
      </c>
      <c r="T6" s="55">
        <v>321</v>
      </c>
      <c r="U6" s="197">
        <v>3</v>
      </c>
      <c r="V6" s="23">
        <v>0.19444444444444439</v>
      </c>
      <c r="W6" s="24"/>
      <c r="X6" s="25">
        <v>0.62083333333333335</v>
      </c>
      <c r="Y6" s="26">
        <f>X6-V16</f>
        <v>3.7499999999999978E-2</v>
      </c>
    </row>
    <row r="7" spans="1:25" ht="24" customHeight="1" thickBot="1" x14ac:dyDescent="0.3">
      <c r="B7" s="311"/>
      <c r="C7" s="314"/>
      <c r="D7" s="18">
        <v>0.28472222222222221</v>
      </c>
      <c r="E7" s="19">
        <v>0.3298611111111111</v>
      </c>
      <c r="F7" s="19">
        <v>0.375</v>
      </c>
      <c r="G7" s="20">
        <f>F7-D7</f>
        <v>9.027777777777779E-2</v>
      </c>
      <c r="H7" s="55">
        <v>321</v>
      </c>
      <c r="I7" s="22">
        <v>1</v>
      </c>
      <c r="J7" s="18">
        <v>0.30902777777777779</v>
      </c>
      <c r="K7" s="19">
        <v>0.35</v>
      </c>
      <c r="L7" s="19">
        <v>0.39583333333333331</v>
      </c>
      <c r="M7" s="20">
        <f>L7-J7</f>
        <v>8.6805555555555525E-2</v>
      </c>
      <c r="N7" s="55">
        <v>321</v>
      </c>
      <c r="O7" s="22">
        <v>2</v>
      </c>
      <c r="P7" s="31">
        <f>IF(R6="",Q6,R6)</f>
        <v>0.32500000000000001</v>
      </c>
      <c r="Q7" s="32"/>
      <c r="R7" s="31">
        <f>IF(P8="",Q8,P8)</f>
        <v>0.38263888888888892</v>
      </c>
      <c r="S7" s="32"/>
      <c r="T7" s="32">
        <f>R7-P7</f>
        <v>5.7638888888888906E-2</v>
      </c>
      <c r="U7" s="32"/>
      <c r="V7" s="27">
        <v>0.21527777777777779</v>
      </c>
      <c r="W7" s="28">
        <f t="shared" ref="W7:W16" si="0">V7-V6</f>
        <v>2.0833333333333398E-2</v>
      </c>
      <c r="X7" s="29">
        <v>0.64513888888888893</v>
      </c>
      <c r="Y7" s="30">
        <f t="shared" ref="Y7:Y16" si="1">X7-X6</f>
        <v>2.430555555555558E-2</v>
      </c>
    </row>
    <row r="8" spans="1:25" ht="24" customHeight="1" thickBot="1" x14ac:dyDescent="0.3">
      <c r="B8" s="311"/>
      <c r="C8" s="314"/>
      <c r="D8" s="31">
        <f>IF(F7="",E7,F7)</f>
        <v>0.375</v>
      </c>
      <c r="E8" s="32"/>
      <c r="F8" s="31">
        <f>IF(D9="",E9,D9)</f>
        <v>0.42430555555555549</v>
      </c>
      <c r="G8" s="32"/>
      <c r="H8" s="32">
        <f>F8-D8</f>
        <v>4.9305555555555491E-2</v>
      </c>
      <c r="I8" s="32"/>
      <c r="J8" s="31">
        <f>IF(L7="",K7,L7)</f>
        <v>0.39583333333333331</v>
      </c>
      <c r="K8" s="32"/>
      <c r="L8" s="31">
        <f>IF(J9="",K9,J9)</f>
        <v>0.45902777777777781</v>
      </c>
      <c r="M8" s="32"/>
      <c r="N8" s="32">
        <f>L8-J8</f>
        <v>6.3194444444444497E-2</v>
      </c>
      <c r="O8" s="32"/>
      <c r="P8" s="196">
        <v>0.38263888888888892</v>
      </c>
      <c r="Q8" s="19">
        <v>0.42222222222222222</v>
      </c>
      <c r="R8" s="19">
        <v>0.47986111111111113</v>
      </c>
      <c r="S8" s="20">
        <f t="shared" ref="S8:S10" si="2">R8-P8</f>
        <v>9.722222222222221E-2</v>
      </c>
      <c r="T8" s="55">
        <v>321</v>
      </c>
      <c r="U8" s="197">
        <v>3</v>
      </c>
      <c r="V8" s="27">
        <v>0.2361111111111111</v>
      </c>
      <c r="W8" s="28">
        <f t="shared" si="0"/>
        <v>2.0833333333333315E-2</v>
      </c>
      <c r="X8" s="29">
        <v>0.68472222222222223</v>
      </c>
      <c r="Y8" s="30">
        <f t="shared" si="1"/>
        <v>3.9583333333333304E-2</v>
      </c>
    </row>
    <row r="9" spans="1:25" ht="24" customHeight="1" x14ac:dyDescent="0.25">
      <c r="B9" s="311"/>
      <c r="C9" s="314"/>
      <c r="D9" s="18">
        <v>0.42430555555555549</v>
      </c>
      <c r="E9" s="19">
        <v>0.46250000000000002</v>
      </c>
      <c r="F9" s="19">
        <v>0.51458333333333328</v>
      </c>
      <c r="G9" s="20">
        <f>F9-D9</f>
        <v>9.027777777777779E-2</v>
      </c>
      <c r="H9" s="55">
        <v>321</v>
      </c>
      <c r="I9" s="22">
        <v>1</v>
      </c>
      <c r="J9" s="18">
        <v>0.45902777777777781</v>
      </c>
      <c r="K9" s="19">
        <v>0.49305555555555558</v>
      </c>
      <c r="L9" s="19">
        <v>0.54861111111111116</v>
      </c>
      <c r="M9" s="20">
        <f t="shared" ref="M9:M10" si="3">L9-J9</f>
        <v>8.9583333333333348E-2</v>
      </c>
      <c r="N9" s="55">
        <v>321</v>
      </c>
      <c r="O9" s="22">
        <v>2</v>
      </c>
      <c r="P9" s="196">
        <v>0.48680555555555549</v>
      </c>
      <c r="Q9" s="19">
        <v>0.5180555555555556</v>
      </c>
      <c r="R9" s="19">
        <v>0.57291666666666663</v>
      </c>
      <c r="S9" s="20">
        <f t="shared" si="2"/>
        <v>8.6111111111111138E-2</v>
      </c>
      <c r="T9" s="55">
        <v>321</v>
      </c>
      <c r="U9" s="197">
        <v>3</v>
      </c>
      <c r="V9" s="27">
        <v>0.28472222222222221</v>
      </c>
      <c r="W9" s="28">
        <f t="shared" si="0"/>
        <v>4.8611111111111105E-2</v>
      </c>
      <c r="X9" s="29">
        <v>0.71736111111111112</v>
      </c>
      <c r="Y9" s="30">
        <f t="shared" si="1"/>
        <v>3.2638888888888884E-2</v>
      </c>
    </row>
    <row r="10" spans="1:25" ht="24" customHeight="1" thickBot="1" x14ac:dyDescent="0.3">
      <c r="B10" s="311"/>
      <c r="C10" s="314"/>
      <c r="D10" s="18"/>
      <c r="E10" s="19"/>
      <c r="F10" s="19"/>
      <c r="G10" s="20"/>
      <c r="H10" s="55"/>
      <c r="I10" s="22"/>
      <c r="J10" s="180">
        <v>0.55555555555555558</v>
      </c>
      <c r="K10" s="181">
        <v>0.59027777777777779</v>
      </c>
      <c r="L10" s="181">
        <v>0.64027777777777772</v>
      </c>
      <c r="M10" s="20">
        <f t="shared" si="3"/>
        <v>8.4722222222222143E-2</v>
      </c>
      <c r="N10" s="183">
        <v>321</v>
      </c>
      <c r="O10" s="184">
        <v>2</v>
      </c>
      <c r="P10" s="198">
        <v>0.58333333333333337</v>
      </c>
      <c r="Q10" s="181">
        <v>0.62152777777777779</v>
      </c>
      <c r="R10" s="181">
        <v>0.66319444444444442</v>
      </c>
      <c r="S10" s="20">
        <f t="shared" si="2"/>
        <v>7.9861111111111049E-2</v>
      </c>
      <c r="T10" s="183">
        <v>321</v>
      </c>
      <c r="U10" s="199">
        <v>3</v>
      </c>
      <c r="V10" s="27">
        <v>0.30902777777777779</v>
      </c>
      <c r="W10" s="28">
        <f t="shared" si="0"/>
        <v>2.430555555555558E-2</v>
      </c>
      <c r="X10" s="29">
        <v>0.75</v>
      </c>
      <c r="Y10" s="30">
        <f t="shared" si="1"/>
        <v>3.2638888888888884E-2</v>
      </c>
    </row>
    <row r="11" spans="1:25" s="35" customFormat="1" ht="24" customHeight="1" thickBot="1" x14ac:dyDescent="0.35">
      <c r="A11" s="34"/>
      <c r="B11" s="311"/>
      <c r="C11" s="315"/>
      <c r="D11" s="445" t="s">
        <v>94</v>
      </c>
      <c r="E11" s="446"/>
      <c r="F11" s="446"/>
      <c r="G11" s="446"/>
      <c r="H11" s="446"/>
      <c r="I11" s="447"/>
      <c r="J11" s="448" t="s">
        <v>95</v>
      </c>
      <c r="K11" s="449"/>
      <c r="L11" s="449"/>
      <c r="M11" s="449"/>
      <c r="N11" s="449"/>
      <c r="O11" s="450"/>
      <c r="P11" s="448" t="s">
        <v>95</v>
      </c>
      <c r="Q11" s="449"/>
      <c r="R11" s="449"/>
      <c r="S11" s="449"/>
      <c r="T11" s="449"/>
      <c r="U11" s="450"/>
      <c r="V11" s="27">
        <v>0.38263888888888892</v>
      </c>
      <c r="W11" s="28">
        <f t="shared" si="0"/>
        <v>7.3611111111111127E-2</v>
      </c>
      <c r="X11" s="29">
        <v>0.78263888888888888</v>
      </c>
      <c r="Y11" s="30">
        <f t="shared" si="1"/>
        <v>3.2638888888888884E-2</v>
      </c>
    </row>
    <row r="12" spans="1:25" ht="24" customHeight="1" thickBot="1" x14ac:dyDescent="0.3">
      <c r="B12" s="311"/>
      <c r="C12" s="36" t="s">
        <v>17</v>
      </c>
      <c r="D12" s="37">
        <f>MAX(E6:F10)-IF(D6="",E6,D6)-MIN(H6:H10)+$C4</f>
        <v>0.29166666666666669</v>
      </c>
      <c r="E12" s="38"/>
      <c r="F12" s="38"/>
      <c r="G12" s="39"/>
      <c r="H12" s="40">
        <f ca="1">OFFSET(H5,MATCH(MIN(H6:H10),H6:H10,0),-4)-IF(D6="",E6,D6)+$C4</f>
        <v>0.20138888888888895</v>
      </c>
      <c r="I12" s="41"/>
      <c r="J12" s="37">
        <f>MAX(K6:L10)-IF(J6="",K6,J6)-MIN(N6:N10)+$C3</f>
        <v>0.37222222222222212</v>
      </c>
      <c r="K12" s="38"/>
      <c r="L12" s="38"/>
      <c r="M12" s="39"/>
      <c r="N12" s="40">
        <f ca="1">OFFSET(N5,MATCH(MIN(N6:N10),N6:N10,0),-4)-IF(J6="",K6,J6)+$C3</f>
        <v>0.19097222222222218</v>
      </c>
      <c r="O12" s="41"/>
      <c r="P12" s="37">
        <f>MAX(Q6:R10)-IF(P6="",Q6,P6)-MIN(T6:T10)+$C3</f>
        <v>0.37986111111111109</v>
      </c>
      <c r="Q12" s="38"/>
      <c r="R12" s="38"/>
      <c r="S12" s="39"/>
      <c r="T12" s="40">
        <f ca="1">OFFSET(T5,MATCH(MIN(T6:T10),T6:T10,0),-4)-IF(P6="",Q6,P6)+$C3</f>
        <v>9.9305555555555577E-2</v>
      </c>
      <c r="U12" s="41"/>
      <c r="V12" s="27">
        <v>0.42430555555555549</v>
      </c>
      <c r="W12" s="28">
        <f t="shared" si="0"/>
        <v>4.1666666666666574E-2</v>
      </c>
      <c r="X12" s="29">
        <v>0.85972222222222228</v>
      </c>
      <c r="Y12" s="30">
        <f t="shared" si="1"/>
        <v>7.7083333333333393E-2</v>
      </c>
    </row>
    <row r="13" spans="1:25" ht="24" customHeight="1" thickBot="1" x14ac:dyDescent="0.3">
      <c r="B13" s="311"/>
      <c r="C13" s="136">
        <v>1.0416666666666666E-2</v>
      </c>
      <c r="D13" s="9" t="s">
        <v>18</v>
      </c>
      <c r="E13" s="7"/>
      <c r="F13" s="7"/>
      <c r="G13" s="7"/>
      <c r="H13" s="7"/>
      <c r="I13" s="8"/>
      <c r="J13" s="9"/>
      <c r="K13" s="7"/>
      <c r="L13" s="7"/>
      <c r="M13" s="7"/>
      <c r="N13" s="7"/>
      <c r="O13" s="8"/>
      <c r="P13" s="9"/>
      <c r="Q13" s="7"/>
      <c r="R13" s="7"/>
      <c r="S13" s="7"/>
      <c r="T13" s="7"/>
      <c r="U13" s="8"/>
      <c r="V13" s="27">
        <v>0.45902777777777781</v>
      </c>
      <c r="W13" s="28">
        <f t="shared" si="0"/>
        <v>3.4722222222222321E-2</v>
      </c>
      <c r="X13" s="29">
        <v>0.90555555555555556</v>
      </c>
      <c r="Y13" s="30">
        <f t="shared" si="1"/>
        <v>4.5833333333333282E-2</v>
      </c>
    </row>
    <row r="14" spans="1:25" ht="24" customHeight="1" thickBot="1" x14ac:dyDescent="0.3">
      <c r="B14" s="311"/>
      <c r="C14" s="136">
        <v>2.0833333333333332E-2</v>
      </c>
      <c r="D14" s="9" t="s">
        <v>19</v>
      </c>
      <c r="E14" s="7"/>
      <c r="F14" s="7"/>
      <c r="G14" s="7"/>
      <c r="H14" s="7"/>
      <c r="I14" s="8"/>
      <c r="J14" s="9" t="s">
        <v>20</v>
      </c>
      <c r="K14" s="7"/>
      <c r="L14" s="7"/>
      <c r="M14" s="7"/>
      <c r="N14" s="7"/>
      <c r="O14" s="7"/>
      <c r="P14" s="9" t="s">
        <v>21</v>
      </c>
      <c r="Q14" s="7"/>
      <c r="R14" s="7"/>
      <c r="S14" s="7"/>
      <c r="T14" s="7"/>
      <c r="U14" s="8"/>
      <c r="V14" s="27">
        <v>0.48680555555555549</v>
      </c>
      <c r="W14" s="28">
        <f t="shared" si="0"/>
        <v>2.7777777777777679E-2</v>
      </c>
      <c r="X14" s="29">
        <v>0.95138888888888884</v>
      </c>
      <c r="Y14" s="30">
        <f t="shared" si="1"/>
        <v>4.5833333333333282E-2</v>
      </c>
    </row>
    <row r="15" spans="1:25" ht="24" customHeight="1" thickBot="1" x14ac:dyDescent="0.3">
      <c r="B15" s="311"/>
      <c r="C15" s="302" t="s">
        <v>7</v>
      </c>
      <c r="D15" s="13" t="s">
        <v>8</v>
      </c>
      <c r="E15" s="14" t="s">
        <v>9</v>
      </c>
      <c r="F15" s="15" t="s">
        <v>10</v>
      </c>
      <c r="G15" s="14" t="s">
        <v>11</v>
      </c>
      <c r="H15" s="15" t="s">
        <v>12</v>
      </c>
      <c r="I15" s="14" t="s">
        <v>13</v>
      </c>
      <c r="J15" s="15" t="s">
        <v>8</v>
      </c>
      <c r="K15" s="14" t="s">
        <v>9</v>
      </c>
      <c r="L15" s="15" t="s">
        <v>10</v>
      </c>
      <c r="M15" s="14" t="s">
        <v>11</v>
      </c>
      <c r="N15" s="15" t="s">
        <v>12</v>
      </c>
      <c r="O15" s="13" t="s">
        <v>13</v>
      </c>
      <c r="P15" s="13" t="s">
        <v>8</v>
      </c>
      <c r="Q15" s="14" t="s">
        <v>9</v>
      </c>
      <c r="R15" s="15" t="s">
        <v>10</v>
      </c>
      <c r="S15" s="14" t="s">
        <v>11</v>
      </c>
      <c r="T15" s="15" t="s">
        <v>12</v>
      </c>
      <c r="U15" s="14" t="s">
        <v>13</v>
      </c>
      <c r="V15" s="27">
        <v>0.55555555555555558</v>
      </c>
      <c r="W15" s="28">
        <f t="shared" si="0"/>
        <v>6.8750000000000089E-2</v>
      </c>
      <c r="X15" s="63">
        <v>1</v>
      </c>
      <c r="Y15" s="30">
        <f t="shared" si="1"/>
        <v>4.861111111111116E-2</v>
      </c>
    </row>
    <row r="16" spans="1:25" ht="24" customHeight="1" thickBot="1" x14ac:dyDescent="0.3">
      <c r="B16" s="311"/>
      <c r="C16" s="303"/>
      <c r="D16" s="23">
        <v>0.62083333333333335</v>
      </c>
      <c r="E16" s="25">
        <v>0.65833333333333333</v>
      </c>
      <c r="F16" s="25">
        <v>0.70763888888888893</v>
      </c>
      <c r="G16" s="20">
        <f t="shared" ref="G16:G17" si="4">F16-D16</f>
        <v>8.680555555555558E-2</v>
      </c>
      <c r="H16" s="56">
        <v>321</v>
      </c>
      <c r="I16" s="48">
        <v>1</v>
      </c>
      <c r="J16" s="23">
        <v>0.64513888888888893</v>
      </c>
      <c r="K16" s="25">
        <v>0.68541666666666667</v>
      </c>
      <c r="L16" s="25">
        <v>0.7319444444444444</v>
      </c>
      <c r="M16" s="20">
        <f t="shared" ref="M16:M17" si="5">L16-J16</f>
        <v>8.6805555555555469E-2</v>
      </c>
      <c r="N16" s="56">
        <v>321</v>
      </c>
      <c r="O16" s="57">
        <v>2</v>
      </c>
      <c r="P16" s="23">
        <v>0.68472222222222223</v>
      </c>
      <c r="Q16" s="25">
        <v>0.72291666666666665</v>
      </c>
      <c r="R16" s="25">
        <v>0.77152777777777781</v>
      </c>
      <c r="S16" s="20">
        <f t="shared" ref="S16:S17" si="6">R16-P16</f>
        <v>8.680555555555558E-2</v>
      </c>
      <c r="T16" s="56">
        <v>321</v>
      </c>
      <c r="U16" s="48">
        <v>3</v>
      </c>
      <c r="V16" s="43">
        <v>0.58333333333333337</v>
      </c>
      <c r="W16" s="44">
        <f t="shared" si="0"/>
        <v>2.777777777777779E-2</v>
      </c>
      <c r="X16" s="65">
        <v>1.0416666666666667</v>
      </c>
      <c r="Y16" s="46">
        <f t="shared" si="1"/>
        <v>4.1666666666666741E-2</v>
      </c>
    </row>
    <row r="17" spans="1:26" ht="24" customHeight="1" thickBot="1" x14ac:dyDescent="0.3">
      <c r="B17" s="311"/>
      <c r="C17" s="303"/>
      <c r="D17" s="27">
        <v>0.71736111111111112</v>
      </c>
      <c r="E17" s="29">
        <v>0.75624999999999998</v>
      </c>
      <c r="F17" s="29">
        <v>0.80833333333333335</v>
      </c>
      <c r="G17" s="20">
        <f t="shared" si="4"/>
        <v>9.0972222222222232E-2</v>
      </c>
      <c r="H17" s="58">
        <v>321</v>
      </c>
      <c r="I17" s="50">
        <v>1</v>
      </c>
      <c r="J17" s="27">
        <v>0.75</v>
      </c>
      <c r="K17" s="29">
        <v>0.79166666666666663</v>
      </c>
      <c r="L17" s="29">
        <v>0.84027777777777779</v>
      </c>
      <c r="M17" s="20">
        <f t="shared" si="5"/>
        <v>9.027777777777779E-2</v>
      </c>
      <c r="N17" s="58">
        <v>321</v>
      </c>
      <c r="O17" s="64">
        <v>2</v>
      </c>
      <c r="P17" s="27">
        <v>0.78263888888888888</v>
      </c>
      <c r="Q17" s="29">
        <v>0.82152777777777775</v>
      </c>
      <c r="R17" s="29">
        <v>0.87152777777777779</v>
      </c>
      <c r="S17" s="20">
        <f t="shared" si="6"/>
        <v>8.8888888888888906E-2</v>
      </c>
      <c r="T17" s="58">
        <v>321</v>
      </c>
      <c r="U17" s="50">
        <v>3</v>
      </c>
    </row>
    <row r="18" spans="1:26" ht="24" customHeight="1" thickBot="1" x14ac:dyDescent="0.3">
      <c r="B18" s="311"/>
      <c r="C18" s="303"/>
      <c r="D18" s="31">
        <f>IF(F17="",E17,F17)</f>
        <v>0.80833333333333335</v>
      </c>
      <c r="E18" s="32"/>
      <c r="F18" s="31">
        <f>IF(D19="",E19,D19)</f>
        <v>0.85972222222222228</v>
      </c>
      <c r="G18" s="32"/>
      <c r="H18" s="32">
        <f>F18-D18</f>
        <v>5.1388888888888928E-2</v>
      </c>
      <c r="I18" s="32"/>
      <c r="J18" s="31">
        <f>IF(L17="",K17,L17)</f>
        <v>0.84027777777777779</v>
      </c>
      <c r="K18" s="32"/>
      <c r="L18" s="31">
        <f>IF(J19="",K19,J19)</f>
        <v>0.90555555555555556</v>
      </c>
      <c r="M18" s="32"/>
      <c r="N18" s="32">
        <f>L18-J18</f>
        <v>6.5277777777777768E-2</v>
      </c>
      <c r="O18" s="32"/>
      <c r="P18" s="31">
        <f>IF(R17="",Q17,R17)</f>
        <v>0.87152777777777779</v>
      </c>
      <c r="Q18" s="32"/>
      <c r="R18" s="31">
        <f>IF(P19="",Q19,P19)</f>
        <v>0.95138888888888884</v>
      </c>
      <c r="S18" s="32"/>
      <c r="T18" s="32">
        <f>R18-P18</f>
        <v>7.9861111111111049E-2</v>
      </c>
      <c r="U18" s="32"/>
    </row>
    <row r="19" spans="1:26" ht="24" customHeight="1" x14ac:dyDescent="0.25">
      <c r="B19" s="311"/>
      <c r="C19" s="303"/>
      <c r="D19" s="27">
        <v>0.85972222222222228</v>
      </c>
      <c r="E19" s="29">
        <v>0.89097222222222228</v>
      </c>
      <c r="F19" s="29">
        <v>0.93125000000000002</v>
      </c>
      <c r="G19" s="20">
        <f>F19-D19</f>
        <v>7.1527777777777746E-2</v>
      </c>
      <c r="H19" s="58">
        <v>321</v>
      </c>
      <c r="I19" s="50">
        <v>1</v>
      </c>
      <c r="J19" s="27">
        <v>0.90555555555555556</v>
      </c>
      <c r="K19" s="29">
        <v>0.92708333333333337</v>
      </c>
      <c r="L19" s="29">
        <v>0.97569444444444442</v>
      </c>
      <c r="M19" s="20">
        <f t="shared" ref="M19:M20" si="7">L19-J19</f>
        <v>7.0138888888888862E-2</v>
      </c>
      <c r="N19" s="58">
        <v>321</v>
      </c>
      <c r="O19" s="64">
        <v>2</v>
      </c>
      <c r="P19" s="27">
        <v>0.95138888888888884</v>
      </c>
      <c r="Q19" s="29">
        <v>0.98263888888888884</v>
      </c>
      <c r="R19" s="29">
        <v>1.0208333333333333</v>
      </c>
      <c r="S19" s="20">
        <f t="shared" ref="S19:S20" si="8">R19-P19</f>
        <v>6.944444444444442E-2</v>
      </c>
      <c r="T19" s="58">
        <v>321</v>
      </c>
      <c r="U19" s="50">
        <v>3</v>
      </c>
      <c r="V19" s="35"/>
      <c r="W19" s="35"/>
      <c r="X19" s="35"/>
      <c r="Y19" s="35"/>
    </row>
    <row r="20" spans="1:26" ht="24" customHeight="1" thickBot="1" x14ac:dyDescent="0.3">
      <c r="B20" s="311"/>
      <c r="C20" s="303"/>
      <c r="D20" s="27"/>
      <c r="E20" s="29"/>
      <c r="F20" s="29"/>
      <c r="G20" s="194"/>
      <c r="H20" s="58"/>
      <c r="I20" s="50"/>
      <c r="J20" s="59">
        <v>1</v>
      </c>
      <c r="K20" s="60">
        <v>1.0298611111111111</v>
      </c>
      <c r="L20" s="60">
        <v>1.0645833333333334</v>
      </c>
      <c r="M20" s="20">
        <f t="shared" si="7"/>
        <v>6.4583333333333437E-2</v>
      </c>
      <c r="N20" s="61">
        <v>321</v>
      </c>
      <c r="O20" s="67">
        <v>2</v>
      </c>
      <c r="P20" s="59">
        <v>1.0416666666666667</v>
      </c>
      <c r="Q20" s="60">
        <v>1.0715277777777779</v>
      </c>
      <c r="R20" s="60">
        <v>1.10625</v>
      </c>
      <c r="S20" s="20">
        <f t="shared" si="8"/>
        <v>6.4583333333333215E-2</v>
      </c>
      <c r="T20" s="61">
        <v>321</v>
      </c>
      <c r="U20" s="62">
        <v>3</v>
      </c>
    </row>
    <row r="21" spans="1:26" s="35" customFormat="1" ht="24" customHeight="1" thickBot="1" x14ac:dyDescent="0.35">
      <c r="A21" s="34"/>
      <c r="B21" s="311"/>
      <c r="C21" s="304"/>
      <c r="D21" s="445" t="s">
        <v>94</v>
      </c>
      <c r="E21" s="446"/>
      <c r="F21" s="446"/>
      <c r="G21" s="446"/>
      <c r="H21" s="446"/>
      <c r="I21" s="447"/>
      <c r="J21" s="448" t="s">
        <v>95</v>
      </c>
      <c r="K21" s="449"/>
      <c r="L21" s="449"/>
      <c r="M21" s="449"/>
      <c r="N21" s="449"/>
      <c r="O21" s="450"/>
      <c r="P21" s="448" t="s">
        <v>95</v>
      </c>
      <c r="Q21" s="449"/>
      <c r="R21" s="449"/>
      <c r="S21" s="449"/>
      <c r="T21" s="449"/>
      <c r="U21" s="450"/>
      <c r="V21" s="1"/>
      <c r="W21" s="1"/>
      <c r="X21" s="1"/>
      <c r="Y21" s="1"/>
      <c r="Z21" s="1"/>
    </row>
    <row r="22" spans="1:26" ht="24" customHeight="1" thickBot="1" x14ac:dyDescent="0.3">
      <c r="B22" s="312"/>
      <c r="C22" s="36" t="s">
        <v>17</v>
      </c>
      <c r="D22" s="37">
        <f>MAX(E16:F20)-IF(D16="",E16,D16)-MIN(H16:H20)+$C14</f>
        <v>0.27986111111111106</v>
      </c>
      <c r="E22" s="51"/>
      <c r="F22" s="51"/>
      <c r="G22" s="52"/>
      <c r="H22" s="53">
        <f ca="1">OFFSET(H15,MATCH(MIN(H16:H20),H16:H20,0),-4)-IF(D16="",E16,D16)</f>
        <v>0.1875</v>
      </c>
      <c r="I22" s="54"/>
      <c r="J22" s="37">
        <f>MAX(K16:L20)-IF(J16="",K16,J16)-MIN(N16:N20)+$C13</f>
        <v>0.36458333333333343</v>
      </c>
      <c r="K22" s="38"/>
      <c r="L22" s="38"/>
      <c r="M22" s="39"/>
      <c r="N22" s="53">
        <f ca="1">OFFSET(N15,MATCH(MIN(N16:N20),N16:N20,0),-4)-IF(J16="",K16,J16)</f>
        <v>0.19513888888888886</v>
      </c>
      <c r="O22" s="41"/>
      <c r="P22" s="37">
        <f>MAX(Q16:R20)-IF(P16="",Q16,P16)-MIN(T16:T20)+$C13</f>
        <v>0.35208333333333336</v>
      </c>
      <c r="Q22" s="38"/>
      <c r="R22" s="38"/>
      <c r="S22" s="39"/>
      <c r="T22" s="53">
        <f ca="1">OFFSET(T15,MATCH(MIN(T16:T20),T16:T20,0),-4)-IF(P16="",Q16,P16)</f>
        <v>0.18680555555555556</v>
      </c>
      <c r="U22" s="41"/>
    </row>
    <row r="25" spans="1:26" ht="24" customHeight="1" x14ac:dyDescent="0.25">
      <c r="D25"/>
      <c r="E25"/>
      <c r="F25"/>
      <c r="G25"/>
      <c r="H25"/>
      <c r="I25"/>
      <c r="J25"/>
    </row>
    <row r="26" spans="1:26" ht="24" customHeight="1" thickBo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6" ht="24" customHeight="1" thickBot="1" x14ac:dyDescent="0.3">
      <c r="B27" s="310">
        <v>46271</v>
      </c>
      <c r="C27" s="2" t="s">
        <v>96</v>
      </c>
      <c r="D27" s="3"/>
      <c r="E27" s="3"/>
      <c r="F27" s="3"/>
      <c r="G27" s="3"/>
      <c r="H27" s="4"/>
      <c r="I27" s="5"/>
      <c r="J27" s="3"/>
      <c r="K27" s="3"/>
      <c r="L27" s="3"/>
      <c r="M27" s="3"/>
      <c r="N27" s="4"/>
      <c r="O27" s="5"/>
      <c r="P27" s="3"/>
      <c r="Q27" s="3"/>
      <c r="R27" s="3"/>
      <c r="S27" s="3"/>
      <c r="T27" s="4"/>
      <c r="U27" s="5"/>
      <c r="V27" s="6" t="s">
        <v>93</v>
      </c>
      <c r="W27" s="7"/>
      <c r="X27" s="7"/>
      <c r="Y27" s="8"/>
    </row>
    <row r="28" spans="1:26" ht="24" customHeight="1" thickBot="1" x14ac:dyDescent="0.3">
      <c r="B28" s="316"/>
      <c r="C28" s="136">
        <v>1.0416666666666666E-2</v>
      </c>
      <c r="D28" s="9" t="s">
        <v>2</v>
      </c>
      <c r="E28" s="7"/>
      <c r="F28" s="7"/>
      <c r="G28" s="7"/>
      <c r="H28" s="7"/>
      <c r="I28" s="8"/>
      <c r="J28" s="9"/>
      <c r="K28" s="7"/>
      <c r="L28" s="7"/>
      <c r="M28" s="7"/>
      <c r="N28" s="7"/>
      <c r="O28" s="8"/>
      <c r="P28" s="9"/>
      <c r="Q28" s="7"/>
      <c r="R28" s="7"/>
      <c r="S28" s="7"/>
      <c r="T28" s="7"/>
      <c r="U28" s="8"/>
      <c r="V28" s="10" t="s">
        <v>23</v>
      </c>
      <c r="W28" s="11"/>
      <c r="X28" s="11"/>
      <c r="Y28" s="12"/>
    </row>
    <row r="29" spans="1:26" ht="24" customHeight="1" thickBot="1" x14ac:dyDescent="0.3">
      <c r="B29" s="316"/>
      <c r="C29" s="136">
        <v>2.0833333333333332E-2</v>
      </c>
      <c r="D29" s="9" t="s">
        <v>4</v>
      </c>
      <c r="E29" s="7"/>
      <c r="F29" s="7"/>
      <c r="G29" s="7"/>
      <c r="H29" s="7"/>
      <c r="I29" s="8"/>
      <c r="J29" s="9" t="s">
        <v>5</v>
      </c>
      <c r="K29" s="7"/>
      <c r="L29" s="7"/>
      <c r="M29" s="7"/>
      <c r="N29" s="7"/>
      <c r="O29" s="7"/>
      <c r="P29" s="9" t="s">
        <v>6</v>
      </c>
      <c r="Q29" s="7"/>
      <c r="R29" s="7"/>
      <c r="S29" s="7"/>
      <c r="T29" s="7"/>
      <c r="U29" s="8"/>
      <c r="V29" s="195" t="str">
        <f>CONCATENATE(COUNT(V31:V41,X31:X41)," VIAGENS")</f>
        <v>22 VIAGENS</v>
      </c>
      <c r="W29" s="7"/>
      <c r="X29" s="7"/>
      <c r="Y29" s="8"/>
    </row>
    <row r="30" spans="1:26" ht="24" customHeight="1" thickBot="1" x14ac:dyDescent="0.3">
      <c r="B30" s="316"/>
      <c r="C30" s="313" t="s">
        <v>7</v>
      </c>
      <c r="D30" s="13" t="s">
        <v>8</v>
      </c>
      <c r="E30" s="14" t="s">
        <v>9</v>
      </c>
      <c r="F30" s="15" t="s">
        <v>10</v>
      </c>
      <c r="G30" s="14" t="s">
        <v>11</v>
      </c>
      <c r="H30" s="15" t="s">
        <v>12</v>
      </c>
      <c r="I30" s="14" t="s">
        <v>13</v>
      </c>
      <c r="J30" s="13" t="s">
        <v>8</v>
      </c>
      <c r="K30" s="14" t="s">
        <v>9</v>
      </c>
      <c r="L30" s="15" t="s">
        <v>10</v>
      </c>
      <c r="M30" s="14" t="s">
        <v>11</v>
      </c>
      <c r="N30" s="15" t="s">
        <v>12</v>
      </c>
      <c r="O30" s="13" t="s">
        <v>13</v>
      </c>
      <c r="P30" s="13" t="s">
        <v>8</v>
      </c>
      <c r="Q30" s="14" t="s">
        <v>9</v>
      </c>
      <c r="R30" s="15" t="s">
        <v>10</v>
      </c>
      <c r="S30" s="14" t="s">
        <v>11</v>
      </c>
      <c r="T30" s="15" t="s">
        <v>12</v>
      </c>
      <c r="U30" s="14" t="s">
        <v>13</v>
      </c>
      <c r="V30" s="137" t="s">
        <v>14</v>
      </c>
      <c r="W30" s="17" t="s">
        <v>15</v>
      </c>
      <c r="X30" s="16" t="s">
        <v>14</v>
      </c>
      <c r="Y30" s="17" t="s">
        <v>15</v>
      </c>
    </row>
    <row r="31" spans="1:26" ht="24" customHeight="1" thickBot="1" x14ac:dyDescent="0.3">
      <c r="B31" s="316"/>
      <c r="C31" s="314"/>
      <c r="D31" s="18">
        <v>0.19444444444444439</v>
      </c>
      <c r="E31" s="19">
        <v>0.22847222222222219</v>
      </c>
      <c r="F31" s="19">
        <v>0.27430555555555558</v>
      </c>
      <c r="G31" s="20">
        <f>F31-D31</f>
        <v>7.9861111111111188E-2</v>
      </c>
      <c r="H31" s="55">
        <v>321</v>
      </c>
      <c r="I31" s="22">
        <v>1</v>
      </c>
      <c r="J31" s="18">
        <v>0.21527777777777779</v>
      </c>
      <c r="K31" s="19">
        <v>0.25</v>
      </c>
      <c r="L31" s="19">
        <v>0.2951388888888889</v>
      </c>
      <c r="M31" s="20">
        <f>L31-J31</f>
        <v>7.9861111111111105E-2</v>
      </c>
      <c r="N31" s="55">
        <v>321</v>
      </c>
      <c r="O31" s="22">
        <v>2</v>
      </c>
      <c r="P31" s="196">
        <v>0.2361111111111111</v>
      </c>
      <c r="Q31" s="19">
        <v>0.28125</v>
      </c>
      <c r="R31" s="19">
        <v>0.32500000000000001</v>
      </c>
      <c r="S31" s="20">
        <f>R31-P31</f>
        <v>8.8888888888888906E-2</v>
      </c>
      <c r="T31" s="55">
        <v>321</v>
      </c>
      <c r="U31" s="197">
        <v>3</v>
      </c>
      <c r="V31" s="23">
        <v>0.19444444444444439</v>
      </c>
      <c r="W31" s="24"/>
      <c r="X31" s="25">
        <v>0.62083333333333335</v>
      </c>
      <c r="Y31" s="26">
        <f>X31-V41</f>
        <v>3.7499999999999978E-2</v>
      </c>
    </row>
    <row r="32" spans="1:26" ht="24" customHeight="1" thickBot="1" x14ac:dyDescent="0.3">
      <c r="B32" s="316"/>
      <c r="C32" s="314"/>
      <c r="D32" s="18">
        <v>0.28472222222222221</v>
      </c>
      <c r="E32" s="19">
        <v>0.3298611111111111</v>
      </c>
      <c r="F32" s="19">
        <v>0.375</v>
      </c>
      <c r="G32" s="20">
        <f>F32-D32</f>
        <v>9.027777777777779E-2</v>
      </c>
      <c r="H32" s="55">
        <v>321</v>
      </c>
      <c r="I32" s="22">
        <v>1</v>
      </c>
      <c r="J32" s="18">
        <v>0.30902777777777779</v>
      </c>
      <c r="K32" s="19">
        <v>0.35</v>
      </c>
      <c r="L32" s="19">
        <v>0.39583333333333331</v>
      </c>
      <c r="M32" s="20">
        <f>L32-J32</f>
        <v>8.6805555555555525E-2</v>
      </c>
      <c r="N32" s="55">
        <v>321</v>
      </c>
      <c r="O32" s="22">
        <v>2</v>
      </c>
      <c r="P32" s="31">
        <f>IF(R31="",Q31,R31)</f>
        <v>0.32500000000000001</v>
      </c>
      <c r="Q32" s="32"/>
      <c r="R32" s="31">
        <f>IF(P33="",Q33,P33)</f>
        <v>0.38263888888888892</v>
      </c>
      <c r="S32" s="32"/>
      <c r="T32" s="32">
        <f>R32-P32</f>
        <v>5.7638888888888906E-2</v>
      </c>
      <c r="U32" s="32"/>
      <c r="V32" s="27">
        <v>0.21527777777777779</v>
      </c>
      <c r="W32" s="28">
        <f t="shared" ref="W32:W41" si="9">V32-V31</f>
        <v>2.0833333333333398E-2</v>
      </c>
      <c r="X32" s="29">
        <v>0.64513888888888893</v>
      </c>
      <c r="Y32" s="30">
        <f t="shared" ref="Y32:Y41" si="10">X32-X31</f>
        <v>2.430555555555558E-2</v>
      </c>
    </row>
    <row r="33" spans="2:25" ht="24" customHeight="1" thickBot="1" x14ac:dyDescent="0.3">
      <c r="B33" s="316"/>
      <c r="C33" s="314"/>
      <c r="D33" s="31">
        <f>IF(F32="",E32,F32)</f>
        <v>0.375</v>
      </c>
      <c r="E33" s="32"/>
      <c r="F33" s="31">
        <f>IF(D34="",E34,D34)</f>
        <v>0.42430555555555549</v>
      </c>
      <c r="G33" s="32"/>
      <c r="H33" s="32">
        <f>F33-D33</f>
        <v>4.9305555555555491E-2</v>
      </c>
      <c r="I33" s="32"/>
      <c r="J33" s="31">
        <f>IF(L32="",K32,L32)</f>
        <v>0.39583333333333331</v>
      </c>
      <c r="K33" s="32"/>
      <c r="L33" s="31">
        <f>IF(J34="",K34,J34)</f>
        <v>0.45902777777777781</v>
      </c>
      <c r="M33" s="32"/>
      <c r="N33" s="32">
        <f>L33-J33</f>
        <v>6.3194444444444497E-2</v>
      </c>
      <c r="O33" s="32"/>
      <c r="P33" s="196">
        <v>0.38263888888888892</v>
      </c>
      <c r="Q33" s="19">
        <v>0.42222222222222222</v>
      </c>
      <c r="R33" s="19">
        <v>0.47986111111111113</v>
      </c>
      <c r="S33" s="20">
        <f t="shared" ref="S33:S35" si="11">R33-P33</f>
        <v>9.722222222222221E-2</v>
      </c>
      <c r="T33" s="55">
        <v>321</v>
      </c>
      <c r="U33" s="197">
        <v>3</v>
      </c>
      <c r="V33" s="27">
        <v>0.2361111111111111</v>
      </c>
      <c r="W33" s="28">
        <f t="shared" si="9"/>
        <v>2.0833333333333315E-2</v>
      </c>
      <c r="X33" s="29">
        <v>0.68472222222222223</v>
      </c>
      <c r="Y33" s="30">
        <f t="shared" si="10"/>
        <v>3.9583333333333304E-2</v>
      </c>
    </row>
    <row r="34" spans="2:25" ht="24" customHeight="1" x14ac:dyDescent="0.25">
      <c r="B34" s="316"/>
      <c r="C34" s="314"/>
      <c r="D34" s="18">
        <v>0.42430555555555549</v>
      </c>
      <c r="E34" s="19">
        <v>0.46250000000000002</v>
      </c>
      <c r="F34" s="19">
        <v>0.51458333333333328</v>
      </c>
      <c r="G34" s="20">
        <f>F34-D34</f>
        <v>9.027777777777779E-2</v>
      </c>
      <c r="H34" s="55">
        <v>321</v>
      </c>
      <c r="I34" s="22">
        <v>1</v>
      </c>
      <c r="J34" s="18">
        <v>0.45902777777777781</v>
      </c>
      <c r="K34" s="19">
        <v>0.49305555555555558</v>
      </c>
      <c r="L34" s="19">
        <v>0.54861111111111116</v>
      </c>
      <c r="M34" s="20">
        <f t="shared" ref="M34:M35" si="12">L34-J34</f>
        <v>8.9583333333333348E-2</v>
      </c>
      <c r="N34" s="55">
        <v>321</v>
      </c>
      <c r="O34" s="22">
        <v>2</v>
      </c>
      <c r="P34" s="196">
        <v>0.48680555555555549</v>
      </c>
      <c r="Q34" s="19">
        <v>0.5180555555555556</v>
      </c>
      <c r="R34" s="19">
        <v>0.57291666666666663</v>
      </c>
      <c r="S34" s="20">
        <f t="shared" si="11"/>
        <v>8.6111111111111138E-2</v>
      </c>
      <c r="T34" s="55">
        <v>321</v>
      </c>
      <c r="U34" s="197">
        <v>3</v>
      </c>
      <c r="V34" s="27">
        <v>0.28472222222222221</v>
      </c>
      <c r="W34" s="28">
        <f t="shared" si="9"/>
        <v>4.8611111111111105E-2</v>
      </c>
      <c r="X34" s="29">
        <v>0.71736111111111112</v>
      </c>
      <c r="Y34" s="30">
        <f t="shared" si="10"/>
        <v>3.2638888888888884E-2</v>
      </c>
    </row>
    <row r="35" spans="2:25" ht="24" customHeight="1" thickBot="1" x14ac:dyDescent="0.3">
      <c r="B35" s="316"/>
      <c r="C35" s="314"/>
      <c r="D35" s="18"/>
      <c r="E35" s="19"/>
      <c r="F35" s="19"/>
      <c r="G35" s="20"/>
      <c r="H35" s="55"/>
      <c r="I35" s="22"/>
      <c r="J35" s="180">
        <v>0.55555555555555558</v>
      </c>
      <c r="K35" s="181">
        <v>0.59027777777777779</v>
      </c>
      <c r="L35" s="181">
        <v>0.64027777777777772</v>
      </c>
      <c r="M35" s="20">
        <f t="shared" si="12"/>
        <v>8.4722222222222143E-2</v>
      </c>
      <c r="N35" s="183">
        <v>321</v>
      </c>
      <c r="O35" s="184">
        <v>2</v>
      </c>
      <c r="P35" s="198">
        <v>0.58333333333333337</v>
      </c>
      <c r="Q35" s="181">
        <v>0.62152777777777779</v>
      </c>
      <c r="R35" s="181">
        <v>0.66319444444444442</v>
      </c>
      <c r="S35" s="20">
        <f t="shared" si="11"/>
        <v>7.9861111111111049E-2</v>
      </c>
      <c r="T35" s="183">
        <v>321</v>
      </c>
      <c r="U35" s="199">
        <v>3</v>
      </c>
      <c r="V35" s="27">
        <v>0.30902777777777779</v>
      </c>
      <c r="W35" s="28">
        <f t="shared" si="9"/>
        <v>2.430555555555558E-2</v>
      </c>
      <c r="X35" s="29">
        <v>0.75</v>
      </c>
      <c r="Y35" s="30">
        <f t="shared" si="10"/>
        <v>3.2638888888888884E-2</v>
      </c>
    </row>
    <row r="36" spans="2:25" ht="24" customHeight="1" thickBot="1" x14ac:dyDescent="0.35">
      <c r="B36" s="316"/>
      <c r="C36" s="315"/>
      <c r="D36" s="445" t="s">
        <v>94</v>
      </c>
      <c r="E36" s="446"/>
      <c r="F36" s="446"/>
      <c r="G36" s="446"/>
      <c r="H36" s="446"/>
      <c r="I36" s="447"/>
      <c r="J36" s="448" t="s">
        <v>95</v>
      </c>
      <c r="K36" s="449"/>
      <c r="L36" s="449"/>
      <c r="M36" s="449"/>
      <c r="N36" s="449"/>
      <c r="O36" s="450"/>
      <c r="P36" s="448" t="s">
        <v>95</v>
      </c>
      <c r="Q36" s="449"/>
      <c r="R36" s="449"/>
      <c r="S36" s="449"/>
      <c r="T36" s="449"/>
      <c r="U36" s="450"/>
      <c r="V36" s="27">
        <v>0.38263888888888892</v>
      </c>
      <c r="W36" s="28">
        <f t="shared" si="9"/>
        <v>7.3611111111111127E-2</v>
      </c>
      <c r="X36" s="29">
        <v>0.78263888888888888</v>
      </c>
      <c r="Y36" s="30">
        <f t="shared" si="10"/>
        <v>3.2638888888888884E-2</v>
      </c>
    </row>
    <row r="37" spans="2:25" ht="24" customHeight="1" thickBot="1" x14ac:dyDescent="0.3">
      <c r="B37" s="316"/>
      <c r="C37" s="36" t="s">
        <v>17</v>
      </c>
      <c r="D37" s="37">
        <f>MAX(E31:F35)-IF(D31="",E31,D31)-MIN(H31:H35)+$C29</f>
        <v>0.29166666666666669</v>
      </c>
      <c r="E37" s="38"/>
      <c r="F37" s="38"/>
      <c r="G37" s="39"/>
      <c r="H37" s="40">
        <f ca="1">OFFSET(H30,MATCH(MIN(H31:H35),H31:H35,0),-4)-IF(D31="",E31,D31)+$C29</f>
        <v>0.20138888888888895</v>
      </c>
      <c r="I37" s="41"/>
      <c r="J37" s="37">
        <f>MAX(K31:L35)-IF(J31="",K31,J31)-MIN(N31:N35)+$C28</f>
        <v>0.37222222222222212</v>
      </c>
      <c r="K37" s="38"/>
      <c r="L37" s="38"/>
      <c r="M37" s="39"/>
      <c r="N37" s="40">
        <f ca="1">OFFSET(N30,MATCH(MIN(N31:N35),N31:N35,0),-4)-IF(J31="",K31,J31)+$C28</f>
        <v>0.19097222222222218</v>
      </c>
      <c r="O37" s="41"/>
      <c r="P37" s="37">
        <f>MAX(Q31:R35)-IF(P31="",Q31,P31)-MIN(T31:T35)+$C28</f>
        <v>0.37986111111111109</v>
      </c>
      <c r="Q37" s="38"/>
      <c r="R37" s="38"/>
      <c r="S37" s="39"/>
      <c r="T37" s="40">
        <f ca="1">OFFSET(T30,MATCH(MIN(T31:T35),T31:T35,0),-4)-IF(P31="",Q31,P31)+$C28</f>
        <v>9.9305555555555577E-2</v>
      </c>
      <c r="U37" s="41"/>
      <c r="V37" s="27">
        <v>0.42430555555555549</v>
      </c>
      <c r="W37" s="28">
        <f t="shared" si="9"/>
        <v>4.1666666666666574E-2</v>
      </c>
      <c r="X37" s="29">
        <v>0.85972222222222228</v>
      </c>
      <c r="Y37" s="30">
        <f t="shared" si="10"/>
        <v>7.7083333333333393E-2</v>
      </c>
    </row>
    <row r="38" spans="2:25" ht="24" customHeight="1" thickBot="1" x14ac:dyDescent="0.3">
      <c r="B38" s="316"/>
      <c r="C38" s="136">
        <v>1.0416666666666666E-2</v>
      </c>
      <c r="D38" s="9" t="s">
        <v>18</v>
      </c>
      <c r="E38" s="7"/>
      <c r="F38" s="7"/>
      <c r="G38" s="7"/>
      <c r="H38" s="7"/>
      <c r="I38" s="8"/>
      <c r="J38" s="9"/>
      <c r="K38" s="7"/>
      <c r="L38" s="7"/>
      <c r="M38" s="7"/>
      <c r="N38" s="7"/>
      <c r="O38" s="8"/>
      <c r="P38" s="9"/>
      <c r="Q38" s="7"/>
      <c r="R38" s="7"/>
      <c r="S38" s="7"/>
      <c r="T38" s="7"/>
      <c r="U38" s="8"/>
      <c r="V38" s="27">
        <v>0.45902777777777781</v>
      </c>
      <c r="W38" s="28">
        <f t="shared" si="9"/>
        <v>3.4722222222222321E-2</v>
      </c>
      <c r="X38" s="29">
        <v>0.90555555555555556</v>
      </c>
      <c r="Y38" s="30">
        <f t="shared" si="10"/>
        <v>4.5833333333333282E-2</v>
      </c>
    </row>
    <row r="39" spans="2:25" ht="24" customHeight="1" thickBot="1" x14ac:dyDescent="0.3">
      <c r="B39" s="316"/>
      <c r="C39" s="136">
        <v>2.0833333333333332E-2</v>
      </c>
      <c r="D39" s="9" t="s">
        <v>19</v>
      </c>
      <c r="E39" s="7"/>
      <c r="F39" s="7"/>
      <c r="G39" s="7"/>
      <c r="H39" s="7"/>
      <c r="I39" s="8"/>
      <c r="J39" s="9" t="s">
        <v>20</v>
      </c>
      <c r="K39" s="7"/>
      <c r="L39" s="7"/>
      <c r="M39" s="7"/>
      <c r="N39" s="7"/>
      <c r="O39" s="7"/>
      <c r="P39" s="9" t="s">
        <v>21</v>
      </c>
      <c r="Q39" s="7"/>
      <c r="R39" s="7"/>
      <c r="S39" s="7"/>
      <c r="T39" s="7"/>
      <c r="U39" s="8"/>
      <c r="V39" s="27">
        <v>0.48680555555555549</v>
      </c>
      <c r="W39" s="28">
        <f t="shared" si="9"/>
        <v>2.7777777777777679E-2</v>
      </c>
      <c r="X39" s="29">
        <v>0.95138888888888884</v>
      </c>
      <c r="Y39" s="30">
        <f t="shared" si="10"/>
        <v>4.5833333333333282E-2</v>
      </c>
    </row>
    <row r="40" spans="2:25" ht="24" customHeight="1" thickBot="1" x14ac:dyDescent="0.3">
      <c r="B40" s="316"/>
      <c r="C40" s="302" t="s">
        <v>7</v>
      </c>
      <c r="D40" s="13" t="s">
        <v>8</v>
      </c>
      <c r="E40" s="14" t="s">
        <v>9</v>
      </c>
      <c r="F40" s="15" t="s">
        <v>10</v>
      </c>
      <c r="G40" s="14" t="s">
        <v>11</v>
      </c>
      <c r="H40" s="15" t="s">
        <v>12</v>
      </c>
      <c r="I40" s="14" t="s">
        <v>13</v>
      </c>
      <c r="J40" s="15" t="s">
        <v>8</v>
      </c>
      <c r="K40" s="14" t="s">
        <v>9</v>
      </c>
      <c r="L40" s="15" t="s">
        <v>10</v>
      </c>
      <c r="M40" s="14" t="s">
        <v>11</v>
      </c>
      <c r="N40" s="15" t="s">
        <v>12</v>
      </c>
      <c r="O40" s="13" t="s">
        <v>13</v>
      </c>
      <c r="P40" s="13" t="s">
        <v>8</v>
      </c>
      <c r="Q40" s="14" t="s">
        <v>9</v>
      </c>
      <c r="R40" s="15" t="s">
        <v>10</v>
      </c>
      <c r="S40" s="14" t="s">
        <v>11</v>
      </c>
      <c r="T40" s="15" t="s">
        <v>12</v>
      </c>
      <c r="U40" s="14" t="s">
        <v>13</v>
      </c>
      <c r="V40" s="27">
        <v>0.55555555555555558</v>
      </c>
      <c r="W40" s="28">
        <f t="shared" si="9"/>
        <v>6.8750000000000089E-2</v>
      </c>
      <c r="X40" s="63">
        <v>1</v>
      </c>
      <c r="Y40" s="30">
        <f t="shared" si="10"/>
        <v>4.861111111111116E-2</v>
      </c>
    </row>
    <row r="41" spans="2:25" ht="24" customHeight="1" thickBot="1" x14ac:dyDescent="0.3">
      <c r="B41" s="316"/>
      <c r="C41" s="303"/>
      <c r="D41" s="23">
        <v>0.62083333333333335</v>
      </c>
      <c r="E41" s="25">
        <v>0.65833333333333333</v>
      </c>
      <c r="F41" s="25">
        <v>0.70763888888888893</v>
      </c>
      <c r="G41" s="20">
        <f t="shared" ref="G41:G42" si="13">F41-D41</f>
        <v>8.680555555555558E-2</v>
      </c>
      <c r="H41" s="56">
        <v>321</v>
      </c>
      <c r="I41" s="48">
        <v>1</v>
      </c>
      <c r="J41" s="23">
        <v>0.64513888888888893</v>
      </c>
      <c r="K41" s="25">
        <v>0.68541666666666667</v>
      </c>
      <c r="L41" s="25">
        <v>0.7319444444444444</v>
      </c>
      <c r="M41" s="20">
        <f t="shared" ref="M41:M42" si="14">L41-J41</f>
        <v>8.6805555555555469E-2</v>
      </c>
      <c r="N41" s="56">
        <v>321</v>
      </c>
      <c r="O41" s="57">
        <v>2</v>
      </c>
      <c r="P41" s="23">
        <v>0.68472222222222223</v>
      </c>
      <c r="Q41" s="25">
        <v>0.72291666666666665</v>
      </c>
      <c r="R41" s="25">
        <v>0.77152777777777781</v>
      </c>
      <c r="S41" s="20">
        <f t="shared" ref="S41:S42" si="15">R41-P41</f>
        <v>8.680555555555558E-2</v>
      </c>
      <c r="T41" s="56">
        <v>321</v>
      </c>
      <c r="U41" s="48">
        <v>3</v>
      </c>
      <c r="V41" s="43">
        <v>0.58333333333333337</v>
      </c>
      <c r="W41" s="44">
        <f t="shared" si="9"/>
        <v>2.777777777777779E-2</v>
      </c>
      <c r="X41" s="65">
        <v>1.0416666666666667</v>
      </c>
      <c r="Y41" s="46">
        <f t="shared" si="10"/>
        <v>4.1666666666666741E-2</v>
      </c>
    </row>
    <row r="42" spans="2:25" ht="24" customHeight="1" thickBot="1" x14ac:dyDescent="0.3">
      <c r="B42" s="316"/>
      <c r="C42" s="303"/>
      <c r="D42" s="27">
        <v>0.71736111111111112</v>
      </c>
      <c r="E42" s="29">
        <v>0.75624999999999998</v>
      </c>
      <c r="F42" s="29">
        <v>0.80833333333333335</v>
      </c>
      <c r="G42" s="20">
        <f t="shared" si="13"/>
        <v>9.0972222222222232E-2</v>
      </c>
      <c r="H42" s="58">
        <v>321</v>
      </c>
      <c r="I42" s="50">
        <v>1</v>
      </c>
      <c r="J42" s="27">
        <v>0.75</v>
      </c>
      <c r="K42" s="29">
        <v>0.79166666666666663</v>
      </c>
      <c r="L42" s="29">
        <v>0.84027777777777779</v>
      </c>
      <c r="M42" s="20">
        <f t="shared" si="14"/>
        <v>9.027777777777779E-2</v>
      </c>
      <c r="N42" s="58">
        <v>321</v>
      </c>
      <c r="O42" s="64">
        <v>2</v>
      </c>
      <c r="P42" s="27">
        <v>0.78263888888888888</v>
      </c>
      <c r="Q42" s="29">
        <v>0.82152777777777775</v>
      </c>
      <c r="R42" s="29">
        <v>0.87152777777777779</v>
      </c>
      <c r="S42" s="20">
        <f t="shared" si="15"/>
        <v>8.8888888888888906E-2</v>
      </c>
      <c r="T42" s="58">
        <v>321</v>
      </c>
      <c r="U42" s="50">
        <v>3</v>
      </c>
    </row>
    <row r="43" spans="2:25" ht="24" customHeight="1" thickBot="1" x14ac:dyDescent="0.3">
      <c r="B43" s="316"/>
      <c r="C43" s="303"/>
      <c r="D43" s="31">
        <f>IF(F42="",E42,F42)</f>
        <v>0.80833333333333335</v>
      </c>
      <c r="E43" s="32"/>
      <c r="F43" s="31">
        <f>IF(D44="",E44,D44)</f>
        <v>0.85972222222222228</v>
      </c>
      <c r="G43" s="32"/>
      <c r="H43" s="32">
        <f>F43-D43</f>
        <v>5.1388888888888928E-2</v>
      </c>
      <c r="I43" s="32"/>
      <c r="J43" s="31">
        <f>IF(L42="",K42,L42)</f>
        <v>0.84027777777777779</v>
      </c>
      <c r="K43" s="32"/>
      <c r="L43" s="31">
        <f>IF(J44="",K44,J44)</f>
        <v>0.90555555555555556</v>
      </c>
      <c r="M43" s="32"/>
      <c r="N43" s="32">
        <f>L43-J43</f>
        <v>6.5277777777777768E-2</v>
      </c>
      <c r="O43" s="32"/>
      <c r="P43" s="31">
        <f>IF(R42="",Q42,R42)</f>
        <v>0.87152777777777779</v>
      </c>
      <c r="Q43" s="32"/>
      <c r="R43" s="31">
        <f>IF(P44="",Q44,P44)</f>
        <v>0.95138888888888884</v>
      </c>
      <c r="S43" s="32"/>
      <c r="T43" s="32">
        <f>R43-P43</f>
        <v>7.9861111111111049E-2</v>
      </c>
      <c r="U43" s="32"/>
    </row>
    <row r="44" spans="2:25" ht="24" customHeight="1" x14ac:dyDescent="0.25">
      <c r="B44" s="316"/>
      <c r="C44" s="303"/>
      <c r="D44" s="27">
        <v>0.85972222222222228</v>
      </c>
      <c r="E44" s="29">
        <v>0.89097222222222228</v>
      </c>
      <c r="F44" s="29">
        <v>0.93125000000000002</v>
      </c>
      <c r="G44" s="20">
        <f>F44-D44</f>
        <v>7.1527777777777746E-2</v>
      </c>
      <c r="H44" s="58">
        <v>321</v>
      </c>
      <c r="I44" s="50">
        <v>1</v>
      </c>
      <c r="J44" s="27">
        <v>0.90555555555555556</v>
      </c>
      <c r="K44" s="29">
        <v>0.92708333333333337</v>
      </c>
      <c r="L44" s="29">
        <v>0.97569444444444442</v>
      </c>
      <c r="M44" s="20">
        <f t="shared" ref="M44:M45" si="16">L44-J44</f>
        <v>7.0138888888888862E-2</v>
      </c>
      <c r="N44" s="58">
        <v>321</v>
      </c>
      <c r="O44" s="64">
        <v>2</v>
      </c>
      <c r="P44" s="27">
        <v>0.95138888888888884</v>
      </c>
      <c r="Q44" s="29">
        <v>0.98263888888888884</v>
      </c>
      <c r="R44" s="29">
        <v>1.0208333333333333</v>
      </c>
      <c r="S44" s="20">
        <f t="shared" ref="S44:S45" si="17">R44-P44</f>
        <v>6.944444444444442E-2</v>
      </c>
      <c r="T44" s="58">
        <v>321</v>
      </c>
      <c r="U44" s="50">
        <v>3</v>
      </c>
      <c r="V44" s="35"/>
      <c r="W44" s="35"/>
      <c r="X44" s="35"/>
      <c r="Y44" s="35"/>
    </row>
    <row r="45" spans="2:25" ht="24" customHeight="1" thickBot="1" x14ac:dyDescent="0.3">
      <c r="B45" s="316"/>
      <c r="C45" s="303"/>
      <c r="D45" s="27"/>
      <c r="E45" s="29"/>
      <c r="F45" s="29"/>
      <c r="G45" s="194"/>
      <c r="H45" s="58"/>
      <c r="I45" s="50"/>
      <c r="J45" s="59">
        <v>1</v>
      </c>
      <c r="K45" s="60">
        <v>1.0298611111111111</v>
      </c>
      <c r="L45" s="60">
        <v>1.0645833333333334</v>
      </c>
      <c r="M45" s="20">
        <f t="shared" si="16"/>
        <v>6.4583333333333437E-2</v>
      </c>
      <c r="N45" s="61">
        <v>321</v>
      </c>
      <c r="O45" s="67">
        <v>2</v>
      </c>
      <c r="P45" s="59">
        <v>1.0416666666666667</v>
      </c>
      <c r="Q45" s="60">
        <v>1.0715277777777779</v>
      </c>
      <c r="R45" s="60">
        <v>1.10625</v>
      </c>
      <c r="S45" s="20">
        <f t="shared" si="17"/>
        <v>6.4583333333333215E-2</v>
      </c>
      <c r="T45" s="61">
        <v>321</v>
      </c>
      <c r="U45" s="62">
        <v>3</v>
      </c>
    </row>
    <row r="46" spans="2:25" ht="24" customHeight="1" thickBot="1" x14ac:dyDescent="0.35">
      <c r="B46" s="316"/>
      <c r="C46" s="304"/>
      <c r="D46" s="445" t="s">
        <v>94</v>
      </c>
      <c r="E46" s="446"/>
      <c r="F46" s="446"/>
      <c r="G46" s="446"/>
      <c r="H46" s="446"/>
      <c r="I46" s="447"/>
      <c r="J46" s="448" t="s">
        <v>95</v>
      </c>
      <c r="K46" s="449"/>
      <c r="L46" s="449"/>
      <c r="M46" s="449"/>
      <c r="N46" s="449"/>
      <c r="O46" s="450"/>
      <c r="P46" s="448" t="s">
        <v>95</v>
      </c>
      <c r="Q46" s="449"/>
      <c r="R46" s="449"/>
      <c r="S46" s="449"/>
      <c r="T46" s="449"/>
      <c r="U46" s="450"/>
    </row>
    <row r="47" spans="2:25" ht="24" customHeight="1" thickBot="1" x14ac:dyDescent="0.3">
      <c r="B47" s="317"/>
      <c r="C47" s="36" t="s">
        <v>17</v>
      </c>
      <c r="D47" s="37">
        <f>MAX(E41:F45)-IF(D41="",E41,D41)-MIN(H41:H45)+$C39</f>
        <v>0.27986111111111106</v>
      </c>
      <c r="E47" s="51"/>
      <c r="F47" s="51"/>
      <c r="G47" s="52"/>
      <c r="H47" s="53">
        <f ca="1">OFFSET(H40,MATCH(MIN(H41:H45),H41:H45,0),-4)-IF(D41="",E41,D41)</f>
        <v>0.1875</v>
      </c>
      <c r="I47" s="54"/>
      <c r="J47" s="37">
        <f>MAX(K41:L45)-IF(J41="",K41,J41)-MIN(N41:N45)+$C38</f>
        <v>0.36458333333333343</v>
      </c>
      <c r="K47" s="38"/>
      <c r="L47" s="38"/>
      <c r="M47" s="39"/>
      <c r="N47" s="53">
        <f ca="1">OFFSET(N40,MATCH(MIN(N41:N45),N41:N45,0),-4)-IF(J41="",K41,J41)</f>
        <v>0.19513888888888886</v>
      </c>
      <c r="O47" s="41"/>
      <c r="P47" s="37">
        <f>MAX(Q41:R45)-IF(P41="",Q41,P41)-MIN(T41:T45)+$C38</f>
        <v>0.35208333333333336</v>
      </c>
      <c r="Q47" s="38"/>
      <c r="R47" s="38"/>
      <c r="S47" s="39"/>
      <c r="T47" s="53">
        <f ca="1">OFFSET(T40,MATCH(MIN(T41:T45),T41:T45,0),-4)-IF(P41="",Q41,P41)</f>
        <v>0.18680555555555556</v>
      </c>
      <c r="U47" s="41"/>
    </row>
    <row r="48" spans="2:25" ht="24" customHeight="1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2:25" ht="24" customHeight="1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2:25" ht="24" customHeight="1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2:25" ht="24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2:25" ht="24" customHeight="1" thickBot="1" x14ac:dyDescent="0.3">
      <c r="B52" s="310">
        <v>46272</v>
      </c>
      <c r="C52" s="2" t="s">
        <v>97</v>
      </c>
      <c r="D52" s="3"/>
      <c r="E52" s="3"/>
      <c r="F52" s="3"/>
      <c r="G52" s="3"/>
      <c r="H52" s="4"/>
      <c r="I52" s="5"/>
      <c r="J52" s="3"/>
      <c r="K52" s="3"/>
      <c r="L52" s="3"/>
      <c r="M52" s="3"/>
      <c r="N52" s="4"/>
      <c r="O52" s="5"/>
      <c r="P52" s="3"/>
      <c r="Q52" s="3"/>
      <c r="R52" s="3"/>
      <c r="S52" s="3"/>
      <c r="T52" s="4"/>
      <c r="U52" s="5"/>
      <c r="V52" s="6" t="s">
        <v>93</v>
      </c>
      <c r="W52" s="7"/>
      <c r="X52" s="7"/>
      <c r="Y52" s="8"/>
    </row>
    <row r="53" spans="2:25" ht="24" customHeight="1" thickBot="1" x14ac:dyDescent="0.3">
      <c r="B53" s="316"/>
      <c r="C53" s="136">
        <v>1.0416666666666666E-2</v>
      </c>
      <c r="D53" s="9" t="s">
        <v>2</v>
      </c>
      <c r="E53" s="7"/>
      <c r="F53" s="7"/>
      <c r="G53" s="7"/>
      <c r="H53" s="7"/>
      <c r="I53" s="8"/>
      <c r="J53" s="9"/>
      <c r="K53" s="7"/>
      <c r="L53" s="7"/>
      <c r="M53" s="7"/>
      <c r="N53" s="7"/>
      <c r="O53" s="8"/>
      <c r="P53" s="9"/>
      <c r="Q53" s="7"/>
      <c r="R53" s="7"/>
      <c r="S53" s="7"/>
      <c r="T53" s="7"/>
      <c r="U53" s="8"/>
      <c r="V53" s="10" t="s">
        <v>25</v>
      </c>
      <c r="W53" s="11"/>
      <c r="X53" s="11"/>
      <c r="Y53" s="12"/>
    </row>
    <row r="54" spans="2:25" ht="24" customHeight="1" thickBot="1" x14ac:dyDescent="0.3">
      <c r="B54" s="316"/>
      <c r="C54" s="136">
        <v>2.0833333333333332E-2</v>
      </c>
      <c r="D54" s="9" t="s">
        <v>4</v>
      </c>
      <c r="E54" s="7"/>
      <c r="F54" s="7"/>
      <c r="G54" s="7"/>
      <c r="H54" s="7"/>
      <c r="I54" s="8"/>
      <c r="J54" s="9" t="s">
        <v>5</v>
      </c>
      <c r="K54" s="7"/>
      <c r="L54" s="7"/>
      <c r="M54" s="7"/>
      <c r="N54" s="7"/>
      <c r="O54" s="7"/>
      <c r="P54" s="9" t="s">
        <v>6</v>
      </c>
      <c r="Q54" s="7"/>
      <c r="R54" s="7"/>
      <c r="S54" s="7"/>
      <c r="T54" s="7"/>
      <c r="U54" s="8"/>
      <c r="V54" s="195" t="str">
        <f>CONCATENATE(COUNT(V56:V66,X56:X66)," VIAGENS")</f>
        <v>22 VIAGENS</v>
      </c>
      <c r="W54" s="7"/>
      <c r="X54" s="7"/>
      <c r="Y54" s="8"/>
    </row>
    <row r="55" spans="2:25" ht="24" customHeight="1" thickBot="1" x14ac:dyDescent="0.3">
      <c r="B55" s="316"/>
      <c r="C55" s="313" t="s">
        <v>7</v>
      </c>
      <c r="D55" s="13" t="s">
        <v>8</v>
      </c>
      <c r="E55" s="14" t="s">
        <v>9</v>
      </c>
      <c r="F55" s="15" t="s">
        <v>10</v>
      </c>
      <c r="G55" s="14" t="s">
        <v>11</v>
      </c>
      <c r="H55" s="15" t="s">
        <v>12</v>
      </c>
      <c r="I55" s="14" t="s">
        <v>13</v>
      </c>
      <c r="J55" s="13" t="s">
        <v>8</v>
      </c>
      <c r="K55" s="14" t="s">
        <v>9</v>
      </c>
      <c r="L55" s="15" t="s">
        <v>10</v>
      </c>
      <c r="M55" s="14" t="s">
        <v>11</v>
      </c>
      <c r="N55" s="15" t="s">
        <v>12</v>
      </c>
      <c r="O55" s="13" t="s">
        <v>13</v>
      </c>
      <c r="P55" s="13" t="s">
        <v>8</v>
      </c>
      <c r="Q55" s="14" t="s">
        <v>9</v>
      </c>
      <c r="R55" s="15" t="s">
        <v>10</v>
      </c>
      <c r="S55" s="14" t="s">
        <v>11</v>
      </c>
      <c r="T55" s="15" t="s">
        <v>12</v>
      </c>
      <c r="U55" s="14" t="s">
        <v>13</v>
      </c>
      <c r="V55" s="137" t="s">
        <v>14</v>
      </c>
      <c r="W55" s="17" t="s">
        <v>15</v>
      </c>
      <c r="X55" s="16" t="s">
        <v>14</v>
      </c>
      <c r="Y55" s="17" t="s">
        <v>15</v>
      </c>
    </row>
    <row r="56" spans="2:25" ht="24" customHeight="1" thickBot="1" x14ac:dyDescent="0.3">
      <c r="B56" s="316"/>
      <c r="C56" s="314"/>
      <c r="D56" s="18">
        <v>0.19444444444444439</v>
      </c>
      <c r="E56" s="19">
        <v>0.22847222222222219</v>
      </c>
      <c r="F56" s="19">
        <v>0.27430555555555558</v>
      </c>
      <c r="G56" s="20">
        <f>F56-D56</f>
        <v>7.9861111111111188E-2</v>
      </c>
      <c r="H56" s="55">
        <v>321</v>
      </c>
      <c r="I56" s="22">
        <v>1</v>
      </c>
      <c r="J56" s="18">
        <v>0.21527777777777779</v>
      </c>
      <c r="K56" s="19">
        <v>0.25</v>
      </c>
      <c r="L56" s="19">
        <v>0.2951388888888889</v>
      </c>
      <c r="M56" s="20">
        <f>L56-J56</f>
        <v>7.9861111111111105E-2</v>
      </c>
      <c r="N56" s="55">
        <v>321</v>
      </c>
      <c r="O56" s="22">
        <v>2</v>
      </c>
      <c r="P56" s="196">
        <v>0.2361111111111111</v>
      </c>
      <c r="Q56" s="19">
        <v>0.28125</v>
      </c>
      <c r="R56" s="19">
        <v>0.32500000000000001</v>
      </c>
      <c r="S56" s="20">
        <f>R56-P56</f>
        <v>8.8888888888888906E-2</v>
      </c>
      <c r="T56" s="55">
        <v>321</v>
      </c>
      <c r="U56" s="197">
        <v>3</v>
      </c>
      <c r="V56" s="23">
        <v>0.19444444444444439</v>
      </c>
      <c r="W56" s="24"/>
      <c r="X56" s="25">
        <v>0.62083333333333335</v>
      </c>
      <c r="Y56" s="26">
        <f>X56-V66</f>
        <v>3.7499999999999978E-2</v>
      </c>
    </row>
    <row r="57" spans="2:25" ht="24" customHeight="1" thickBot="1" x14ac:dyDescent="0.3">
      <c r="B57" s="316"/>
      <c r="C57" s="314"/>
      <c r="D57" s="18">
        <v>0.28472222222222221</v>
      </c>
      <c r="E57" s="19">
        <v>0.3298611111111111</v>
      </c>
      <c r="F57" s="19">
        <v>0.375</v>
      </c>
      <c r="G57" s="20">
        <f>F57-D57</f>
        <v>9.027777777777779E-2</v>
      </c>
      <c r="H57" s="55">
        <v>321</v>
      </c>
      <c r="I57" s="22">
        <v>1</v>
      </c>
      <c r="J57" s="18">
        <v>0.30902777777777779</v>
      </c>
      <c r="K57" s="19">
        <v>0.35</v>
      </c>
      <c r="L57" s="19">
        <v>0.39583333333333331</v>
      </c>
      <c r="M57" s="20">
        <f>L57-J57</f>
        <v>8.6805555555555525E-2</v>
      </c>
      <c r="N57" s="55">
        <v>321</v>
      </c>
      <c r="O57" s="22">
        <v>2</v>
      </c>
      <c r="P57" s="31">
        <f>IF(R56="",Q56,R56)</f>
        <v>0.32500000000000001</v>
      </c>
      <c r="Q57" s="32"/>
      <c r="R57" s="31">
        <f>IF(P58="",Q58,P58)</f>
        <v>0.38263888888888892</v>
      </c>
      <c r="S57" s="32"/>
      <c r="T57" s="32">
        <f>R57-P57</f>
        <v>5.7638888888888906E-2</v>
      </c>
      <c r="U57" s="32"/>
      <c r="V57" s="27">
        <v>0.21527777777777779</v>
      </c>
      <c r="W57" s="28">
        <f t="shared" ref="W57:W66" si="18">V57-V56</f>
        <v>2.0833333333333398E-2</v>
      </c>
      <c r="X57" s="29">
        <v>0.64513888888888893</v>
      </c>
      <c r="Y57" s="30">
        <f t="shared" ref="Y57:Y66" si="19">X57-X56</f>
        <v>2.430555555555558E-2</v>
      </c>
    </row>
    <row r="58" spans="2:25" ht="24" customHeight="1" thickBot="1" x14ac:dyDescent="0.3">
      <c r="B58" s="316"/>
      <c r="C58" s="314"/>
      <c r="D58" s="31">
        <f>IF(F57="",E57,F57)</f>
        <v>0.375</v>
      </c>
      <c r="E58" s="32"/>
      <c r="F58" s="31">
        <f>IF(D59="",E59,D59)</f>
        <v>0.42430555555555549</v>
      </c>
      <c r="G58" s="32"/>
      <c r="H58" s="32">
        <f>F58-D58</f>
        <v>4.9305555555555491E-2</v>
      </c>
      <c r="I58" s="32"/>
      <c r="J58" s="31">
        <f>IF(L57="",K57,L57)</f>
        <v>0.39583333333333331</v>
      </c>
      <c r="K58" s="32"/>
      <c r="L58" s="31">
        <f>IF(J59="",K59,J59)</f>
        <v>0.45902777777777781</v>
      </c>
      <c r="M58" s="32"/>
      <c r="N58" s="32">
        <f>L58-J58</f>
        <v>6.3194444444444497E-2</v>
      </c>
      <c r="O58" s="32"/>
      <c r="P58" s="196">
        <v>0.38263888888888892</v>
      </c>
      <c r="Q58" s="19">
        <v>0.42222222222222222</v>
      </c>
      <c r="R58" s="19">
        <v>0.47986111111111113</v>
      </c>
      <c r="S58" s="20">
        <f t="shared" ref="S58:S60" si="20">R58-P58</f>
        <v>9.722222222222221E-2</v>
      </c>
      <c r="T58" s="55">
        <v>321</v>
      </c>
      <c r="U58" s="197">
        <v>3</v>
      </c>
      <c r="V58" s="27">
        <v>0.2361111111111111</v>
      </c>
      <c r="W58" s="28">
        <f t="shared" si="18"/>
        <v>2.0833333333333315E-2</v>
      </c>
      <c r="X58" s="29">
        <v>0.68472222222222223</v>
      </c>
      <c r="Y58" s="30">
        <f t="shared" si="19"/>
        <v>3.9583333333333304E-2</v>
      </c>
    </row>
    <row r="59" spans="2:25" ht="24" customHeight="1" x14ac:dyDescent="0.25">
      <c r="B59" s="316"/>
      <c r="C59" s="314"/>
      <c r="D59" s="18">
        <v>0.42430555555555549</v>
      </c>
      <c r="E59" s="19">
        <v>0.46250000000000002</v>
      </c>
      <c r="F59" s="19">
        <v>0.51458333333333328</v>
      </c>
      <c r="G59" s="20">
        <f>F59-D59</f>
        <v>9.027777777777779E-2</v>
      </c>
      <c r="H59" s="55">
        <v>321</v>
      </c>
      <c r="I59" s="22">
        <v>1</v>
      </c>
      <c r="J59" s="18">
        <v>0.45902777777777781</v>
      </c>
      <c r="K59" s="19">
        <v>0.49305555555555558</v>
      </c>
      <c r="L59" s="19">
        <v>0.54861111111111116</v>
      </c>
      <c r="M59" s="20">
        <f t="shared" ref="M59:M60" si="21">L59-J59</f>
        <v>8.9583333333333348E-2</v>
      </c>
      <c r="N59" s="55">
        <v>321</v>
      </c>
      <c r="O59" s="22">
        <v>2</v>
      </c>
      <c r="P59" s="196">
        <v>0.48680555555555549</v>
      </c>
      <c r="Q59" s="19">
        <v>0.5180555555555556</v>
      </c>
      <c r="R59" s="19">
        <v>0.57291666666666663</v>
      </c>
      <c r="S59" s="20">
        <f t="shared" si="20"/>
        <v>8.6111111111111138E-2</v>
      </c>
      <c r="T59" s="55">
        <v>321</v>
      </c>
      <c r="U59" s="197">
        <v>3</v>
      </c>
      <c r="V59" s="27">
        <v>0.28472222222222221</v>
      </c>
      <c r="W59" s="28">
        <f t="shared" si="18"/>
        <v>4.8611111111111105E-2</v>
      </c>
      <c r="X59" s="29">
        <v>0.71736111111111112</v>
      </c>
      <c r="Y59" s="30">
        <f t="shared" si="19"/>
        <v>3.2638888888888884E-2</v>
      </c>
    </row>
    <row r="60" spans="2:25" ht="24" customHeight="1" thickBot="1" x14ac:dyDescent="0.3">
      <c r="B60" s="316"/>
      <c r="C60" s="314"/>
      <c r="D60" s="18"/>
      <c r="E60" s="19"/>
      <c r="F60" s="19"/>
      <c r="G60" s="20"/>
      <c r="H60" s="55"/>
      <c r="I60" s="22"/>
      <c r="J60" s="180">
        <v>0.55555555555555558</v>
      </c>
      <c r="K60" s="181">
        <v>0.59027777777777779</v>
      </c>
      <c r="L60" s="181">
        <v>0.64027777777777772</v>
      </c>
      <c r="M60" s="20">
        <f t="shared" si="21"/>
        <v>8.4722222222222143E-2</v>
      </c>
      <c r="N60" s="183">
        <v>321</v>
      </c>
      <c r="O60" s="184">
        <v>2</v>
      </c>
      <c r="P60" s="198">
        <v>0.58333333333333337</v>
      </c>
      <c r="Q60" s="181">
        <v>0.62152777777777779</v>
      </c>
      <c r="R60" s="181">
        <v>0.66319444444444442</v>
      </c>
      <c r="S60" s="20">
        <f t="shared" si="20"/>
        <v>7.9861111111111049E-2</v>
      </c>
      <c r="T60" s="183">
        <v>321</v>
      </c>
      <c r="U60" s="199">
        <v>3</v>
      </c>
      <c r="V60" s="27">
        <v>0.30902777777777779</v>
      </c>
      <c r="W60" s="28">
        <f t="shared" si="18"/>
        <v>2.430555555555558E-2</v>
      </c>
      <c r="X60" s="29">
        <v>0.75</v>
      </c>
      <c r="Y60" s="30">
        <f t="shared" si="19"/>
        <v>3.2638888888888884E-2</v>
      </c>
    </row>
    <row r="61" spans="2:25" ht="24" customHeight="1" thickBot="1" x14ac:dyDescent="0.35">
      <c r="B61" s="316"/>
      <c r="C61" s="315"/>
      <c r="D61" s="445" t="s">
        <v>94</v>
      </c>
      <c r="E61" s="446"/>
      <c r="F61" s="446"/>
      <c r="G61" s="446"/>
      <c r="H61" s="446"/>
      <c r="I61" s="447"/>
      <c r="J61" s="448" t="s">
        <v>95</v>
      </c>
      <c r="K61" s="449"/>
      <c r="L61" s="449"/>
      <c r="M61" s="449"/>
      <c r="N61" s="449"/>
      <c r="O61" s="450"/>
      <c r="P61" s="448" t="s">
        <v>95</v>
      </c>
      <c r="Q61" s="449"/>
      <c r="R61" s="449"/>
      <c r="S61" s="449"/>
      <c r="T61" s="449"/>
      <c r="U61" s="450"/>
      <c r="V61" s="27">
        <v>0.38263888888888892</v>
      </c>
      <c r="W61" s="28">
        <f t="shared" si="18"/>
        <v>7.3611111111111127E-2</v>
      </c>
      <c r="X61" s="29">
        <v>0.78263888888888888</v>
      </c>
      <c r="Y61" s="30">
        <f t="shared" si="19"/>
        <v>3.2638888888888884E-2</v>
      </c>
    </row>
    <row r="62" spans="2:25" ht="24" customHeight="1" thickBot="1" x14ac:dyDescent="0.3">
      <c r="B62" s="316"/>
      <c r="C62" s="36" t="s">
        <v>17</v>
      </c>
      <c r="D62" s="37">
        <f>MAX(E56:F60)-IF(D56="",E56,D56)-MIN(H56:H60)+$C54</f>
        <v>0.29166666666666669</v>
      </c>
      <c r="E62" s="38"/>
      <c r="F62" s="38"/>
      <c r="G62" s="39"/>
      <c r="H62" s="40">
        <f ca="1">OFFSET(H55,MATCH(MIN(H56:H60),H56:H60,0),-4)-IF(D56="",E56,D56)+$C54</f>
        <v>0.20138888888888895</v>
      </c>
      <c r="I62" s="41"/>
      <c r="J62" s="37">
        <f>MAX(K56:L60)-IF(J56="",K56,J56)-MIN(N56:N60)+$C53</f>
        <v>0.37222222222222212</v>
      </c>
      <c r="K62" s="38"/>
      <c r="L62" s="38"/>
      <c r="M62" s="39"/>
      <c r="N62" s="40">
        <f ca="1">OFFSET(N55,MATCH(MIN(N56:N60),N56:N60,0),-4)-IF(J56="",K56,J56)+$C53</f>
        <v>0.19097222222222218</v>
      </c>
      <c r="O62" s="41"/>
      <c r="P62" s="37">
        <f>MAX(Q56:R60)-IF(P56="",Q56,P56)-MIN(T56:T60)+$C53</f>
        <v>0.37986111111111109</v>
      </c>
      <c r="Q62" s="38"/>
      <c r="R62" s="38"/>
      <c r="S62" s="39"/>
      <c r="T62" s="40">
        <f ca="1">OFFSET(T55,MATCH(MIN(T56:T60),T56:T60,0),-4)-IF(P56="",Q56,P56)+$C53</f>
        <v>9.9305555555555577E-2</v>
      </c>
      <c r="U62" s="41"/>
      <c r="V62" s="27">
        <v>0.42430555555555549</v>
      </c>
      <c r="W62" s="28">
        <f t="shared" si="18"/>
        <v>4.1666666666666574E-2</v>
      </c>
      <c r="X62" s="29">
        <v>0.85972222222222228</v>
      </c>
      <c r="Y62" s="30">
        <f t="shared" si="19"/>
        <v>7.7083333333333393E-2</v>
      </c>
    </row>
    <row r="63" spans="2:25" ht="24" customHeight="1" thickBot="1" x14ac:dyDescent="0.3">
      <c r="B63" s="316"/>
      <c r="C63" s="136">
        <v>1.0416666666666666E-2</v>
      </c>
      <c r="D63" s="9" t="s">
        <v>18</v>
      </c>
      <c r="E63" s="7"/>
      <c r="F63" s="7"/>
      <c r="G63" s="7"/>
      <c r="H63" s="7"/>
      <c r="I63" s="8"/>
      <c r="J63" s="9"/>
      <c r="K63" s="7"/>
      <c r="L63" s="7"/>
      <c r="M63" s="7"/>
      <c r="N63" s="7"/>
      <c r="O63" s="8"/>
      <c r="P63" s="9"/>
      <c r="Q63" s="7"/>
      <c r="R63" s="7"/>
      <c r="S63" s="7"/>
      <c r="T63" s="7"/>
      <c r="U63" s="8"/>
      <c r="V63" s="27">
        <v>0.45902777777777781</v>
      </c>
      <c r="W63" s="28">
        <f t="shared" si="18"/>
        <v>3.4722222222222321E-2</v>
      </c>
      <c r="X63" s="29">
        <v>0.90555555555555556</v>
      </c>
      <c r="Y63" s="30">
        <f t="shared" si="19"/>
        <v>4.5833333333333282E-2</v>
      </c>
    </row>
    <row r="64" spans="2:25" ht="24" customHeight="1" thickBot="1" x14ac:dyDescent="0.3">
      <c r="B64" s="316"/>
      <c r="C64" s="136">
        <v>2.0833333333333332E-2</v>
      </c>
      <c r="D64" s="9" t="s">
        <v>19</v>
      </c>
      <c r="E64" s="7"/>
      <c r="F64" s="7"/>
      <c r="G64" s="7"/>
      <c r="H64" s="7"/>
      <c r="I64" s="8"/>
      <c r="J64" s="9" t="s">
        <v>20</v>
      </c>
      <c r="K64" s="7"/>
      <c r="L64" s="7"/>
      <c r="M64" s="7"/>
      <c r="N64" s="7"/>
      <c r="O64" s="7"/>
      <c r="P64" s="9" t="s">
        <v>21</v>
      </c>
      <c r="Q64" s="7"/>
      <c r="R64" s="7"/>
      <c r="S64" s="7"/>
      <c r="T64" s="7"/>
      <c r="U64" s="8"/>
      <c r="V64" s="27">
        <v>0.48680555555555549</v>
      </c>
      <c r="W64" s="28">
        <f t="shared" si="18"/>
        <v>2.7777777777777679E-2</v>
      </c>
      <c r="X64" s="29">
        <v>0.95138888888888884</v>
      </c>
      <c r="Y64" s="30">
        <f t="shared" si="19"/>
        <v>4.5833333333333282E-2</v>
      </c>
    </row>
    <row r="65" spans="2:25" ht="24" customHeight="1" thickBot="1" x14ac:dyDescent="0.3">
      <c r="B65" s="316"/>
      <c r="C65" s="302" t="s">
        <v>7</v>
      </c>
      <c r="D65" s="13" t="s">
        <v>8</v>
      </c>
      <c r="E65" s="14" t="s">
        <v>9</v>
      </c>
      <c r="F65" s="15" t="s">
        <v>10</v>
      </c>
      <c r="G65" s="14" t="s">
        <v>11</v>
      </c>
      <c r="H65" s="15" t="s">
        <v>12</v>
      </c>
      <c r="I65" s="14" t="s">
        <v>13</v>
      </c>
      <c r="J65" s="15" t="s">
        <v>8</v>
      </c>
      <c r="K65" s="14" t="s">
        <v>9</v>
      </c>
      <c r="L65" s="15" t="s">
        <v>10</v>
      </c>
      <c r="M65" s="14" t="s">
        <v>11</v>
      </c>
      <c r="N65" s="15" t="s">
        <v>12</v>
      </c>
      <c r="O65" s="13" t="s">
        <v>13</v>
      </c>
      <c r="P65" s="13" t="s">
        <v>8</v>
      </c>
      <c r="Q65" s="14" t="s">
        <v>9</v>
      </c>
      <c r="R65" s="15" t="s">
        <v>10</v>
      </c>
      <c r="S65" s="14" t="s">
        <v>11</v>
      </c>
      <c r="T65" s="15" t="s">
        <v>12</v>
      </c>
      <c r="U65" s="14" t="s">
        <v>13</v>
      </c>
      <c r="V65" s="27">
        <v>0.55555555555555558</v>
      </c>
      <c r="W65" s="28">
        <f t="shared" si="18"/>
        <v>6.8750000000000089E-2</v>
      </c>
      <c r="X65" s="63">
        <v>1</v>
      </c>
      <c r="Y65" s="30">
        <f t="shared" si="19"/>
        <v>4.861111111111116E-2</v>
      </c>
    </row>
    <row r="66" spans="2:25" ht="24" customHeight="1" thickBot="1" x14ac:dyDescent="0.3">
      <c r="B66" s="316"/>
      <c r="C66" s="303"/>
      <c r="D66" s="23">
        <v>0.62083333333333335</v>
      </c>
      <c r="E66" s="25">
        <v>0.65833333333333333</v>
      </c>
      <c r="F66" s="25">
        <v>0.70763888888888893</v>
      </c>
      <c r="G66" s="20">
        <f t="shared" ref="G66:G67" si="22">F66-D66</f>
        <v>8.680555555555558E-2</v>
      </c>
      <c r="H66" s="56">
        <v>321</v>
      </c>
      <c r="I66" s="48">
        <v>1</v>
      </c>
      <c r="J66" s="23">
        <v>0.64513888888888893</v>
      </c>
      <c r="K66" s="25">
        <v>0.68541666666666667</v>
      </c>
      <c r="L66" s="25">
        <v>0.7319444444444444</v>
      </c>
      <c r="M66" s="20">
        <f t="shared" ref="M66:M67" si="23">L66-J66</f>
        <v>8.6805555555555469E-2</v>
      </c>
      <c r="N66" s="56">
        <v>321</v>
      </c>
      <c r="O66" s="57">
        <v>2</v>
      </c>
      <c r="P66" s="23">
        <v>0.68472222222222223</v>
      </c>
      <c r="Q66" s="25">
        <v>0.72291666666666665</v>
      </c>
      <c r="R66" s="25">
        <v>0.77152777777777781</v>
      </c>
      <c r="S66" s="20">
        <f t="shared" ref="S66:S67" si="24">R66-P66</f>
        <v>8.680555555555558E-2</v>
      </c>
      <c r="T66" s="56">
        <v>321</v>
      </c>
      <c r="U66" s="48">
        <v>3</v>
      </c>
      <c r="V66" s="43">
        <v>0.58333333333333337</v>
      </c>
      <c r="W66" s="44">
        <f t="shared" si="18"/>
        <v>2.777777777777779E-2</v>
      </c>
      <c r="X66" s="65">
        <v>1.0416666666666667</v>
      </c>
      <c r="Y66" s="46">
        <f t="shared" si="19"/>
        <v>4.1666666666666741E-2</v>
      </c>
    </row>
    <row r="67" spans="2:25" ht="24" customHeight="1" thickBot="1" x14ac:dyDescent="0.3">
      <c r="B67" s="316"/>
      <c r="C67" s="303"/>
      <c r="D67" s="27">
        <v>0.71736111111111112</v>
      </c>
      <c r="E67" s="29">
        <v>0.75624999999999998</v>
      </c>
      <c r="F67" s="29">
        <v>0.80833333333333335</v>
      </c>
      <c r="G67" s="20">
        <f t="shared" si="22"/>
        <v>9.0972222222222232E-2</v>
      </c>
      <c r="H67" s="58">
        <v>321</v>
      </c>
      <c r="I67" s="50">
        <v>1</v>
      </c>
      <c r="J67" s="27">
        <v>0.75</v>
      </c>
      <c r="K67" s="29">
        <v>0.79166666666666663</v>
      </c>
      <c r="L67" s="29">
        <v>0.84027777777777779</v>
      </c>
      <c r="M67" s="20">
        <f t="shared" si="23"/>
        <v>9.027777777777779E-2</v>
      </c>
      <c r="N67" s="58">
        <v>321</v>
      </c>
      <c r="O67" s="64">
        <v>2</v>
      </c>
      <c r="P67" s="27">
        <v>0.78263888888888888</v>
      </c>
      <c r="Q67" s="29">
        <v>0.82152777777777775</v>
      </c>
      <c r="R67" s="29">
        <v>0.87152777777777779</v>
      </c>
      <c r="S67" s="20">
        <f t="shared" si="24"/>
        <v>8.8888888888888906E-2</v>
      </c>
      <c r="T67" s="58">
        <v>321</v>
      </c>
      <c r="U67" s="50">
        <v>3</v>
      </c>
    </row>
    <row r="68" spans="2:25" ht="24" customHeight="1" thickBot="1" x14ac:dyDescent="0.3">
      <c r="B68" s="316"/>
      <c r="C68" s="303"/>
      <c r="D68" s="31">
        <f>IF(F67="",E67,F67)</f>
        <v>0.80833333333333335</v>
      </c>
      <c r="E68" s="32"/>
      <c r="F68" s="31">
        <f>IF(D69="",E69,D69)</f>
        <v>0.85972222222222228</v>
      </c>
      <c r="G68" s="32"/>
      <c r="H68" s="32">
        <f>F68-D68</f>
        <v>5.1388888888888928E-2</v>
      </c>
      <c r="I68" s="32"/>
      <c r="J68" s="31">
        <f>IF(L67="",K67,L67)</f>
        <v>0.84027777777777779</v>
      </c>
      <c r="K68" s="32"/>
      <c r="L68" s="31">
        <f>IF(J69="",K69,J69)</f>
        <v>0.90555555555555556</v>
      </c>
      <c r="M68" s="32"/>
      <c r="N68" s="32">
        <f>L68-J68</f>
        <v>6.5277777777777768E-2</v>
      </c>
      <c r="O68" s="32"/>
      <c r="P68" s="31">
        <f>IF(R67="",Q67,R67)</f>
        <v>0.87152777777777779</v>
      </c>
      <c r="Q68" s="32"/>
      <c r="R68" s="31">
        <f>IF(P69="",Q69,P69)</f>
        <v>0.95138888888888884</v>
      </c>
      <c r="S68" s="32"/>
      <c r="T68" s="32">
        <f>R68-P68</f>
        <v>7.9861111111111049E-2</v>
      </c>
      <c r="U68" s="32"/>
    </row>
    <row r="69" spans="2:25" ht="24" customHeight="1" x14ac:dyDescent="0.25">
      <c r="B69" s="316"/>
      <c r="C69" s="303"/>
      <c r="D69" s="27">
        <v>0.85972222222222228</v>
      </c>
      <c r="E69" s="29">
        <v>0.89097222222222228</v>
      </c>
      <c r="F69" s="29">
        <v>0.93125000000000002</v>
      </c>
      <c r="G69" s="20">
        <f>F69-D69</f>
        <v>7.1527777777777746E-2</v>
      </c>
      <c r="H69" s="58">
        <v>321</v>
      </c>
      <c r="I69" s="50">
        <v>1</v>
      </c>
      <c r="J69" s="27">
        <v>0.90555555555555556</v>
      </c>
      <c r="K69" s="29">
        <v>0.92708333333333337</v>
      </c>
      <c r="L69" s="29">
        <v>0.97569444444444442</v>
      </c>
      <c r="M69" s="20">
        <f t="shared" ref="M69:M70" si="25">L69-J69</f>
        <v>7.0138888888888862E-2</v>
      </c>
      <c r="N69" s="58">
        <v>321</v>
      </c>
      <c r="O69" s="64">
        <v>2</v>
      </c>
      <c r="P69" s="27">
        <v>0.95138888888888884</v>
      </c>
      <c r="Q69" s="29">
        <v>0.98263888888888884</v>
      </c>
      <c r="R69" s="29">
        <v>1.0208333333333333</v>
      </c>
      <c r="S69" s="20">
        <f t="shared" ref="S69:S70" si="26">R69-P69</f>
        <v>6.944444444444442E-2</v>
      </c>
      <c r="T69" s="58">
        <v>321</v>
      </c>
      <c r="U69" s="50">
        <v>3</v>
      </c>
    </row>
    <row r="70" spans="2:25" ht="24" customHeight="1" thickBot="1" x14ac:dyDescent="0.3">
      <c r="B70" s="316"/>
      <c r="C70" s="303"/>
      <c r="D70" s="27"/>
      <c r="E70" s="29"/>
      <c r="F70" s="29"/>
      <c r="G70" s="194"/>
      <c r="H70" s="58"/>
      <c r="I70" s="50"/>
      <c r="J70" s="59">
        <v>1</v>
      </c>
      <c r="K70" s="60">
        <v>1.0298611111111111</v>
      </c>
      <c r="L70" s="60">
        <v>1.0645833333333334</v>
      </c>
      <c r="M70" s="20">
        <f t="shared" si="25"/>
        <v>6.4583333333333437E-2</v>
      </c>
      <c r="N70" s="61">
        <v>321</v>
      </c>
      <c r="O70" s="67">
        <v>2</v>
      </c>
      <c r="P70" s="59">
        <v>1.0416666666666667</v>
      </c>
      <c r="Q70" s="60">
        <v>1.0715277777777779</v>
      </c>
      <c r="R70" s="60">
        <v>1.10625</v>
      </c>
      <c r="S70" s="20">
        <f t="shared" si="26"/>
        <v>6.4583333333333215E-2</v>
      </c>
      <c r="T70" s="61">
        <v>321</v>
      </c>
      <c r="U70" s="62">
        <v>3</v>
      </c>
    </row>
    <row r="71" spans="2:25" ht="24" customHeight="1" thickBot="1" x14ac:dyDescent="0.35">
      <c r="B71" s="316"/>
      <c r="C71" s="304"/>
      <c r="D71" s="445" t="s">
        <v>94</v>
      </c>
      <c r="E71" s="446"/>
      <c r="F71" s="446"/>
      <c r="G71" s="446"/>
      <c r="H71" s="446"/>
      <c r="I71" s="447"/>
      <c r="J71" s="448" t="s">
        <v>95</v>
      </c>
      <c r="K71" s="449"/>
      <c r="L71" s="449"/>
      <c r="M71" s="449"/>
      <c r="N71" s="449"/>
      <c r="O71" s="450"/>
      <c r="P71" s="448" t="s">
        <v>95</v>
      </c>
      <c r="Q71" s="449"/>
      <c r="R71" s="449"/>
      <c r="S71" s="449"/>
      <c r="T71" s="449"/>
      <c r="U71" s="450"/>
    </row>
    <row r="72" spans="2:25" ht="24" customHeight="1" thickBot="1" x14ac:dyDescent="0.3">
      <c r="B72" s="317"/>
      <c r="C72" s="36" t="s">
        <v>17</v>
      </c>
      <c r="D72" s="37">
        <f>MAX(E66:F70)-IF(D66="",E66,D66)-MIN(H66:H70)+$C64</f>
        <v>0.27986111111111106</v>
      </c>
      <c r="E72" s="51"/>
      <c r="F72" s="51"/>
      <c r="G72" s="52"/>
      <c r="H72" s="53">
        <f ca="1">OFFSET(H65,MATCH(MIN(H66:H70),H66:H70,0),-4)-IF(D66="",E66,D66)</f>
        <v>0.1875</v>
      </c>
      <c r="I72" s="54"/>
      <c r="J72" s="37">
        <f>MAX(K66:L70)-IF(J66="",K66,J66)-MIN(N66:N70)+$C63</f>
        <v>0.36458333333333343</v>
      </c>
      <c r="K72" s="38"/>
      <c r="L72" s="38"/>
      <c r="M72" s="39"/>
      <c r="N72" s="53">
        <f ca="1">OFFSET(N65,MATCH(MIN(N66:N70),N66:N70,0),-4)-IF(J66="",K66,J66)</f>
        <v>0.19513888888888886</v>
      </c>
      <c r="O72" s="41"/>
      <c r="P72" s="37">
        <f>MAX(Q66:R70)-IF(P66="",Q66,P66)-MIN(T66:T70)+$C63</f>
        <v>0.35208333333333336</v>
      </c>
      <c r="Q72" s="38"/>
      <c r="R72" s="38"/>
      <c r="S72" s="39"/>
      <c r="T72" s="53">
        <f ca="1">OFFSET(T65,MATCH(MIN(T66:T70),T66:T70,0),-4)-IF(P66="",Q66,P66)</f>
        <v>0.18680555555555556</v>
      </c>
      <c r="U72" s="41"/>
    </row>
  </sheetData>
  <mergeCells count="27">
    <mergeCell ref="B52:B72"/>
    <mergeCell ref="C55:C61"/>
    <mergeCell ref="D61:I61"/>
    <mergeCell ref="J61:O61"/>
    <mergeCell ref="P61:U61"/>
    <mergeCell ref="C65:C71"/>
    <mergeCell ref="D71:I71"/>
    <mergeCell ref="J71:O71"/>
    <mergeCell ref="P71:U71"/>
    <mergeCell ref="B27:B47"/>
    <mergeCell ref="C30:C36"/>
    <mergeCell ref="D36:I36"/>
    <mergeCell ref="J36:O36"/>
    <mergeCell ref="P36:U36"/>
    <mergeCell ref="C40:C46"/>
    <mergeCell ref="D46:I46"/>
    <mergeCell ref="J46:O46"/>
    <mergeCell ref="P46:U46"/>
    <mergeCell ref="B2:B22"/>
    <mergeCell ref="C5:C11"/>
    <mergeCell ref="D11:I11"/>
    <mergeCell ref="J11:O11"/>
    <mergeCell ref="P11:U11"/>
    <mergeCell ref="C15:C21"/>
    <mergeCell ref="D21:I21"/>
    <mergeCell ref="J21:O21"/>
    <mergeCell ref="P21:U21"/>
  </mergeCells>
  <conditionalFormatting sqref="D4">
    <cfRule type="colorScale" priority="15">
      <colorScale>
        <cfvo type="min"/>
        <cfvo type="max"/>
        <color rgb="FFFF7128"/>
        <color rgb="FFFFEF9C"/>
      </colorScale>
    </cfRule>
  </conditionalFormatting>
  <conditionalFormatting sqref="D29">
    <cfRule type="colorScale" priority="10">
      <colorScale>
        <cfvo type="min"/>
        <cfvo type="max"/>
        <color rgb="FFFF7128"/>
        <color rgb="FFFFEF9C"/>
      </colorScale>
    </cfRule>
  </conditionalFormatting>
  <conditionalFormatting sqref="D54">
    <cfRule type="colorScale" priority="5">
      <colorScale>
        <cfvo type="min"/>
        <cfvo type="max"/>
        <color rgb="FFFF7128"/>
        <color rgb="FFFFEF9C"/>
      </colorScale>
    </cfRule>
  </conditionalFormatting>
  <conditionalFormatting sqref="D4:I4">
    <cfRule type="expression" dxfId="28" priority="13" stopIfTrue="1">
      <formula>LEN($D4)=14</formula>
    </cfRule>
  </conditionalFormatting>
  <conditionalFormatting sqref="D29:I29">
    <cfRule type="expression" dxfId="27" priority="8" stopIfTrue="1">
      <formula>LEN($D29)=14</formula>
    </cfRule>
  </conditionalFormatting>
  <conditionalFormatting sqref="D54:I54">
    <cfRule type="expression" dxfId="26" priority="3" stopIfTrue="1">
      <formula>LEN($D54)=14</formula>
    </cfRule>
  </conditionalFormatting>
  <conditionalFormatting sqref="E4:I4">
    <cfRule type="notContainsBlanks" dxfId="25" priority="14">
      <formula>LEN(TRIM(E4))&gt;0</formula>
    </cfRule>
  </conditionalFormatting>
  <conditionalFormatting sqref="E29:I29">
    <cfRule type="notContainsBlanks" dxfId="24" priority="9">
      <formula>LEN(TRIM(E29))&gt;0</formula>
    </cfRule>
  </conditionalFormatting>
  <conditionalFormatting sqref="E54:I54">
    <cfRule type="notContainsBlanks" dxfId="23" priority="4">
      <formula>LEN(TRIM(E54))&gt;0</formula>
    </cfRule>
  </conditionalFormatting>
  <conditionalFormatting sqref="J4:O4">
    <cfRule type="expression" dxfId="22" priority="12">
      <formula>LEN($J4)=14</formula>
    </cfRule>
  </conditionalFormatting>
  <conditionalFormatting sqref="J29:O29">
    <cfRule type="expression" dxfId="21" priority="7">
      <formula>LEN($J29)=14</formula>
    </cfRule>
  </conditionalFormatting>
  <conditionalFormatting sqref="J54:O54">
    <cfRule type="expression" dxfId="20" priority="2">
      <formula>LEN($J54)=14</formula>
    </cfRule>
  </conditionalFormatting>
  <conditionalFormatting sqref="P4:U4">
    <cfRule type="expression" dxfId="19" priority="11">
      <formula>LEN($P4)=14</formula>
    </cfRule>
  </conditionalFormatting>
  <conditionalFormatting sqref="P29:U29">
    <cfRule type="expression" dxfId="18" priority="6">
      <formula>LEN($P29)=14</formula>
    </cfRule>
  </conditionalFormatting>
  <conditionalFormatting sqref="P54:U54">
    <cfRule type="expression" dxfId="17" priority="1">
      <formula>LEN($P54)=14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A262-C640-4771-A72E-5EB6D594FCEA}">
  <dimension ref="B1:BD951"/>
  <sheetViews>
    <sheetView zoomScale="70" zoomScaleNormal="70" workbookViewId="0">
      <selection activeCell="X16" sqref="X16"/>
    </sheetView>
  </sheetViews>
  <sheetFormatPr defaultColWidth="8.7109375" defaultRowHeight="24" customHeight="1" x14ac:dyDescent="0.25"/>
  <cols>
    <col min="1" max="16384" width="8.7109375" style="202"/>
  </cols>
  <sheetData>
    <row r="1" spans="2:56" ht="24" customHeight="1" thickBot="1" x14ac:dyDescent="0.3"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</row>
    <row r="2" spans="2:56" ht="24" customHeight="1" thickBot="1" x14ac:dyDescent="0.3">
      <c r="B2" s="295" t="s">
        <v>126</v>
      </c>
      <c r="C2" s="296" t="s">
        <v>127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4"/>
      <c r="V2" s="297" t="s">
        <v>128</v>
      </c>
      <c r="W2" s="287"/>
      <c r="X2" s="287"/>
      <c r="Y2" s="284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200"/>
      <c r="AX2" s="200"/>
      <c r="AY2" s="200"/>
      <c r="AZ2" s="200"/>
      <c r="BA2" s="200"/>
      <c r="BB2" s="200"/>
      <c r="BC2" s="200"/>
      <c r="BD2" s="200"/>
    </row>
    <row r="3" spans="2:56" ht="24" customHeight="1" thickBot="1" x14ac:dyDescent="0.3">
      <c r="B3" s="293"/>
      <c r="C3" s="289">
        <v>1.3888888888888888E-2</v>
      </c>
      <c r="D3" s="291" t="s">
        <v>2</v>
      </c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4"/>
      <c r="V3" s="298" t="s">
        <v>103</v>
      </c>
      <c r="W3" s="287"/>
      <c r="X3" s="287"/>
      <c r="Y3" s="284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</row>
    <row r="4" spans="2:56" ht="24" customHeight="1" thickBot="1" x14ac:dyDescent="0.3">
      <c r="B4" s="293"/>
      <c r="C4" s="290"/>
      <c r="D4" s="291" t="s">
        <v>4</v>
      </c>
      <c r="E4" s="287"/>
      <c r="F4" s="287"/>
      <c r="G4" s="287"/>
      <c r="H4" s="287"/>
      <c r="I4" s="284"/>
      <c r="J4" s="291" t="s">
        <v>5</v>
      </c>
      <c r="K4" s="287"/>
      <c r="L4" s="287"/>
      <c r="M4" s="287"/>
      <c r="N4" s="287"/>
      <c r="O4" s="284"/>
      <c r="P4" s="291" t="s">
        <v>6</v>
      </c>
      <c r="Q4" s="287"/>
      <c r="R4" s="287"/>
      <c r="S4" s="287"/>
      <c r="T4" s="287"/>
      <c r="U4" s="284"/>
      <c r="V4" s="297" t="str">
        <f>CONCATENATE(COUNT(V6:V16,X6:X16)," VIAGENS")</f>
        <v>22 VIAGENS</v>
      </c>
      <c r="W4" s="287"/>
      <c r="X4" s="287"/>
      <c r="Y4" s="284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0"/>
      <c r="BC4" s="200"/>
      <c r="BD4" s="200"/>
    </row>
    <row r="5" spans="2:56" ht="24" customHeight="1" thickBot="1" x14ac:dyDescent="0.3">
      <c r="B5" s="293"/>
      <c r="C5" s="299" t="s">
        <v>7</v>
      </c>
      <c r="D5" s="236" t="s">
        <v>8</v>
      </c>
      <c r="E5" s="237" t="s">
        <v>9</v>
      </c>
      <c r="F5" s="238" t="s">
        <v>10</v>
      </c>
      <c r="G5" s="237" t="s">
        <v>11</v>
      </c>
      <c r="H5" s="238" t="s">
        <v>12</v>
      </c>
      <c r="I5" s="237" t="s">
        <v>13</v>
      </c>
      <c r="J5" s="236" t="s">
        <v>8</v>
      </c>
      <c r="K5" s="237" t="s">
        <v>9</v>
      </c>
      <c r="L5" s="238" t="s">
        <v>10</v>
      </c>
      <c r="M5" s="237" t="s">
        <v>11</v>
      </c>
      <c r="N5" s="238" t="s">
        <v>12</v>
      </c>
      <c r="O5" s="237" t="s">
        <v>13</v>
      </c>
      <c r="P5" s="236" t="s">
        <v>8</v>
      </c>
      <c r="Q5" s="237" t="s">
        <v>9</v>
      </c>
      <c r="R5" s="238" t="s">
        <v>10</v>
      </c>
      <c r="S5" s="237" t="s">
        <v>11</v>
      </c>
      <c r="T5" s="238" t="s">
        <v>12</v>
      </c>
      <c r="U5" s="237" t="s">
        <v>13</v>
      </c>
      <c r="V5" s="203" t="s">
        <v>14</v>
      </c>
      <c r="W5" s="204" t="s">
        <v>15</v>
      </c>
      <c r="X5" s="203" t="s">
        <v>14</v>
      </c>
      <c r="Y5" s="204" t="s">
        <v>15</v>
      </c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</row>
    <row r="6" spans="2:56" ht="24" customHeight="1" x14ac:dyDescent="0.25">
      <c r="B6" s="293"/>
      <c r="C6" s="300"/>
      <c r="D6" s="239">
        <v>0.20833333333333329</v>
      </c>
      <c r="E6" s="240">
        <v>0.23125000000000001</v>
      </c>
      <c r="F6" s="240">
        <v>0.26319444444444445</v>
      </c>
      <c r="G6" s="241">
        <f t="shared" ref="G6:G8" si="0">F6-D6</f>
        <v>5.4861111111111166E-2</v>
      </c>
      <c r="H6" s="242">
        <v>324</v>
      </c>
      <c r="I6" s="243">
        <v>1</v>
      </c>
      <c r="J6" s="239">
        <v>0.25</v>
      </c>
      <c r="K6" s="240">
        <v>0.27500000000000002</v>
      </c>
      <c r="L6" s="240">
        <v>0.30972222222222218</v>
      </c>
      <c r="M6" s="241">
        <f t="shared" ref="M6:M8" si="1">L6-J6</f>
        <v>5.9722222222222177E-2</v>
      </c>
      <c r="N6" s="242">
        <v>324</v>
      </c>
      <c r="O6" s="243">
        <v>2</v>
      </c>
      <c r="P6" s="239">
        <v>0.30555555555555558</v>
      </c>
      <c r="Q6" s="240">
        <v>0.33263888888888887</v>
      </c>
      <c r="R6" s="240">
        <v>0.37013888888888891</v>
      </c>
      <c r="S6" s="241">
        <f t="shared" ref="S6:S8" si="2">R6-P6</f>
        <v>6.4583333333333326E-2</v>
      </c>
      <c r="T6" s="242">
        <v>324</v>
      </c>
      <c r="U6" s="243">
        <v>3</v>
      </c>
      <c r="V6" s="244">
        <v>0.20833333333333329</v>
      </c>
      <c r="W6" s="211"/>
      <c r="X6" s="245">
        <v>0.55555555555555558</v>
      </c>
      <c r="Y6" s="212">
        <f>X6-V16</f>
        <v>3.6111111111111094E-2</v>
      </c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</row>
    <row r="7" spans="2:56" ht="24" customHeight="1" x14ac:dyDescent="0.25">
      <c r="B7" s="293"/>
      <c r="C7" s="300"/>
      <c r="D7" s="239">
        <v>0.27777777777777779</v>
      </c>
      <c r="E7" s="240">
        <v>0.30138888888888887</v>
      </c>
      <c r="F7" s="240">
        <v>0.33611111111111108</v>
      </c>
      <c r="G7" s="241">
        <f t="shared" si="0"/>
        <v>5.8333333333333293E-2</v>
      </c>
      <c r="H7" s="242">
        <v>324</v>
      </c>
      <c r="I7" s="243">
        <v>1</v>
      </c>
      <c r="J7" s="239">
        <v>0.3298611111111111</v>
      </c>
      <c r="K7" s="240">
        <v>0.35416666666666669</v>
      </c>
      <c r="L7" s="240">
        <v>0.39097222222222222</v>
      </c>
      <c r="M7" s="241">
        <f t="shared" si="1"/>
        <v>6.1111111111111116E-2</v>
      </c>
      <c r="N7" s="242">
        <v>324</v>
      </c>
      <c r="O7" s="243">
        <v>2</v>
      </c>
      <c r="P7" s="239">
        <v>0.37847222222222221</v>
      </c>
      <c r="Q7" s="240">
        <v>0.40208333333333329</v>
      </c>
      <c r="R7" s="240">
        <v>0.44027777777777782</v>
      </c>
      <c r="S7" s="241">
        <f t="shared" si="2"/>
        <v>6.1805555555555614E-2</v>
      </c>
      <c r="T7" s="242">
        <v>324</v>
      </c>
      <c r="U7" s="243">
        <v>3</v>
      </c>
      <c r="V7" s="239">
        <v>0.25</v>
      </c>
      <c r="W7" s="218">
        <f t="shared" ref="W7:W16" si="3">V7-V6</f>
        <v>4.1666666666666713E-2</v>
      </c>
      <c r="X7" s="240">
        <v>0.57986111111111116</v>
      </c>
      <c r="Y7" s="219">
        <f t="shared" ref="Y7:Y16" si="4">X7-X6</f>
        <v>2.430555555555558E-2</v>
      </c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</row>
    <row r="8" spans="2:56" ht="24" customHeight="1" thickBot="1" x14ac:dyDescent="0.3">
      <c r="B8" s="293"/>
      <c r="C8" s="300"/>
      <c r="D8" s="239">
        <v>0.35416666666666669</v>
      </c>
      <c r="E8" s="240">
        <v>0.37847222222222221</v>
      </c>
      <c r="F8" s="240">
        <v>0.41111111111111109</v>
      </c>
      <c r="G8" s="241">
        <f t="shared" si="0"/>
        <v>5.6944444444444409E-2</v>
      </c>
      <c r="H8" s="242">
        <v>324</v>
      </c>
      <c r="I8" s="243">
        <v>1</v>
      </c>
      <c r="J8" s="239">
        <v>0.40625</v>
      </c>
      <c r="K8" s="240">
        <v>0.43194444444444452</v>
      </c>
      <c r="L8" s="240">
        <v>0.47083333333333333</v>
      </c>
      <c r="M8" s="241">
        <f t="shared" si="1"/>
        <v>6.4583333333333326E-2</v>
      </c>
      <c r="N8" s="242">
        <v>324</v>
      </c>
      <c r="O8" s="243">
        <v>2</v>
      </c>
      <c r="P8" s="239">
        <v>0.4513888888888889</v>
      </c>
      <c r="Q8" s="240">
        <v>0.47499999999999998</v>
      </c>
      <c r="R8" s="240">
        <v>0.51666666666666672</v>
      </c>
      <c r="S8" s="241">
        <f t="shared" si="2"/>
        <v>6.5277777777777823E-2</v>
      </c>
      <c r="T8" s="242">
        <v>324</v>
      </c>
      <c r="U8" s="243">
        <v>3</v>
      </c>
      <c r="V8" s="239">
        <v>0.27777777777777779</v>
      </c>
      <c r="W8" s="218">
        <f t="shared" si="3"/>
        <v>2.777777777777779E-2</v>
      </c>
      <c r="X8" s="240">
        <v>0.61805555555555558</v>
      </c>
      <c r="Y8" s="219">
        <f t="shared" si="4"/>
        <v>3.819444444444442E-2</v>
      </c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</row>
    <row r="9" spans="2:56" ht="24" customHeight="1" thickBot="1" x14ac:dyDescent="0.3">
      <c r="B9" s="293"/>
      <c r="C9" s="300"/>
      <c r="D9" s="283">
        <f>IF(F8="",E8,F8)</f>
        <v>0.41111111111111109</v>
      </c>
      <c r="E9" s="284"/>
      <c r="F9" s="283">
        <f>IF(D10="",E10,D10)</f>
        <v>0.47916666666666669</v>
      </c>
      <c r="G9" s="284"/>
      <c r="H9" s="285">
        <f>F9-D9</f>
        <v>6.8055555555555591E-2</v>
      </c>
      <c r="I9" s="284"/>
      <c r="J9" s="283">
        <f>IF(L8="",K8,L8)</f>
        <v>0.47083333333333333</v>
      </c>
      <c r="K9" s="284"/>
      <c r="L9" s="283">
        <f>IF(J10="",K10,J10)</f>
        <v>0.51944444444444449</v>
      </c>
      <c r="M9" s="284"/>
      <c r="N9" s="285">
        <f>L9-J9</f>
        <v>4.861111111111116E-2</v>
      </c>
      <c r="O9" s="284"/>
      <c r="P9" s="283">
        <f>IF(R8="",Q8,R8)</f>
        <v>0.51666666666666672</v>
      </c>
      <c r="Q9" s="284"/>
      <c r="R9" s="283">
        <f>IF(P10="",Q10,P10)</f>
        <v>0.57986111111111116</v>
      </c>
      <c r="S9" s="284"/>
      <c r="T9" s="285">
        <f>R9-P9</f>
        <v>6.3194444444444442E-2</v>
      </c>
      <c r="U9" s="287"/>
      <c r="V9" s="239">
        <v>0.30555555555555558</v>
      </c>
      <c r="W9" s="218">
        <f t="shared" si="3"/>
        <v>2.777777777777779E-2</v>
      </c>
      <c r="X9" s="240">
        <v>0.64236111111111116</v>
      </c>
      <c r="Y9" s="219">
        <f t="shared" si="4"/>
        <v>2.430555555555558E-2</v>
      </c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</row>
    <row r="10" spans="2:56" ht="24" customHeight="1" thickBot="1" x14ac:dyDescent="0.3">
      <c r="B10" s="293"/>
      <c r="C10" s="300"/>
      <c r="D10" s="239">
        <v>0.47916666666666669</v>
      </c>
      <c r="E10" s="240">
        <v>0.50486111111111109</v>
      </c>
      <c r="F10" s="240">
        <v>0.54166666666666663</v>
      </c>
      <c r="G10" s="241">
        <f>F10-D10</f>
        <v>6.2499999999999944E-2</v>
      </c>
      <c r="H10" s="242">
        <v>324</v>
      </c>
      <c r="I10" s="243">
        <v>1</v>
      </c>
      <c r="J10" s="239">
        <v>0.51944444444444449</v>
      </c>
      <c r="K10" s="240">
        <v>0.54374999999999996</v>
      </c>
      <c r="L10" s="240">
        <v>0.57847222222222228</v>
      </c>
      <c r="M10" s="241">
        <f>L10-J10</f>
        <v>5.902777777777779E-2</v>
      </c>
      <c r="N10" s="242">
        <v>324</v>
      </c>
      <c r="O10" s="243">
        <v>2</v>
      </c>
      <c r="P10" s="239">
        <v>0.57986111111111116</v>
      </c>
      <c r="Q10" s="240">
        <v>0.60347222222222219</v>
      </c>
      <c r="R10" s="240">
        <v>0.63958333333333328</v>
      </c>
      <c r="S10" s="241">
        <f>R10-P10</f>
        <v>5.9722222222222121E-2</v>
      </c>
      <c r="T10" s="242">
        <v>324</v>
      </c>
      <c r="U10" s="243">
        <v>3</v>
      </c>
      <c r="V10" s="239">
        <v>0.3298611111111111</v>
      </c>
      <c r="W10" s="218">
        <f t="shared" si="3"/>
        <v>2.4305555555555525E-2</v>
      </c>
      <c r="X10" s="240">
        <v>0.67361111111111116</v>
      </c>
      <c r="Y10" s="219">
        <f t="shared" si="4"/>
        <v>3.125E-2</v>
      </c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0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200"/>
      <c r="BD10" s="200"/>
    </row>
    <row r="11" spans="2:56" ht="24" customHeight="1" thickBot="1" x14ac:dyDescent="0.3">
      <c r="B11" s="293"/>
      <c r="C11" s="301"/>
      <c r="D11" s="286" t="s">
        <v>129</v>
      </c>
      <c r="E11" s="287"/>
      <c r="F11" s="287"/>
      <c r="G11" s="287"/>
      <c r="H11" s="287"/>
      <c r="I11" s="284"/>
      <c r="J11" s="286" t="s">
        <v>129</v>
      </c>
      <c r="K11" s="287"/>
      <c r="L11" s="287"/>
      <c r="M11" s="287"/>
      <c r="N11" s="287"/>
      <c r="O11" s="284"/>
      <c r="P11" s="286" t="s">
        <v>129</v>
      </c>
      <c r="Q11" s="287"/>
      <c r="R11" s="287"/>
      <c r="S11" s="287"/>
      <c r="T11" s="287"/>
      <c r="U11" s="287"/>
      <c r="V11" s="239">
        <v>0.35416666666666669</v>
      </c>
      <c r="W11" s="218">
        <f t="shared" si="3"/>
        <v>2.430555555555558E-2</v>
      </c>
      <c r="X11" s="240">
        <v>0.72222222222222221</v>
      </c>
      <c r="Y11" s="219">
        <f t="shared" si="4"/>
        <v>4.8611111111111049E-2</v>
      </c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</row>
    <row r="12" spans="2:56" ht="24" customHeight="1" thickBot="1" x14ac:dyDescent="0.3">
      <c r="B12" s="293"/>
      <c r="C12" s="247" t="s">
        <v>17</v>
      </c>
      <c r="D12" s="288">
        <f>MAX(E6:F10)-IF(D6="",E6,D6)-MIN(H6:H10)+$C3</f>
        <v>0.27916666666666667</v>
      </c>
      <c r="E12" s="287"/>
      <c r="F12" s="287"/>
      <c r="G12" s="284"/>
      <c r="H12" s="294">
        <f ca="1">OFFSET(H5,MATCH(MIN(H6:H10),H6:H10,0),-4)-IF(D6="",E6,D6)+$C3</f>
        <v>0.2166666666666667</v>
      </c>
      <c r="I12" s="284"/>
      <c r="J12" s="288">
        <f>MAX(K6:L10)-IF(J6="",K6,J6)-MIN(N6:N10)+$C3</f>
        <v>0.29375000000000001</v>
      </c>
      <c r="K12" s="287"/>
      <c r="L12" s="287"/>
      <c r="M12" s="284"/>
      <c r="N12" s="294">
        <f ca="1">OFFSET(N5,MATCH(MIN(N6:N10),N6:N10,0),-4)-IF(J6="",K6,J6)+$C3</f>
        <v>0.23472222222222222</v>
      </c>
      <c r="O12" s="284"/>
      <c r="P12" s="288">
        <f>MAX(Q6:R10)-IF(P6="",Q6,P6)-MIN(T6:T10)+$C3</f>
        <v>0.28472222222222215</v>
      </c>
      <c r="Q12" s="287"/>
      <c r="R12" s="287"/>
      <c r="S12" s="284"/>
      <c r="T12" s="294">
        <f ca="1">OFFSET(T5,MATCH(MIN(T6:T10),T6:T10,0),-4)-IF(P6="",Q6,P6)+$C3</f>
        <v>0.22500000000000003</v>
      </c>
      <c r="U12" s="287"/>
      <c r="V12" s="239">
        <v>0.37847222222222221</v>
      </c>
      <c r="W12" s="218">
        <f t="shared" si="3"/>
        <v>2.4305555555555525E-2</v>
      </c>
      <c r="X12" s="240">
        <v>0.74305555555555558</v>
      </c>
      <c r="Y12" s="219">
        <f t="shared" si="4"/>
        <v>2.083333333333337E-2</v>
      </c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</row>
    <row r="13" spans="2:56" ht="24" customHeight="1" thickBot="1" x14ac:dyDescent="0.3">
      <c r="B13" s="293"/>
      <c r="C13" s="289">
        <v>1.3888888888888888E-2</v>
      </c>
      <c r="D13" s="291" t="s">
        <v>18</v>
      </c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39">
        <v>0.40625</v>
      </c>
      <c r="W13" s="218">
        <f t="shared" si="3"/>
        <v>2.777777777777779E-2</v>
      </c>
      <c r="X13" s="240">
        <v>0.77083333333333337</v>
      </c>
      <c r="Y13" s="219">
        <f t="shared" si="4"/>
        <v>2.777777777777779E-2</v>
      </c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</row>
    <row r="14" spans="2:56" ht="24" customHeight="1" thickBot="1" x14ac:dyDescent="0.3">
      <c r="B14" s="293"/>
      <c r="C14" s="290"/>
      <c r="D14" s="291" t="s">
        <v>19</v>
      </c>
      <c r="E14" s="287"/>
      <c r="F14" s="287"/>
      <c r="G14" s="287"/>
      <c r="H14" s="287"/>
      <c r="I14" s="284"/>
      <c r="J14" s="291" t="s">
        <v>20</v>
      </c>
      <c r="K14" s="287"/>
      <c r="L14" s="287"/>
      <c r="M14" s="287"/>
      <c r="N14" s="287"/>
      <c r="O14" s="284"/>
      <c r="P14" s="291" t="s">
        <v>21</v>
      </c>
      <c r="Q14" s="287"/>
      <c r="R14" s="287"/>
      <c r="S14" s="287"/>
      <c r="T14" s="287"/>
      <c r="U14" s="287"/>
      <c r="V14" s="239">
        <v>0.4513888888888889</v>
      </c>
      <c r="W14" s="218">
        <f t="shared" si="3"/>
        <v>4.5138888888888895E-2</v>
      </c>
      <c r="X14" s="240">
        <v>0.8125</v>
      </c>
      <c r="Y14" s="219">
        <f t="shared" si="4"/>
        <v>4.166666666666663E-2</v>
      </c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</row>
    <row r="15" spans="2:56" ht="24" customHeight="1" thickBot="1" x14ac:dyDescent="0.3">
      <c r="B15" s="293"/>
      <c r="C15" s="292" t="s">
        <v>7</v>
      </c>
      <c r="D15" s="236" t="s">
        <v>8</v>
      </c>
      <c r="E15" s="237" t="s">
        <v>9</v>
      </c>
      <c r="F15" s="238" t="s">
        <v>10</v>
      </c>
      <c r="G15" s="237" t="s">
        <v>11</v>
      </c>
      <c r="H15" s="238" t="s">
        <v>12</v>
      </c>
      <c r="I15" s="237" t="s">
        <v>13</v>
      </c>
      <c r="J15" s="238" t="s">
        <v>8</v>
      </c>
      <c r="K15" s="237" t="s">
        <v>9</v>
      </c>
      <c r="L15" s="238" t="s">
        <v>10</v>
      </c>
      <c r="M15" s="237" t="s">
        <v>11</v>
      </c>
      <c r="N15" s="238" t="s">
        <v>12</v>
      </c>
      <c r="O15" s="237" t="s">
        <v>13</v>
      </c>
      <c r="P15" s="236" t="s">
        <v>8</v>
      </c>
      <c r="Q15" s="237" t="s">
        <v>9</v>
      </c>
      <c r="R15" s="238" t="s">
        <v>10</v>
      </c>
      <c r="S15" s="237" t="s">
        <v>11</v>
      </c>
      <c r="T15" s="238" t="s">
        <v>12</v>
      </c>
      <c r="U15" s="236" t="s">
        <v>13</v>
      </c>
      <c r="V15" s="239">
        <v>0.47916666666666669</v>
      </c>
      <c r="W15" s="218">
        <f t="shared" si="3"/>
        <v>2.777777777777779E-2</v>
      </c>
      <c r="X15" s="240">
        <v>0.86111111111111116</v>
      </c>
      <c r="Y15" s="219">
        <f t="shared" si="4"/>
        <v>4.861111111111116E-2</v>
      </c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</row>
    <row r="16" spans="2:56" ht="24" customHeight="1" thickBot="1" x14ac:dyDescent="0.3">
      <c r="B16" s="293"/>
      <c r="C16" s="293"/>
      <c r="D16" s="244">
        <v>0.55555555555555558</v>
      </c>
      <c r="E16" s="245">
        <v>0.57777777777777772</v>
      </c>
      <c r="F16" s="245">
        <v>0.60902777777777772</v>
      </c>
      <c r="G16" s="265">
        <f t="shared" ref="G16:G17" si="5">F16-D16</f>
        <v>5.3472222222222143E-2</v>
      </c>
      <c r="H16" s="250">
        <v>324</v>
      </c>
      <c r="I16" s="251">
        <v>1</v>
      </c>
      <c r="J16" s="244">
        <v>0.64236111111111116</v>
      </c>
      <c r="K16" s="245">
        <v>0.66874999999999996</v>
      </c>
      <c r="L16" s="245">
        <v>0.7055555555555556</v>
      </c>
      <c r="M16" s="265">
        <f>L16-J16</f>
        <v>6.3194444444444442E-2</v>
      </c>
      <c r="N16" s="250">
        <v>324</v>
      </c>
      <c r="O16" s="251">
        <v>2</v>
      </c>
      <c r="P16" s="244">
        <v>0.67361111111111116</v>
      </c>
      <c r="Q16" s="245">
        <v>0.6958333333333333</v>
      </c>
      <c r="R16" s="245">
        <v>0.7319444444444444</v>
      </c>
      <c r="S16" s="265">
        <f t="shared" ref="S16:S18" si="6">R16-P16</f>
        <v>5.8333333333333237E-2</v>
      </c>
      <c r="T16" s="250">
        <v>324</v>
      </c>
      <c r="U16" s="278">
        <v>3</v>
      </c>
      <c r="V16" s="248">
        <v>0.51944444444444449</v>
      </c>
      <c r="W16" s="231">
        <f t="shared" si="3"/>
        <v>4.0277777777777801E-2</v>
      </c>
      <c r="X16" s="249">
        <v>0.91666666666666663</v>
      </c>
      <c r="Y16" s="233">
        <f t="shared" si="4"/>
        <v>5.5555555555555469E-2</v>
      </c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</row>
    <row r="17" spans="2:56" ht="24" customHeight="1" thickBot="1" x14ac:dyDescent="0.3">
      <c r="B17" s="293"/>
      <c r="C17" s="293"/>
      <c r="D17" s="239">
        <v>0.61805555555555558</v>
      </c>
      <c r="E17" s="240">
        <v>0.63958333333333328</v>
      </c>
      <c r="F17" s="240">
        <v>0.67291666666666672</v>
      </c>
      <c r="G17" s="241">
        <f t="shared" si="5"/>
        <v>5.4861111111111138E-2</v>
      </c>
      <c r="H17" s="242">
        <v>324</v>
      </c>
      <c r="I17" s="252">
        <v>1</v>
      </c>
      <c r="J17" s="283">
        <f>IF(L16="",K16,L16)</f>
        <v>0.7055555555555556</v>
      </c>
      <c r="K17" s="284"/>
      <c r="L17" s="283">
        <f>IF(J18="",K18,J18)</f>
        <v>0.77083333333333337</v>
      </c>
      <c r="M17" s="284"/>
      <c r="N17" s="285">
        <f>L17-J17</f>
        <v>6.5277777777777768E-2</v>
      </c>
      <c r="O17" s="284"/>
      <c r="P17" s="239">
        <v>0.74305555555555558</v>
      </c>
      <c r="Q17" s="240">
        <v>0.76666666666666672</v>
      </c>
      <c r="R17" s="240">
        <v>0.8</v>
      </c>
      <c r="S17" s="241">
        <f t="shared" si="6"/>
        <v>5.6944444444444464E-2</v>
      </c>
      <c r="T17" s="242">
        <v>324</v>
      </c>
      <c r="U17" s="252">
        <v>3</v>
      </c>
      <c r="V17" s="200"/>
      <c r="W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</row>
    <row r="18" spans="2:56" ht="24" customHeight="1" thickBot="1" x14ac:dyDescent="0.3">
      <c r="B18" s="293"/>
      <c r="C18" s="293"/>
      <c r="D18" s="283">
        <f>IF(F17="",E17,F17)</f>
        <v>0.67291666666666672</v>
      </c>
      <c r="E18" s="284"/>
      <c r="F18" s="283">
        <f>IF(D19="",E19,D19)</f>
        <v>0.72222222222222221</v>
      </c>
      <c r="G18" s="284"/>
      <c r="H18" s="285">
        <f>F18-D18</f>
        <v>4.9305555555555491E-2</v>
      </c>
      <c r="I18" s="284"/>
      <c r="J18" s="239">
        <v>0.77083333333333337</v>
      </c>
      <c r="K18" s="240">
        <v>0.79652777777777772</v>
      </c>
      <c r="L18" s="240">
        <v>0.83194444444444449</v>
      </c>
      <c r="M18" s="241">
        <f t="shared" ref="M18:M19" si="7">L18-J18</f>
        <v>6.1111111111111116E-2</v>
      </c>
      <c r="N18" s="242">
        <v>324</v>
      </c>
      <c r="O18" s="252">
        <v>2</v>
      </c>
      <c r="P18" s="239">
        <v>0.8125</v>
      </c>
      <c r="Q18" s="240">
        <v>0.8354166666666667</v>
      </c>
      <c r="R18" s="240">
        <v>0.87013888888888891</v>
      </c>
      <c r="S18" s="241">
        <f t="shared" si="6"/>
        <v>5.7638888888888906E-2</v>
      </c>
      <c r="T18" s="242">
        <v>324</v>
      </c>
      <c r="U18" s="252">
        <v>3</v>
      </c>
      <c r="V18" s="200"/>
      <c r="W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</row>
    <row r="19" spans="2:56" ht="24" customHeight="1" thickBot="1" x14ac:dyDescent="0.3">
      <c r="B19" s="293"/>
      <c r="C19" s="293"/>
      <c r="D19" s="239">
        <v>0.72222222222222221</v>
      </c>
      <c r="E19" s="240">
        <v>0.74513888888888891</v>
      </c>
      <c r="F19" s="240">
        <v>0.78125</v>
      </c>
      <c r="G19" s="241">
        <f>F19-D19</f>
        <v>5.902777777777779E-2</v>
      </c>
      <c r="H19" s="242">
        <v>324</v>
      </c>
      <c r="I19" s="252">
        <v>1</v>
      </c>
      <c r="J19" s="239">
        <v>0.86111111111111116</v>
      </c>
      <c r="K19" s="240">
        <v>0.88194444444444442</v>
      </c>
      <c r="L19" s="240">
        <v>0.91666666666666663</v>
      </c>
      <c r="M19" s="241">
        <f t="shared" si="7"/>
        <v>5.5555555555555469E-2</v>
      </c>
      <c r="N19" s="242">
        <v>324</v>
      </c>
      <c r="O19" s="252">
        <v>2</v>
      </c>
      <c r="P19" s="283">
        <f>IF(R18="",Q18,R18)</f>
        <v>0.87013888888888891</v>
      </c>
      <c r="Q19" s="284"/>
      <c r="R19" s="283">
        <f>IF(P20="",Q20,P20)</f>
        <v>0.91666666666666663</v>
      </c>
      <c r="S19" s="284"/>
      <c r="T19" s="285">
        <f>R19-P19</f>
        <v>4.6527777777777724E-2</v>
      </c>
      <c r="U19" s="284"/>
      <c r="V19" s="200"/>
      <c r="W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</row>
    <row r="20" spans="2:56" ht="24" customHeight="1" thickBot="1" x14ac:dyDescent="0.3">
      <c r="B20" s="293"/>
      <c r="C20" s="293"/>
      <c r="D20" s="239"/>
      <c r="E20" s="240"/>
      <c r="F20" s="240"/>
      <c r="G20" s="241"/>
      <c r="H20" s="242"/>
      <c r="I20" s="252"/>
      <c r="J20" s="239"/>
      <c r="K20" s="240"/>
      <c r="L20" s="240"/>
      <c r="M20" s="241"/>
      <c r="N20" s="242"/>
      <c r="O20" s="252"/>
      <c r="P20" s="239">
        <v>0.91666666666666663</v>
      </c>
      <c r="Q20" s="240">
        <v>0.93680555555555556</v>
      </c>
      <c r="R20" s="240">
        <v>0.96736111111111112</v>
      </c>
      <c r="S20" s="241">
        <f>R20-P20</f>
        <v>5.0694444444444486E-2</v>
      </c>
      <c r="T20" s="242">
        <v>324</v>
      </c>
      <c r="U20" s="252">
        <v>3</v>
      </c>
      <c r="V20" s="200"/>
      <c r="W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</row>
    <row r="21" spans="2:56" ht="24" customHeight="1" thickBot="1" x14ac:dyDescent="0.3">
      <c r="B21" s="293"/>
      <c r="C21" s="290"/>
      <c r="D21" s="286" t="s">
        <v>129</v>
      </c>
      <c r="E21" s="287"/>
      <c r="F21" s="287"/>
      <c r="G21" s="287"/>
      <c r="H21" s="287"/>
      <c r="I21" s="284"/>
      <c r="J21" s="286" t="s">
        <v>129</v>
      </c>
      <c r="K21" s="287"/>
      <c r="L21" s="287"/>
      <c r="M21" s="287"/>
      <c r="N21" s="287"/>
      <c r="O21" s="284"/>
      <c r="P21" s="286" t="s">
        <v>129</v>
      </c>
      <c r="Q21" s="287"/>
      <c r="R21" s="287"/>
      <c r="S21" s="287"/>
      <c r="T21" s="287"/>
      <c r="U21" s="284"/>
      <c r="V21" s="246"/>
      <c r="W21" s="246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</row>
    <row r="22" spans="2:56" ht="24" customHeight="1" thickBot="1" x14ac:dyDescent="0.3">
      <c r="B22" s="290"/>
      <c r="C22" s="247" t="s">
        <v>17</v>
      </c>
      <c r="D22" s="288">
        <f>MAX(E16:F20)-IF(D16="",E16,D16)-MIN(H16:H20)+$C13</f>
        <v>0.19027777777777782</v>
      </c>
      <c r="E22" s="287"/>
      <c r="F22" s="287"/>
      <c r="G22" s="284"/>
      <c r="H22" s="281">
        <f ca="1">OFFSET(H15,MATCH(MIN(H16:H20),H16:H20,0),-4)-IF(D16="",E16,D16)</f>
        <v>0.11736111111111114</v>
      </c>
      <c r="I22" s="282"/>
      <c r="J22" s="288">
        <f>MAX(K16:L20)-IF(J16="",K16,J16)-MIN(N16:N20)+$C13</f>
        <v>0.2229166666666666</v>
      </c>
      <c r="K22" s="287"/>
      <c r="L22" s="287"/>
      <c r="M22" s="284"/>
      <c r="N22" s="281">
        <f ca="1">OFFSET(N15,MATCH(MIN(N16:N20),N16:N20,0),-4)-IF(J16="",K16,J16)</f>
        <v>6.3194444444444442E-2</v>
      </c>
      <c r="O22" s="282"/>
      <c r="P22" s="288">
        <f>MAX(Q16:R20)-IF(P16="",Q16,P16)-MIN(T16:T20)+$C13</f>
        <v>0.26111111111111113</v>
      </c>
      <c r="Q22" s="287"/>
      <c r="R22" s="287"/>
      <c r="S22" s="284"/>
      <c r="T22" s="281">
        <f ca="1">OFFSET(T15,MATCH(MIN(T16:T20),T16:T20,0),-4)-IF(P16="",Q16,P16)</f>
        <v>0.19652777777777775</v>
      </c>
      <c r="U22" s="282"/>
      <c r="V22" s="200"/>
      <c r="W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</row>
    <row r="23" spans="2:56" ht="24" customHeight="1" x14ac:dyDescent="0.25"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</row>
    <row r="24" spans="2:56" ht="24" customHeight="1" x14ac:dyDescent="0.25"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</row>
    <row r="25" spans="2:56" ht="24" customHeight="1" x14ac:dyDescent="0.25"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</row>
    <row r="26" spans="2:56" ht="24" customHeight="1" x14ac:dyDescent="0.25"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0"/>
      <c r="BA26" s="200"/>
      <c r="BB26" s="200"/>
      <c r="BC26" s="200"/>
      <c r="BD26" s="200"/>
    </row>
    <row r="27" spans="2:56" ht="24" customHeight="1" x14ac:dyDescent="0.25">
      <c r="AF27" s="200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AX27" s="200"/>
      <c r="AY27" s="200"/>
      <c r="AZ27" s="200"/>
      <c r="BA27" s="200"/>
      <c r="BB27" s="200"/>
      <c r="BC27" s="200"/>
      <c r="BD27" s="200"/>
    </row>
    <row r="28" spans="2:56" ht="24" customHeight="1" x14ac:dyDescent="0.25"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0"/>
      <c r="AX28" s="200"/>
      <c r="AY28" s="200"/>
      <c r="AZ28" s="200"/>
      <c r="BA28" s="200"/>
      <c r="BB28" s="200"/>
      <c r="BC28" s="200"/>
      <c r="BD28" s="200"/>
    </row>
    <row r="29" spans="2:56" ht="24" customHeight="1" x14ac:dyDescent="0.25">
      <c r="AF29" s="200"/>
      <c r="AG29" s="200"/>
      <c r="AH29" s="200"/>
      <c r="AI29" s="200"/>
      <c r="AJ29" s="200"/>
      <c r="AK29" s="200"/>
      <c r="AL29" s="200"/>
      <c r="AM29" s="200"/>
      <c r="AN29" s="200"/>
      <c r="AO29" s="200"/>
      <c r="AP29" s="200"/>
      <c r="AQ29" s="200"/>
      <c r="AR29" s="200"/>
      <c r="AS29" s="200"/>
      <c r="AT29" s="200"/>
      <c r="AU29" s="200"/>
      <c r="AV29" s="200"/>
      <c r="AW29" s="200"/>
      <c r="AX29" s="200"/>
      <c r="AY29" s="200"/>
      <c r="AZ29" s="200"/>
      <c r="BA29" s="200"/>
      <c r="BB29" s="200"/>
      <c r="BC29" s="200"/>
      <c r="BD29" s="200"/>
    </row>
    <row r="30" spans="2:56" ht="24" customHeight="1" x14ac:dyDescent="0.25"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0"/>
      <c r="AZ30" s="200"/>
      <c r="BA30" s="200"/>
      <c r="BB30" s="200"/>
      <c r="BC30" s="200"/>
      <c r="BD30" s="200"/>
    </row>
    <row r="31" spans="2:56" ht="24" customHeight="1" x14ac:dyDescent="0.25"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0"/>
      <c r="BA31" s="200"/>
      <c r="BB31" s="200"/>
      <c r="BC31" s="200"/>
      <c r="BD31" s="200"/>
    </row>
    <row r="32" spans="2:56" ht="24" customHeight="1" x14ac:dyDescent="0.25"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0"/>
      <c r="AX32" s="200"/>
      <c r="AY32" s="200"/>
      <c r="AZ32" s="200"/>
      <c r="BA32" s="200"/>
      <c r="BB32" s="200"/>
      <c r="BC32" s="200"/>
      <c r="BD32" s="200"/>
    </row>
    <row r="33" spans="32:56" ht="24" customHeight="1" x14ac:dyDescent="0.25">
      <c r="AF33" s="200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0"/>
      <c r="BA33" s="200"/>
      <c r="BB33" s="200"/>
      <c r="BC33" s="200"/>
      <c r="BD33" s="200"/>
    </row>
    <row r="34" spans="32:56" ht="24" customHeight="1" x14ac:dyDescent="0.25"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0"/>
      <c r="BA34" s="200"/>
      <c r="BB34" s="200"/>
      <c r="BC34" s="200"/>
      <c r="BD34" s="200"/>
    </row>
    <row r="35" spans="32:56" ht="24" customHeight="1" x14ac:dyDescent="0.25"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</row>
    <row r="36" spans="32:56" ht="24" customHeight="1" x14ac:dyDescent="0.25"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0"/>
      <c r="AU36" s="200"/>
      <c r="AV36" s="200"/>
      <c r="AW36" s="200"/>
      <c r="AX36" s="200"/>
      <c r="AY36" s="200"/>
      <c r="AZ36" s="200"/>
      <c r="BA36" s="200"/>
      <c r="BB36" s="200"/>
      <c r="BC36" s="200"/>
      <c r="BD36" s="200"/>
    </row>
    <row r="37" spans="32:56" ht="24" customHeight="1" x14ac:dyDescent="0.25"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</row>
    <row r="38" spans="32:56" ht="24" customHeight="1" x14ac:dyDescent="0.25"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</row>
    <row r="39" spans="32:56" ht="24" customHeight="1" x14ac:dyDescent="0.25">
      <c r="AF39" s="200"/>
      <c r="AG39" s="200"/>
      <c r="AH39" s="200"/>
      <c r="AI39" s="200"/>
      <c r="AJ39" s="200"/>
      <c r="AK39" s="200"/>
      <c r="AL39" s="200"/>
      <c r="AM39" s="200"/>
      <c r="AN39" s="200"/>
      <c r="AO39" s="200"/>
      <c r="AP39" s="200"/>
      <c r="AQ39" s="200"/>
      <c r="AR39" s="200"/>
      <c r="AS39" s="200"/>
      <c r="AT39" s="200"/>
      <c r="AU39" s="200"/>
      <c r="AV39" s="200"/>
      <c r="AW39" s="200"/>
      <c r="AX39" s="200"/>
      <c r="AY39" s="200"/>
      <c r="AZ39" s="200"/>
      <c r="BA39" s="200"/>
      <c r="BB39" s="200"/>
      <c r="BC39" s="200"/>
      <c r="BD39" s="200"/>
    </row>
    <row r="40" spans="32:56" ht="24" customHeight="1" x14ac:dyDescent="0.25"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</row>
    <row r="41" spans="32:56" ht="24" customHeight="1" x14ac:dyDescent="0.25"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</row>
    <row r="42" spans="32:56" ht="24" customHeight="1" x14ac:dyDescent="0.25"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</row>
    <row r="43" spans="32:56" ht="24" customHeight="1" x14ac:dyDescent="0.25"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</row>
    <row r="44" spans="32:56" ht="24" customHeight="1" x14ac:dyDescent="0.25"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0"/>
      <c r="AR44" s="200"/>
      <c r="AS44" s="200"/>
      <c r="AT44" s="200"/>
      <c r="AU44" s="200"/>
      <c r="AV44" s="200"/>
      <c r="AW44" s="200"/>
      <c r="AX44" s="200"/>
      <c r="AY44" s="200"/>
      <c r="AZ44" s="200"/>
      <c r="BA44" s="200"/>
      <c r="BB44" s="200"/>
      <c r="BC44" s="200"/>
      <c r="BD44" s="200"/>
    </row>
    <row r="45" spans="32:56" ht="24" customHeight="1" x14ac:dyDescent="0.25">
      <c r="AF45" s="200"/>
      <c r="AG45" s="200"/>
      <c r="AH45" s="200"/>
      <c r="AI45" s="200"/>
      <c r="AJ45" s="200"/>
      <c r="AK45" s="200"/>
      <c r="AL45" s="200"/>
      <c r="AM45" s="200"/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AX45" s="200"/>
      <c r="AY45" s="200"/>
      <c r="AZ45" s="200"/>
      <c r="BA45" s="200"/>
      <c r="BB45" s="200"/>
      <c r="BC45" s="200"/>
      <c r="BD45" s="200"/>
    </row>
    <row r="46" spans="32:56" ht="24" customHeight="1" x14ac:dyDescent="0.25"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0"/>
      <c r="AQ46" s="200"/>
      <c r="AR46" s="200"/>
      <c r="AS46" s="200"/>
      <c r="AT46" s="200"/>
      <c r="AU46" s="200"/>
      <c r="AV46" s="200"/>
      <c r="AW46" s="200"/>
      <c r="AX46" s="200"/>
      <c r="AY46" s="200"/>
      <c r="AZ46" s="200"/>
      <c r="BA46" s="200"/>
      <c r="BB46" s="200"/>
      <c r="BC46" s="200"/>
      <c r="BD46" s="200"/>
    </row>
    <row r="47" spans="32:56" ht="24" customHeight="1" x14ac:dyDescent="0.25"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 s="200"/>
      <c r="AY47" s="200"/>
      <c r="AZ47" s="200"/>
      <c r="BA47" s="200"/>
      <c r="BB47" s="200"/>
      <c r="BC47" s="200"/>
      <c r="BD47" s="200"/>
    </row>
    <row r="48" spans="32:56" ht="24" customHeight="1" x14ac:dyDescent="0.25"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0"/>
      <c r="AX48" s="200"/>
      <c r="AY48" s="200"/>
      <c r="AZ48" s="200"/>
      <c r="BA48" s="200"/>
      <c r="BB48" s="200"/>
      <c r="BC48" s="200"/>
      <c r="BD48" s="200"/>
    </row>
    <row r="49" spans="32:56" ht="24" customHeight="1" x14ac:dyDescent="0.25"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0"/>
      <c r="AY49" s="200"/>
      <c r="AZ49" s="200"/>
      <c r="BA49" s="200"/>
      <c r="BB49" s="200"/>
      <c r="BC49" s="200"/>
      <c r="BD49" s="200"/>
    </row>
    <row r="50" spans="32:56" ht="24" customHeight="1" x14ac:dyDescent="0.25"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200"/>
      <c r="AQ50" s="200"/>
      <c r="AR50" s="200"/>
      <c r="AS50" s="200"/>
      <c r="AT50" s="200"/>
      <c r="AU50" s="200"/>
      <c r="AV50" s="200"/>
      <c r="AW50" s="200"/>
      <c r="AX50" s="200"/>
      <c r="AY50" s="200"/>
      <c r="AZ50" s="200"/>
      <c r="BA50" s="200"/>
      <c r="BB50" s="200"/>
      <c r="BC50" s="200"/>
      <c r="BD50" s="200"/>
    </row>
    <row r="51" spans="32:56" ht="24" customHeight="1" x14ac:dyDescent="0.25"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200"/>
      <c r="AY51" s="200"/>
      <c r="AZ51" s="200"/>
      <c r="BA51" s="200"/>
      <c r="BB51" s="200"/>
      <c r="BC51" s="200"/>
      <c r="BD51" s="200"/>
    </row>
    <row r="52" spans="32:56" ht="24" customHeight="1" x14ac:dyDescent="0.25"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  <c r="AX52" s="200"/>
      <c r="AY52" s="200"/>
      <c r="AZ52" s="200"/>
      <c r="BA52" s="200"/>
      <c r="BB52" s="200"/>
      <c r="BC52" s="200"/>
      <c r="BD52" s="200"/>
    </row>
    <row r="53" spans="32:56" ht="24" customHeight="1" x14ac:dyDescent="0.25"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200"/>
      <c r="AQ53" s="200"/>
      <c r="AR53" s="200"/>
      <c r="AS53" s="200"/>
      <c r="AT53" s="200"/>
      <c r="AU53" s="200"/>
      <c r="AV53" s="200"/>
      <c r="AW53" s="200"/>
      <c r="AX53" s="200"/>
      <c r="AY53" s="200"/>
      <c r="AZ53" s="200"/>
      <c r="BA53" s="200"/>
      <c r="BB53" s="200"/>
      <c r="BC53" s="200"/>
      <c r="BD53" s="200"/>
    </row>
    <row r="54" spans="32:56" ht="24" customHeight="1" x14ac:dyDescent="0.25"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200"/>
      <c r="AQ54" s="200"/>
      <c r="AR54" s="200"/>
      <c r="AS54" s="200"/>
      <c r="AT54" s="200"/>
      <c r="AU54" s="200"/>
      <c r="AV54" s="200"/>
      <c r="AW54" s="200"/>
      <c r="AX54" s="200"/>
      <c r="AY54" s="200"/>
      <c r="AZ54" s="200"/>
      <c r="BA54" s="200"/>
      <c r="BB54" s="200"/>
      <c r="BC54" s="200"/>
      <c r="BD54" s="200"/>
    </row>
    <row r="55" spans="32:56" ht="24" customHeight="1" x14ac:dyDescent="0.25"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</row>
    <row r="56" spans="32:56" ht="24" customHeight="1" x14ac:dyDescent="0.25">
      <c r="AF56" s="200"/>
      <c r="AG56" s="200"/>
      <c r="AH56" s="200"/>
      <c r="AI56" s="200"/>
      <c r="AJ56" s="200"/>
      <c r="AK56" s="200"/>
      <c r="AL56" s="200"/>
      <c r="AM56" s="200"/>
      <c r="AN56" s="200"/>
      <c r="AO56" s="200"/>
      <c r="AP56" s="200"/>
      <c r="AQ56" s="200"/>
      <c r="AR56" s="200"/>
      <c r="AS56" s="200"/>
      <c r="AT56" s="200"/>
      <c r="AU56" s="200"/>
      <c r="AV56" s="200"/>
      <c r="AW56" s="200"/>
      <c r="AX56" s="200"/>
      <c r="AY56" s="200"/>
      <c r="AZ56" s="200"/>
      <c r="BA56" s="200"/>
      <c r="BB56" s="200"/>
      <c r="BC56" s="200"/>
      <c r="BD56" s="200"/>
    </row>
    <row r="57" spans="32:56" ht="24" customHeight="1" x14ac:dyDescent="0.25">
      <c r="AF57" s="200"/>
      <c r="AG57" s="200"/>
      <c r="AH57" s="200"/>
      <c r="AI57" s="200"/>
      <c r="AJ57" s="200"/>
      <c r="AK57" s="200"/>
      <c r="AL57" s="200"/>
      <c r="AM57" s="200"/>
      <c r="AN57" s="200"/>
      <c r="AO57" s="200"/>
      <c r="AP57" s="200"/>
      <c r="AQ57" s="200"/>
      <c r="AR57" s="200"/>
      <c r="AS57" s="200"/>
      <c r="AT57" s="200"/>
      <c r="AU57" s="200"/>
      <c r="AV57" s="200"/>
      <c r="AW57" s="200"/>
      <c r="AX57" s="200"/>
      <c r="AY57" s="200"/>
      <c r="AZ57" s="200"/>
      <c r="BA57" s="200"/>
      <c r="BB57" s="200"/>
      <c r="BC57" s="200"/>
      <c r="BD57" s="200"/>
    </row>
    <row r="58" spans="32:56" ht="24" customHeight="1" x14ac:dyDescent="0.25">
      <c r="AF58" s="200"/>
      <c r="AG58" s="200"/>
      <c r="AH58" s="200"/>
      <c r="AI58" s="200"/>
      <c r="AJ58" s="200"/>
      <c r="AK58" s="200"/>
      <c r="AL58" s="200"/>
      <c r="AM58" s="200"/>
      <c r="AN58" s="200"/>
      <c r="AO58" s="200"/>
      <c r="AP58" s="200"/>
      <c r="AQ58" s="200"/>
      <c r="AR58" s="200"/>
      <c r="AS58" s="200"/>
      <c r="AT58" s="200"/>
      <c r="AU58" s="200"/>
      <c r="AV58" s="200"/>
      <c r="AW58" s="200"/>
      <c r="AX58" s="200"/>
      <c r="AY58" s="200"/>
      <c r="AZ58" s="200"/>
      <c r="BA58" s="200"/>
      <c r="BB58" s="200"/>
      <c r="BC58" s="200"/>
      <c r="BD58" s="200"/>
    </row>
    <row r="59" spans="32:56" ht="24" customHeight="1" x14ac:dyDescent="0.25">
      <c r="AF59" s="200"/>
      <c r="AG59" s="200"/>
      <c r="AH59" s="200"/>
      <c r="AI59" s="200"/>
      <c r="AJ59" s="200"/>
      <c r="AK59" s="200"/>
      <c r="AL59" s="200"/>
      <c r="AM59" s="200"/>
      <c r="AN59" s="200"/>
      <c r="AO59" s="200"/>
      <c r="AP59" s="200"/>
      <c r="AQ59" s="200"/>
      <c r="AR59" s="200"/>
      <c r="AS59" s="200"/>
      <c r="AT59" s="200"/>
      <c r="AU59" s="200"/>
      <c r="AV59" s="200"/>
      <c r="AW59" s="200"/>
      <c r="AX59" s="200"/>
      <c r="AY59" s="200"/>
      <c r="AZ59" s="200"/>
      <c r="BA59" s="200"/>
      <c r="BB59" s="200"/>
      <c r="BC59" s="200"/>
      <c r="BD59" s="200"/>
    </row>
    <row r="60" spans="32:56" ht="24" customHeight="1" x14ac:dyDescent="0.25">
      <c r="AF60" s="200"/>
      <c r="AG60" s="200"/>
      <c r="AH60" s="200"/>
      <c r="AI60" s="200"/>
      <c r="AJ60" s="200"/>
      <c r="AK60" s="200"/>
      <c r="AL60" s="200"/>
      <c r="AM60" s="200"/>
      <c r="AN60" s="200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</row>
    <row r="61" spans="32:56" ht="24" customHeight="1" x14ac:dyDescent="0.25">
      <c r="AF61" s="200"/>
      <c r="AG61" s="200"/>
      <c r="AH61" s="200"/>
      <c r="AI61" s="200"/>
      <c r="AJ61" s="200"/>
      <c r="AK61" s="200"/>
      <c r="AL61" s="200"/>
      <c r="AM61" s="200"/>
      <c r="AN61" s="200"/>
      <c r="AO61" s="200"/>
      <c r="AP61" s="200"/>
      <c r="AQ61" s="200"/>
      <c r="AR61" s="200"/>
      <c r="AS61" s="200"/>
      <c r="AT61" s="200"/>
      <c r="AU61" s="200"/>
      <c r="AV61" s="200"/>
      <c r="AW61" s="200"/>
      <c r="AX61" s="200"/>
      <c r="AY61" s="200"/>
      <c r="AZ61" s="200"/>
      <c r="BA61" s="200"/>
      <c r="BB61" s="200"/>
      <c r="BC61" s="200"/>
      <c r="BD61" s="200"/>
    </row>
    <row r="62" spans="32:56" ht="24" customHeight="1" x14ac:dyDescent="0.25">
      <c r="AF62" s="200"/>
      <c r="AG62" s="200"/>
      <c r="AH62" s="200"/>
      <c r="AI62" s="200"/>
      <c r="AJ62" s="200"/>
      <c r="AK62" s="200"/>
      <c r="AL62" s="200"/>
      <c r="AM62" s="200"/>
      <c r="AN62" s="200"/>
      <c r="AO62" s="200"/>
      <c r="AP62" s="200"/>
      <c r="AQ62" s="200"/>
      <c r="AR62" s="200"/>
      <c r="AS62" s="200"/>
      <c r="AT62" s="200"/>
      <c r="AU62" s="200"/>
      <c r="AV62" s="200"/>
      <c r="AW62" s="200"/>
      <c r="AX62" s="200"/>
      <c r="AY62" s="200"/>
      <c r="AZ62" s="200"/>
      <c r="BA62" s="200"/>
      <c r="BB62" s="200"/>
      <c r="BC62" s="200"/>
      <c r="BD62" s="200"/>
    </row>
    <row r="63" spans="32:56" ht="24" customHeight="1" x14ac:dyDescent="0.25">
      <c r="AF63" s="200"/>
      <c r="AG63" s="200"/>
      <c r="AH63" s="200"/>
      <c r="AI63" s="200"/>
      <c r="AJ63" s="200"/>
      <c r="AK63" s="200"/>
      <c r="AL63" s="200"/>
      <c r="AM63" s="200"/>
      <c r="AN63" s="200"/>
      <c r="AO63" s="200"/>
      <c r="AP63" s="200"/>
      <c r="AQ63" s="200"/>
      <c r="AR63" s="200"/>
      <c r="AS63" s="200"/>
      <c r="AT63" s="200"/>
      <c r="AU63" s="200"/>
      <c r="AV63" s="200"/>
      <c r="AW63" s="200"/>
      <c r="AX63" s="200"/>
      <c r="AY63" s="200"/>
      <c r="AZ63" s="200"/>
      <c r="BA63" s="200"/>
      <c r="BB63" s="200"/>
      <c r="BC63" s="200"/>
      <c r="BD63" s="200"/>
    </row>
    <row r="64" spans="32:56" ht="24" customHeight="1" x14ac:dyDescent="0.25">
      <c r="AF64" s="200"/>
      <c r="AG64" s="200"/>
      <c r="AH64" s="200"/>
      <c r="AI64" s="200"/>
      <c r="AJ64" s="200"/>
      <c r="AK64" s="200"/>
      <c r="AL64" s="200"/>
      <c r="AM64" s="200"/>
      <c r="AN64" s="200"/>
      <c r="AO64" s="200"/>
      <c r="AP64" s="200"/>
      <c r="AQ64" s="200"/>
      <c r="AR64" s="200"/>
      <c r="AS64" s="200"/>
      <c r="AT64" s="200"/>
      <c r="AU64" s="200"/>
      <c r="AV64" s="200"/>
      <c r="AW64" s="200"/>
      <c r="AX64" s="200"/>
      <c r="AY64" s="200"/>
      <c r="AZ64" s="200"/>
      <c r="BA64" s="200"/>
      <c r="BB64" s="200"/>
      <c r="BC64" s="200"/>
      <c r="BD64" s="200"/>
    </row>
    <row r="65" spans="32:56" ht="24" customHeight="1" x14ac:dyDescent="0.25">
      <c r="AF65" s="200"/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</row>
    <row r="66" spans="32:56" ht="24" customHeight="1" x14ac:dyDescent="0.25">
      <c r="AF66" s="200"/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</row>
    <row r="67" spans="32:56" ht="24" customHeight="1" x14ac:dyDescent="0.25">
      <c r="AF67" s="200"/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200"/>
      <c r="AY67" s="200"/>
      <c r="AZ67" s="200"/>
      <c r="BA67" s="200"/>
      <c r="BB67" s="200"/>
      <c r="BC67" s="200"/>
      <c r="BD67" s="200"/>
    </row>
    <row r="68" spans="32:56" ht="24" customHeight="1" x14ac:dyDescent="0.25">
      <c r="AF68" s="200"/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</row>
    <row r="69" spans="32:56" ht="24" customHeight="1" x14ac:dyDescent="0.25">
      <c r="AF69" s="200"/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</row>
    <row r="70" spans="32:56" ht="24" customHeight="1" x14ac:dyDescent="0.25">
      <c r="AF70" s="200"/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</row>
    <row r="71" spans="32:56" ht="24" customHeight="1" x14ac:dyDescent="0.25">
      <c r="AF71" s="200"/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</row>
    <row r="72" spans="32:56" ht="24" customHeight="1" x14ac:dyDescent="0.25"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</row>
    <row r="73" spans="32:56" ht="24" customHeight="1" x14ac:dyDescent="0.25">
      <c r="AF73" s="200"/>
      <c r="AG73" s="200"/>
      <c r="AH73" s="200"/>
      <c r="AI73" s="200"/>
      <c r="AJ73" s="200"/>
      <c r="AK73" s="200"/>
      <c r="AL73" s="200"/>
      <c r="AM73" s="200"/>
      <c r="AN73" s="200"/>
      <c r="AO73" s="200"/>
      <c r="AP73" s="200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</row>
    <row r="74" spans="32:56" ht="24" customHeight="1" x14ac:dyDescent="0.25"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</row>
    <row r="75" spans="32:56" ht="24" customHeight="1" x14ac:dyDescent="0.25">
      <c r="AF75" s="200"/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</row>
    <row r="76" spans="32:56" ht="24" customHeight="1" x14ac:dyDescent="0.25">
      <c r="AF76" s="200"/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</row>
    <row r="77" spans="32:56" ht="24" customHeight="1" x14ac:dyDescent="0.25">
      <c r="AF77" s="200"/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</row>
    <row r="78" spans="32:56" ht="24" customHeight="1" x14ac:dyDescent="0.25">
      <c r="AF78" s="200"/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</row>
    <row r="79" spans="32:56" ht="24" customHeight="1" x14ac:dyDescent="0.25">
      <c r="AF79" s="200"/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0"/>
      <c r="BC79" s="200"/>
      <c r="BD79" s="200"/>
    </row>
    <row r="80" spans="32:56" ht="24" customHeight="1" x14ac:dyDescent="0.25">
      <c r="AF80" s="200"/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</row>
    <row r="81" spans="32:56" ht="24" customHeight="1" x14ac:dyDescent="0.25">
      <c r="AF81" s="200"/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200"/>
      <c r="AY81" s="200"/>
      <c r="AZ81" s="200"/>
      <c r="BA81" s="200"/>
      <c r="BB81" s="200"/>
      <c r="BC81" s="200"/>
      <c r="BD81" s="200"/>
    </row>
    <row r="82" spans="32:56" ht="24" customHeight="1" x14ac:dyDescent="0.25">
      <c r="AF82" s="200"/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</row>
    <row r="83" spans="32:56" ht="24" customHeight="1" x14ac:dyDescent="0.25">
      <c r="AF83" s="200"/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200"/>
      <c r="AY83" s="200"/>
      <c r="AZ83" s="200"/>
      <c r="BA83" s="200"/>
      <c r="BB83" s="200"/>
      <c r="BC83" s="200"/>
      <c r="BD83" s="200"/>
    </row>
    <row r="84" spans="32:56" ht="24" customHeight="1" x14ac:dyDescent="0.25">
      <c r="AF84" s="200"/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0"/>
      <c r="BC84" s="200"/>
      <c r="BD84" s="200"/>
    </row>
    <row r="85" spans="32:56" ht="24" customHeight="1" x14ac:dyDescent="0.25">
      <c r="AF85" s="200"/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200"/>
      <c r="AY85" s="200"/>
      <c r="AZ85" s="200"/>
      <c r="BA85" s="200"/>
      <c r="BB85" s="200"/>
      <c r="BC85" s="200"/>
      <c r="BD85" s="200"/>
    </row>
    <row r="86" spans="32:56" ht="24" customHeight="1" x14ac:dyDescent="0.25">
      <c r="AF86" s="200"/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200"/>
      <c r="AY86" s="200"/>
      <c r="AZ86" s="200"/>
      <c r="BA86" s="200"/>
      <c r="BB86" s="200"/>
      <c r="BC86" s="200"/>
      <c r="BD86" s="200"/>
    </row>
    <row r="87" spans="32:56" ht="24" customHeight="1" x14ac:dyDescent="0.25">
      <c r="AF87" s="200"/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  <c r="AT87" s="200"/>
      <c r="AU87" s="200"/>
      <c r="AV87" s="200"/>
      <c r="AW87" s="200"/>
      <c r="AX87" s="200"/>
      <c r="AY87" s="200"/>
      <c r="AZ87" s="200"/>
      <c r="BA87" s="200"/>
      <c r="BB87" s="200"/>
      <c r="BC87" s="200"/>
      <c r="BD87" s="200"/>
    </row>
    <row r="88" spans="32:56" ht="24" customHeight="1" x14ac:dyDescent="0.25">
      <c r="AF88" s="200"/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</row>
    <row r="89" spans="32:56" ht="24" customHeight="1" x14ac:dyDescent="0.25">
      <c r="AF89" s="200"/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  <c r="AT89" s="200"/>
      <c r="AU89" s="200"/>
      <c r="AV89" s="200"/>
      <c r="AW89" s="200"/>
      <c r="AX89" s="200"/>
      <c r="AY89" s="200"/>
      <c r="AZ89" s="200"/>
      <c r="BA89" s="200"/>
      <c r="BB89" s="200"/>
      <c r="BC89" s="200"/>
      <c r="BD89" s="200"/>
    </row>
    <row r="90" spans="32:56" ht="24" customHeight="1" x14ac:dyDescent="0.25">
      <c r="AF90" s="200"/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  <c r="AT90" s="200"/>
      <c r="AU90" s="200"/>
      <c r="AV90" s="200"/>
      <c r="AW90" s="200"/>
      <c r="AX90" s="200"/>
      <c r="AY90" s="200"/>
      <c r="AZ90" s="200"/>
      <c r="BA90" s="200"/>
      <c r="BB90" s="200"/>
      <c r="BC90" s="200"/>
      <c r="BD90" s="200"/>
    </row>
    <row r="91" spans="32:56" ht="24" customHeight="1" x14ac:dyDescent="0.25">
      <c r="AF91" s="200"/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  <c r="AU91" s="200"/>
      <c r="AV91" s="200"/>
      <c r="AW91" s="200"/>
      <c r="AX91" s="200"/>
      <c r="AY91" s="200"/>
      <c r="AZ91" s="200"/>
      <c r="BA91" s="200"/>
      <c r="BB91" s="200"/>
      <c r="BC91" s="200"/>
      <c r="BD91" s="200"/>
    </row>
    <row r="92" spans="32:56" ht="24" customHeight="1" x14ac:dyDescent="0.25">
      <c r="AF92" s="200"/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  <c r="AT92" s="200"/>
      <c r="AU92" s="200"/>
      <c r="AV92" s="200"/>
      <c r="AW92" s="200"/>
      <c r="AX92" s="200"/>
      <c r="AY92" s="200"/>
      <c r="AZ92" s="200"/>
      <c r="BA92" s="200"/>
      <c r="BB92" s="200"/>
      <c r="BC92" s="200"/>
      <c r="BD92" s="200"/>
    </row>
    <row r="93" spans="32:56" ht="24" customHeight="1" x14ac:dyDescent="0.25">
      <c r="AF93" s="200"/>
      <c r="AG93" s="200"/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AZ93" s="200"/>
      <c r="BA93" s="200"/>
      <c r="BB93" s="200"/>
      <c r="BC93" s="200"/>
      <c r="BD93" s="200"/>
    </row>
    <row r="94" spans="32:56" ht="24" customHeight="1" x14ac:dyDescent="0.25">
      <c r="AF94" s="200"/>
      <c r="AG94" s="200"/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  <c r="AW94" s="200"/>
      <c r="AX94" s="200"/>
      <c r="AY94" s="200"/>
      <c r="AZ94" s="200"/>
      <c r="BA94" s="200"/>
      <c r="BB94" s="200"/>
      <c r="BC94" s="200"/>
      <c r="BD94" s="200"/>
    </row>
    <row r="95" spans="32:56" ht="24" customHeight="1" x14ac:dyDescent="0.25">
      <c r="AF95" s="200"/>
      <c r="AG95" s="200"/>
      <c r="AH95" s="200"/>
      <c r="AI95" s="200"/>
      <c r="AJ95" s="200"/>
      <c r="AK95" s="200"/>
      <c r="AL95" s="200"/>
      <c r="AM95" s="200"/>
      <c r="AN95" s="200"/>
      <c r="AO95" s="200"/>
      <c r="AP95" s="200"/>
      <c r="AQ95" s="200"/>
      <c r="AR95" s="200"/>
      <c r="AS95" s="200"/>
      <c r="AT95" s="200"/>
      <c r="AU95" s="200"/>
      <c r="AV95" s="200"/>
      <c r="AW95" s="200"/>
      <c r="AX95" s="200"/>
      <c r="AY95" s="200"/>
      <c r="AZ95" s="200"/>
      <c r="BA95" s="200"/>
      <c r="BB95" s="200"/>
      <c r="BC95" s="200"/>
      <c r="BD95" s="200"/>
    </row>
    <row r="96" spans="32:56" ht="24" customHeight="1" x14ac:dyDescent="0.25">
      <c r="AF96" s="200"/>
      <c r="AG96" s="200"/>
      <c r="AH96" s="200"/>
      <c r="AI96" s="200"/>
      <c r="AJ96" s="200"/>
      <c r="AK96" s="200"/>
      <c r="AL96" s="200"/>
      <c r="AM96" s="200"/>
      <c r="AN96" s="200"/>
      <c r="AO96" s="200"/>
      <c r="AP96" s="200"/>
      <c r="AQ96" s="200"/>
      <c r="AR96" s="200"/>
      <c r="AS96" s="200"/>
      <c r="AT96" s="200"/>
      <c r="AU96" s="200"/>
      <c r="AV96" s="200"/>
      <c r="AW96" s="200"/>
      <c r="AX96" s="200"/>
      <c r="AY96" s="200"/>
      <c r="AZ96" s="200"/>
      <c r="BA96" s="200"/>
      <c r="BB96" s="200"/>
      <c r="BC96" s="200"/>
      <c r="BD96" s="200"/>
    </row>
    <row r="97" spans="32:56" ht="24" customHeight="1" x14ac:dyDescent="0.25">
      <c r="AF97" s="200"/>
      <c r="AG97" s="200"/>
      <c r="AH97" s="200"/>
      <c r="AI97" s="200"/>
      <c r="AJ97" s="200"/>
      <c r="AK97" s="200"/>
      <c r="AL97" s="200"/>
      <c r="AM97" s="200"/>
      <c r="AN97" s="200"/>
      <c r="AO97" s="200"/>
      <c r="AP97" s="200"/>
      <c r="AQ97" s="200"/>
      <c r="AR97" s="200"/>
      <c r="AS97" s="200"/>
      <c r="AT97" s="200"/>
      <c r="AU97" s="200"/>
      <c r="AV97" s="200"/>
      <c r="AW97" s="200"/>
      <c r="AX97" s="200"/>
      <c r="AY97" s="200"/>
      <c r="AZ97" s="200"/>
      <c r="BA97" s="200"/>
      <c r="BB97" s="200"/>
      <c r="BC97" s="200"/>
      <c r="BD97" s="200"/>
    </row>
    <row r="98" spans="32:56" ht="24" customHeight="1" x14ac:dyDescent="0.25"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200"/>
    </row>
    <row r="99" spans="32:56" ht="24" customHeight="1" x14ac:dyDescent="0.25">
      <c r="AF99" s="200"/>
      <c r="AG99" s="200"/>
      <c r="AH99" s="200"/>
      <c r="AI99" s="200"/>
      <c r="AJ99" s="200"/>
      <c r="AK99" s="200"/>
      <c r="AL99" s="200"/>
      <c r="AM99" s="200"/>
      <c r="AN99" s="200"/>
      <c r="AO99" s="200"/>
      <c r="AP99" s="200"/>
      <c r="AQ99" s="200"/>
      <c r="AR99" s="200"/>
      <c r="AS99" s="200"/>
      <c r="AT99" s="200"/>
      <c r="AU99" s="200"/>
      <c r="AV99" s="200"/>
      <c r="AW99" s="200"/>
      <c r="AX99" s="200"/>
      <c r="AY99" s="200"/>
      <c r="AZ99" s="200"/>
      <c r="BA99" s="200"/>
      <c r="BB99" s="200"/>
      <c r="BC99" s="200"/>
      <c r="BD99" s="200"/>
    </row>
    <row r="100" spans="32:56" ht="24" customHeight="1" x14ac:dyDescent="0.25"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</row>
    <row r="101" spans="32:56" ht="24" customHeight="1" x14ac:dyDescent="0.25">
      <c r="AF101" s="200"/>
      <c r="AG101" s="200"/>
      <c r="AH101" s="200"/>
      <c r="AI101" s="200"/>
      <c r="AJ101" s="200"/>
      <c r="AK101" s="200"/>
      <c r="AL101" s="200"/>
      <c r="AM101" s="200"/>
      <c r="AN101" s="200"/>
      <c r="AO101" s="200"/>
      <c r="AP101" s="200"/>
      <c r="AQ101" s="200"/>
      <c r="AR101" s="200"/>
      <c r="AS101" s="200"/>
      <c r="AT101" s="200"/>
      <c r="AU101" s="200"/>
      <c r="AV101" s="200"/>
      <c r="AW101" s="200"/>
      <c r="AX101" s="200"/>
      <c r="AY101" s="200"/>
      <c r="AZ101" s="200"/>
      <c r="BA101" s="200"/>
      <c r="BB101" s="200"/>
      <c r="BC101" s="200"/>
      <c r="BD101" s="200"/>
    </row>
    <row r="102" spans="32:56" ht="24" customHeight="1" x14ac:dyDescent="0.25"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  <c r="AU102" s="200"/>
      <c r="AV102" s="200"/>
      <c r="AW102" s="200"/>
      <c r="AX102" s="200"/>
      <c r="AY102" s="200"/>
      <c r="AZ102" s="200"/>
      <c r="BA102" s="200"/>
      <c r="BB102" s="200"/>
      <c r="BC102" s="200"/>
      <c r="BD102" s="200"/>
    </row>
    <row r="103" spans="32:56" ht="24" customHeight="1" x14ac:dyDescent="0.25">
      <c r="AF103" s="200"/>
      <c r="AG103" s="200"/>
      <c r="AH103" s="200"/>
      <c r="AI103" s="200"/>
      <c r="AJ103" s="200"/>
      <c r="AK103" s="200"/>
      <c r="AL103" s="200"/>
      <c r="AM103" s="200"/>
      <c r="AN103" s="200"/>
      <c r="AO103" s="200"/>
      <c r="AP103" s="200"/>
      <c r="AQ103" s="200"/>
      <c r="AR103" s="200"/>
      <c r="AS103" s="200"/>
      <c r="AT103" s="200"/>
      <c r="AU103" s="200"/>
      <c r="AV103" s="200"/>
      <c r="AW103" s="200"/>
      <c r="AX103" s="200"/>
      <c r="AY103" s="200"/>
      <c r="AZ103" s="200"/>
      <c r="BA103" s="200"/>
      <c r="BB103" s="200"/>
      <c r="BC103" s="200"/>
      <c r="BD103" s="200"/>
    </row>
    <row r="104" spans="32:56" ht="24" customHeight="1" x14ac:dyDescent="0.25">
      <c r="AF104" s="200"/>
      <c r="AG104" s="200"/>
      <c r="AH104" s="200"/>
      <c r="AI104" s="200"/>
      <c r="AJ104" s="200"/>
      <c r="AK104" s="200"/>
      <c r="AL104" s="200"/>
      <c r="AM104" s="200"/>
      <c r="AN104" s="200"/>
      <c r="AO104" s="200"/>
      <c r="AP104" s="200"/>
      <c r="AQ104" s="200"/>
      <c r="AR104" s="200"/>
      <c r="AS104" s="200"/>
      <c r="AT104" s="200"/>
      <c r="AU104" s="200"/>
      <c r="AV104" s="200"/>
      <c r="AW104" s="200"/>
      <c r="AX104" s="200"/>
      <c r="AY104" s="200"/>
      <c r="AZ104" s="200"/>
      <c r="BA104" s="200"/>
      <c r="BB104" s="200"/>
      <c r="BC104" s="200"/>
      <c r="BD104" s="200"/>
    </row>
    <row r="105" spans="32:56" ht="24" customHeight="1" x14ac:dyDescent="0.25"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  <c r="AX105" s="200"/>
      <c r="AY105" s="200"/>
      <c r="AZ105" s="200"/>
      <c r="BA105" s="200"/>
      <c r="BB105" s="200"/>
      <c r="BC105" s="200"/>
      <c r="BD105" s="200"/>
    </row>
    <row r="106" spans="32:56" ht="24" customHeight="1" x14ac:dyDescent="0.25"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  <c r="AX106" s="200"/>
      <c r="AY106" s="200"/>
      <c r="AZ106" s="200"/>
      <c r="BA106" s="200"/>
      <c r="BB106" s="200"/>
      <c r="BC106" s="200"/>
      <c r="BD106" s="200"/>
    </row>
    <row r="107" spans="32:56" ht="24" customHeight="1" x14ac:dyDescent="0.25"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  <c r="AX107" s="200"/>
      <c r="AY107" s="200"/>
      <c r="AZ107" s="200"/>
      <c r="BA107" s="200"/>
      <c r="BB107" s="200"/>
      <c r="BC107" s="200"/>
      <c r="BD107" s="200"/>
    </row>
    <row r="108" spans="32:56" ht="24" customHeight="1" x14ac:dyDescent="0.25"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  <c r="AX108" s="200"/>
      <c r="AY108" s="200"/>
      <c r="AZ108" s="200"/>
      <c r="BA108" s="200"/>
      <c r="BB108" s="200"/>
      <c r="BC108" s="200"/>
      <c r="BD108" s="200"/>
    </row>
    <row r="109" spans="32:56" ht="24" customHeight="1" x14ac:dyDescent="0.25"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  <c r="AT109" s="200"/>
      <c r="AU109" s="200"/>
      <c r="AV109" s="200"/>
      <c r="AW109" s="200"/>
      <c r="AX109" s="200"/>
      <c r="AY109" s="200"/>
      <c r="AZ109" s="200"/>
      <c r="BA109" s="200"/>
      <c r="BB109" s="200"/>
      <c r="BC109" s="200"/>
      <c r="BD109" s="200"/>
    </row>
    <row r="110" spans="32:56" ht="24" customHeight="1" x14ac:dyDescent="0.25"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  <c r="AU110" s="200"/>
      <c r="AV110" s="200"/>
      <c r="AW110" s="200"/>
      <c r="AX110" s="200"/>
      <c r="AY110" s="200"/>
      <c r="AZ110" s="200"/>
      <c r="BA110" s="200"/>
      <c r="BB110" s="200"/>
      <c r="BC110" s="200"/>
      <c r="BD110" s="200"/>
    </row>
    <row r="111" spans="32:56" ht="24" customHeight="1" x14ac:dyDescent="0.25"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AX111" s="200"/>
      <c r="AY111" s="200"/>
      <c r="AZ111" s="200"/>
      <c r="BA111" s="200"/>
      <c r="BB111" s="200"/>
      <c r="BC111" s="200"/>
      <c r="BD111" s="200"/>
    </row>
    <row r="112" spans="32:56" ht="24" customHeight="1" x14ac:dyDescent="0.25"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</row>
    <row r="113" spans="32:56" ht="24" customHeight="1" x14ac:dyDescent="0.25"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  <c r="AX113" s="200"/>
      <c r="AY113" s="200"/>
      <c r="AZ113" s="200"/>
      <c r="BA113" s="200"/>
      <c r="BB113" s="200"/>
      <c r="BC113" s="200"/>
      <c r="BD113" s="200"/>
    </row>
    <row r="114" spans="32:56" ht="24" customHeight="1" x14ac:dyDescent="0.25"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AX114" s="200"/>
      <c r="AY114" s="200"/>
      <c r="AZ114" s="200"/>
      <c r="BA114" s="200"/>
      <c r="BB114" s="200"/>
      <c r="BC114" s="200"/>
      <c r="BD114" s="200"/>
    </row>
    <row r="115" spans="32:56" ht="24" customHeight="1" x14ac:dyDescent="0.25"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0"/>
      <c r="BA115" s="200"/>
      <c r="BB115" s="200"/>
      <c r="BC115" s="200"/>
      <c r="BD115" s="200"/>
    </row>
    <row r="116" spans="32:56" ht="24" customHeight="1" x14ac:dyDescent="0.25"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AX116" s="200"/>
      <c r="AY116" s="200"/>
      <c r="AZ116" s="200"/>
      <c r="BA116" s="200"/>
      <c r="BB116" s="200"/>
      <c r="BC116" s="200"/>
      <c r="BD116" s="200"/>
    </row>
    <row r="117" spans="32:56" ht="24" customHeight="1" x14ac:dyDescent="0.25"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</row>
    <row r="118" spans="32:56" ht="24" customHeight="1" x14ac:dyDescent="0.25"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</row>
    <row r="119" spans="32:56" ht="24" customHeight="1" x14ac:dyDescent="0.25"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</row>
    <row r="120" spans="32:56" ht="24" customHeight="1" x14ac:dyDescent="0.25"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  <c r="AU120" s="200"/>
      <c r="AV120" s="200"/>
      <c r="AW120" s="200"/>
      <c r="AX120" s="200"/>
      <c r="AY120" s="200"/>
      <c r="AZ120" s="200"/>
      <c r="BA120" s="200"/>
      <c r="BB120" s="200"/>
      <c r="BC120" s="200"/>
      <c r="BD120" s="200"/>
    </row>
    <row r="121" spans="32:56" ht="24" customHeight="1" x14ac:dyDescent="0.25"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00"/>
      <c r="AZ121" s="200"/>
      <c r="BA121" s="200"/>
      <c r="BB121" s="200"/>
      <c r="BC121" s="200"/>
      <c r="BD121" s="200"/>
    </row>
    <row r="122" spans="32:56" ht="24" customHeight="1" x14ac:dyDescent="0.25"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0"/>
      <c r="BC122" s="200"/>
      <c r="BD122" s="200"/>
    </row>
    <row r="123" spans="32:56" ht="24" customHeight="1" x14ac:dyDescent="0.25"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200"/>
      <c r="AY123" s="200"/>
      <c r="AZ123" s="200"/>
      <c r="BA123" s="200"/>
      <c r="BB123" s="200"/>
      <c r="BC123" s="200"/>
      <c r="BD123" s="200"/>
    </row>
    <row r="124" spans="32:56" ht="24" customHeight="1" x14ac:dyDescent="0.25"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00"/>
      <c r="AZ124" s="200"/>
      <c r="BA124" s="200"/>
      <c r="BB124" s="200"/>
      <c r="BC124" s="200"/>
      <c r="BD124" s="200"/>
    </row>
    <row r="125" spans="32:56" ht="24" customHeight="1" x14ac:dyDescent="0.25"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0"/>
      <c r="BC125" s="200"/>
      <c r="BD125" s="200"/>
    </row>
    <row r="126" spans="32:56" ht="24" customHeight="1" x14ac:dyDescent="0.25"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</row>
    <row r="127" spans="32:56" ht="24" customHeight="1" x14ac:dyDescent="0.25"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0"/>
      <c r="BC127" s="200"/>
      <c r="BD127" s="200"/>
    </row>
    <row r="128" spans="32:56" ht="24" customHeight="1" x14ac:dyDescent="0.25"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  <c r="BB128" s="200"/>
      <c r="BC128" s="200"/>
      <c r="BD128" s="200"/>
    </row>
    <row r="129" spans="32:56" ht="24" customHeight="1" x14ac:dyDescent="0.25"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00"/>
      <c r="AZ129" s="200"/>
      <c r="BA129" s="200"/>
      <c r="BB129" s="200"/>
      <c r="BC129" s="200"/>
      <c r="BD129" s="200"/>
    </row>
    <row r="130" spans="32:56" ht="24" customHeight="1" x14ac:dyDescent="0.25"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200"/>
      <c r="AW130" s="200"/>
      <c r="AX130" s="200"/>
      <c r="AY130" s="200"/>
      <c r="AZ130" s="200"/>
      <c r="BA130" s="200"/>
      <c r="BB130" s="200"/>
      <c r="BC130" s="200"/>
      <c r="BD130" s="200"/>
    </row>
    <row r="131" spans="32:56" ht="24" customHeight="1" x14ac:dyDescent="0.25"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00"/>
      <c r="AZ131" s="200"/>
      <c r="BA131" s="200"/>
      <c r="BB131" s="200"/>
      <c r="BC131" s="200"/>
      <c r="BD131" s="200"/>
    </row>
    <row r="132" spans="32:56" ht="24" customHeight="1" x14ac:dyDescent="0.25"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</row>
    <row r="133" spans="32:56" ht="24" customHeight="1" x14ac:dyDescent="0.25"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00"/>
      <c r="AZ133" s="200"/>
      <c r="BA133" s="200"/>
      <c r="BB133" s="200"/>
      <c r="BC133" s="200"/>
      <c r="BD133" s="200"/>
    </row>
    <row r="134" spans="32:56" ht="24" customHeight="1" x14ac:dyDescent="0.25"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</row>
    <row r="135" spans="32:56" ht="24" customHeight="1" x14ac:dyDescent="0.25"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00"/>
      <c r="AZ135" s="200"/>
      <c r="BA135" s="200"/>
      <c r="BB135" s="200"/>
      <c r="BC135" s="200"/>
      <c r="BD135" s="200"/>
    </row>
    <row r="136" spans="32:56" ht="24" customHeight="1" x14ac:dyDescent="0.25"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</row>
    <row r="137" spans="32:56" ht="24" customHeight="1" x14ac:dyDescent="0.25"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</row>
    <row r="138" spans="32:56" ht="24" customHeight="1" x14ac:dyDescent="0.25"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00"/>
      <c r="AZ138" s="200"/>
      <c r="BA138" s="200"/>
      <c r="BB138" s="200"/>
      <c r="BC138" s="200"/>
      <c r="BD138" s="200"/>
    </row>
    <row r="139" spans="32:56" ht="24" customHeight="1" x14ac:dyDescent="0.25"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00"/>
      <c r="AZ139" s="200"/>
      <c r="BA139" s="200"/>
      <c r="BB139" s="200"/>
      <c r="BC139" s="200"/>
      <c r="BD139" s="200"/>
    </row>
    <row r="140" spans="32:56" ht="24" customHeight="1" x14ac:dyDescent="0.25"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00"/>
      <c r="AZ140" s="200"/>
      <c r="BA140" s="200"/>
      <c r="BB140" s="200"/>
      <c r="BC140" s="200"/>
      <c r="BD140" s="200"/>
    </row>
    <row r="141" spans="32:56" ht="24" customHeight="1" x14ac:dyDescent="0.25"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200"/>
      <c r="AY141" s="200"/>
      <c r="AZ141" s="200"/>
      <c r="BA141" s="200"/>
      <c r="BB141" s="200"/>
      <c r="BC141" s="200"/>
      <c r="BD141" s="200"/>
    </row>
    <row r="142" spans="32:56" ht="24" customHeight="1" x14ac:dyDescent="0.25"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AX142" s="200"/>
      <c r="AY142" s="200"/>
      <c r="AZ142" s="200"/>
      <c r="BA142" s="200"/>
      <c r="BB142" s="200"/>
      <c r="BC142" s="200"/>
      <c r="BD142" s="200"/>
    </row>
    <row r="143" spans="32:56" ht="24" customHeight="1" x14ac:dyDescent="0.25"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00"/>
      <c r="AZ143" s="200"/>
      <c r="BA143" s="200"/>
      <c r="BB143" s="200"/>
      <c r="BC143" s="200"/>
      <c r="BD143" s="200"/>
    </row>
    <row r="144" spans="32:56" ht="24" customHeight="1" x14ac:dyDescent="0.25"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</row>
    <row r="145" spans="32:56" ht="24" customHeight="1" x14ac:dyDescent="0.25"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00"/>
      <c r="AZ145" s="200"/>
      <c r="BA145" s="200"/>
      <c r="BB145" s="200"/>
      <c r="BC145" s="200"/>
      <c r="BD145" s="200"/>
    </row>
    <row r="146" spans="32:56" ht="24" customHeight="1" x14ac:dyDescent="0.25"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00"/>
      <c r="AZ146" s="200"/>
      <c r="BA146" s="200"/>
      <c r="BB146" s="200"/>
      <c r="BC146" s="200"/>
      <c r="BD146" s="200"/>
    </row>
    <row r="147" spans="32:56" ht="24" customHeight="1" x14ac:dyDescent="0.25"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00"/>
      <c r="AZ147" s="200"/>
      <c r="BA147" s="200"/>
      <c r="BB147" s="200"/>
      <c r="BC147" s="200"/>
      <c r="BD147" s="200"/>
    </row>
    <row r="148" spans="32:56" ht="24" customHeight="1" x14ac:dyDescent="0.25"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</row>
    <row r="149" spans="32:56" ht="24" customHeight="1" x14ac:dyDescent="0.25"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00"/>
      <c r="AZ149" s="200"/>
      <c r="BA149" s="200"/>
      <c r="BB149" s="200"/>
      <c r="BC149" s="200"/>
      <c r="BD149" s="200"/>
    </row>
    <row r="150" spans="32:56" ht="24" customHeight="1" x14ac:dyDescent="0.25"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00"/>
      <c r="AZ150" s="200"/>
      <c r="BA150" s="200"/>
      <c r="BB150" s="200"/>
      <c r="BC150" s="200"/>
      <c r="BD150" s="200"/>
    </row>
    <row r="151" spans="32:56" ht="24" customHeight="1" x14ac:dyDescent="0.25"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00"/>
      <c r="AZ151" s="200"/>
      <c r="BA151" s="200"/>
      <c r="BB151" s="200"/>
      <c r="BC151" s="200"/>
      <c r="BD151" s="200"/>
    </row>
    <row r="152" spans="32:56" ht="24" customHeight="1" x14ac:dyDescent="0.25"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00"/>
      <c r="AZ152" s="200"/>
      <c r="BA152" s="200"/>
      <c r="BB152" s="200"/>
      <c r="BC152" s="200"/>
      <c r="BD152" s="200"/>
    </row>
    <row r="153" spans="32:56" ht="24" customHeight="1" x14ac:dyDescent="0.25"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00"/>
      <c r="AZ153" s="200"/>
      <c r="BA153" s="200"/>
      <c r="BB153" s="200"/>
      <c r="BC153" s="200"/>
      <c r="BD153" s="200"/>
    </row>
    <row r="154" spans="32:56" ht="24" customHeight="1" x14ac:dyDescent="0.25"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00"/>
      <c r="AZ154" s="200"/>
      <c r="BA154" s="200"/>
      <c r="BB154" s="200"/>
      <c r="BC154" s="200"/>
      <c r="BD154" s="200"/>
    </row>
    <row r="155" spans="32:56" ht="24" customHeight="1" x14ac:dyDescent="0.25"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00"/>
      <c r="AZ155" s="200"/>
      <c r="BA155" s="200"/>
      <c r="BB155" s="200"/>
      <c r="BC155" s="200"/>
      <c r="BD155" s="200"/>
    </row>
    <row r="156" spans="32:56" ht="24" customHeight="1" x14ac:dyDescent="0.25"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00"/>
      <c r="AZ156" s="200"/>
      <c r="BA156" s="200"/>
      <c r="BB156" s="200"/>
      <c r="BC156" s="200"/>
      <c r="BD156" s="200"/>
    </row>
    <row r="157" spans="32:56" ht="24" customHeight="1" x14ac:dyDescent="0.25"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00"/>
      <c r="AZ157" s="200"/>
      <c r="BA157" s="200"/>
      <c r="BB157" s="200"/>
      <c r="BC157" s="200"/>
      <c r="BD157" s="200"/>
    </row>
    <row r="158" spans="32:56" ht="24" customHeight="1" x14ac:dyDescent="0.25"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00"/>
      <c r="AZ158" s="200"/>
      <c r="BA158" s="200"/>
      <c r="BB158" s="200"/>
      <c r="BC158" s="200"/>
      <c r="BD158" s="200"/>
    </row>
    <row r="159" spans="32:56" ht="24" customHeight="1" x14ac:dyDescent="0.25"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00"/>
      <c r="AZ159" s="200"/>
      <c r="BA159" s="200"/>
      <c r="BB159" s="200"/>
      <c r="BC159" s="200"/>
      <c r="BD159" s="200"/>
    </row>
    <row r="160" spans="32:56" ht="24" customHeight="1" x14ac:dyDescent="0.25"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200"/>
      <c r="AZ160" s="200"/>
      <c r="BA160" s="200"/>
      <c r="BB160" s="200"/>
      <c r="BC160" s="200"/>
      <c r="BD160" s="200"/>
    </row>
    <row r="161" spans="32:56" ht="24" customHeight="1" x14ac:dyDescent="0.25"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00"/>
      <c r="AZ161" s="200"/>
      <c r="BA161" s="200"/>
      <c r="BB161" s="200"/>
      <c r="BC161" s="200"/>
      <c r="BD161" s="200"/>
    </row>
    <row r="162" spans="32:56" ht="24" customHeight="1" x14ac:dyDescent="0.25"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  <c r="AU162" s="200"/>
      <c r="AV162" s="200"/>
      <c r="AW162" s="200"/>
      <c r="AX162" s="200"/>
      <c r="AY162" s="200"/>
      <c r="AZ162" s="200"/>
      <c r="BA162" s="200"/>
      <c r="BB162" s="200"/>
      <c r="BC162" s="200"/>
      <c r="BD162" s="200"/>
    </row>
    <row r="163" spans="32:56" ht="24" customHeight="1" x14ac:dyDescent="0.25"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  <c r="AU163" s="200"/>
      <c r="AV163" s="200"/>
      <c r="AW163" s="200"/>
      <c r="AX163" s="200"/>
      <c r="AY163" s="200"/>
      <c r="AZ163" s="200"/>
      <c r="BA163" s="200"/>
      <c r="BB163" s="200"/>
      <c r="BC163" s="200"/>
      <c r="BD163" s="200"/>
    </row>
    <row r="164" spans="32:56" ht="24" customHeight="1" x14ac:dyDescent="0.25"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AX164" s="200"/>
      <c r="AY164" s="200"/>
      <c r="AZ164" s="200"/>
      <c r="BA164" s="200"/>
      <c r="BB164" s="200"/>
      <c r="BC164" s="200"/>
      <c r="BD164" s="200"/>
    </row>
    <row r="165" spans="32:56" ht="24" customHeight="1" x14ac:dyDescent="0.25"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00"/>
      <c r="AZ165" s="200"/>
      <c r="BA165" s="200"/>
      <c r="BB165" s="200"/>
      <c r="BC165" s="200"/>
      <c r="BD165" s="200"/>
    </row>
    <row r="166" spans="32:56" ht="24" customHeight="1" x14ac:dyDescent="0.25"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  <c r="AU166" s="200"/>
      <c r="AV166" s="200"/>
      <c r="AW166" s="200"/>
      <c r="AX166" s="200"/>
      <c r="AY166" s="200"/>
      <c r="AZ166" s="200"/>
      <c r="BA166" s="200"/>
      <c r="BB166" s="200"/>
      <c r="BC166" s="200"/>
      <c r="BD166" s="200"/>
    </row>
    <row r="167" spans="32:56" ht="24" customHeight="1" x14ac:dyDescent="0.25"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AX167" s="200"/>
      <c r="AY167" s="200"/>
      <c r="AZ167" s="200"/>
      <c r="BA167" s="200"/>
      <c r="BB167" s="200"/>
      <c r="BC167" s="200"/>
      <c r="BD167" s="200"/>
    </row>
    <row r="168" spans="32:56" ht="24" customHeight="1" x14ac:dyDescent="0.25"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200"/>
      <c r="BC168" s="200"/>
      <c r="BD168" s="200"/>
    </row>
    <row r="169" spans="32:56" ht="24" customHeight="1" x14ac:dyDescent="0.25"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00"/>
      <c r="AZ169" s="200"/>
      <c r="BA169" s="200"/>
      <c r="BB169" s="200"/>
      <c r="BC169" s="200"/>
      <c r="BD169" s="200"/>
    </row>
    <row r="170" spans="32:56" ht="24" customHeight="1" x14ac:dyDescent="0.25"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  <c r="AU170" s="200"/>
      <c r="AV170" s="200"/>
      <c r="AW170" s="200"/>
      <c r="AX170" s="200"/>
      <c r="AY170" s="200"/>
      <c r="AZ170" s="200"/>
      <c r="BA170" s="200"/>
      <c r="BB170" s="200"/>
      <c r="BC170" s="200"/>
      <c r="BD170" s="200"/>
    </row>
    <row r="171" spans="32:56" ht="24" customHeight="1" x14ac:dyDescent="0.25"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00"/>
      <c r="AZ171" s="200"/>
      <c r="BA171" s="200"/>
      <c r="BB171" s="200"/>
      <c r="BC171" s="200"/>
      <c r="BD171" s="200"/>
    </row>
    <row r="172" spans="32:56" ht="24" customHeight="1" x14ac:dyDescent="0.25"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200"/>
      <c r="AX172" s="200"/>
      <c r="AY172" s="200"/>
      <c r="AZ172" s="200"/>
      <c r="BA172" s="200"/>
      <c r="BB172" s="200"/>
      <c r="BC172" s="200"/>
      <c r="BD172" s="200"/>
    </row>
    <row r="173" spans="32:56" ht="24" customHeight="1" x14ac:dyDescent="0.25"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00"/>
      <c r="AZ173" s="200"/>
      <c r="BA173" s="200"/>
      <c r="BB173" s="200"/>
      <c r="BC173" s="200"/>
      <c r="BD173" s="200"/>
    </row>
    <row r="174" spans="32:56" ht="24" customHeight="1" x14ac:dyDescent="0.25"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00"/>
      <c r="AZ174" s="200"/>
      <c r="BA174" s="200"/>
      <c r="BB174" s="200"/>
      <c r="BC174" s="200"/>
      <c r="BD174" s="200"/>
    </row>
    <row r="175" spans="32:56" ht="24" customHeight="1" x14ac:dyDescent="0.25"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00"/>
      <c r="AZ175" s="200"/>
      <c r="BA175" s="200"/>
      <c r="BB175" s="200"/>
      <c r="BC175" s="200"/>
      <c r="BD175" s="200"/>
    </row>
    <row r="176" spans="32:56" ht="24" customHeight="1" x14ac:dyDescent="0.25"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00"/>
      <c r="AZ176" s="200"/>
      <c r="BA176" s="200"/>
      <c r="BB176" s="200"/>
      <c r="BC176" s="200"/>
      <c r="BD176" s="200"/>
    </row>
    <row r="177" spans="32:56" ht="24" customHeight="1" x14ac:dyDescent="0.25"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00"/>
      <c r="AZ177" s="200"/>
      <c r="BA177" s="200"/>
      <c r="BB177" s="200"/>
      <c r="BC177" s="200"/>
      <c r="BD177" s="200"/>
    </row>
    <row r="178" spans="32:56" ht="24" customHeight="1" x14ac:dyDescent="0.25"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</row>
    <row r="179" spans="32:56" ht="24" customHeight="1" x14ac:dyDescent="0.25"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00"/>
      <c r="AZ179" s="200"/>
      <c r="BA179" s="200"/>
      <c r="BB179" s="200"/>
      <c r="BC179" s="200"/>
      <c r="BD179" s="200"/>
    </row>
    <row r="180" spans="32:56" ht="24" customHeight="1" x14ac:dyDescent="0.25"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00"/>
      <c r="AZ180" s="200"/>
      <c r="BA180" s="200"/>
      <c r="BB180" s="200"/>
      <c r="BC180" s="200"/>
      <c r="BD180" s="200"/>
    </row>
    <row r="181" spans="32:56" ht="24" customHeight="1" x14ac:dyDescent="0.25"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00"/>
      <c r="AZ181" s="200"/>
      <c r="BA181" s="200"/>
      <c r="BB181" s="200"/>
      <c r="BC181" s="200"/>
      <c r="BD181" s="200"/>
    </row>
    <row r="182" spans="32:56" ht="24" customHeight="1" x14ac:dyDescent="0.25"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200"/>
      <c r="BC182" s="200"/>
      <c r="BD182" s="200"/>
    </row>
    <row r="183" spans="32:56" ht="24" customHeight="1" x14ac:dyDescent="0.25"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200"/>
      <c r="AZ183" s="200"/>
      <c r="BA183" s="200"/>
      <c r="BB183" s="200"/>
      <c r="BC183" s="200"/>
      <c r="BD183" s="200"/>
    </row>
    <row r="184" spans="32:56" ht="24" customHeight="1" x14ac:dyDescent="0.25"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200"/>
      <c r="AZ184" s="200"/>
      <c r="BA184" s="200"/>
      <c r="BB184" s="200"/>
      <c r="BC184" s="200"/>
      <c r="BD184" s="200"/>
    </row>
    <row r="185" spans="32:56" ht="24" customHeight="1" x14ac:dyDescent="0.25"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200"/>
      <c r="AZ185" s="200"/>
      <c r="BA185" s="200"/>
      <c r="BB185" s="200"/>
      <c r="BC185" s="200"/>
      <c r="BD185" s="200"/>
    </row>
    <row r="186" spans="32:56" ht="24" customHeight="1" x14ac:dyDescent="0.25"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200"/>
      <c r="BC186" s="200"/>
      <c r="BD186" s="200"/>
    </row>
    <row r="187" spans="32:56" ht="24" customHeight="1" x14ac:dyDescent="0.25"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200"/>
      <c r="AZ187" s="200"/>
      <c r="BA187" s="200"/>
      <c r="BB187" s="200"/>
      <c r="BC187" s="200"/>
      <c r="BD187" s="200"/>
    </row>
    <row r="188" spans="32:56" ht="24" customHeight="1" x14ac:dyDescent="0.25"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200"/>
      <c r="AZ188" s="200"/>
      <c r="BA188" s="200"/>
      <c r="BB188" s="200"/>
      <c r="BC188" s="200"/>
      <c r="BD188" s="200"/>
    </row>
    <row r="189" spans="32:56" ht="24" customHeight="1" x14ac:dyDescent="0.25"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200"/>
      <c r="BC189" s="200"/>
      <c r="BD189" s="200"/>
    </row>
    <row r="190" spans="32:56" ht="24" customHeight="1" x14ac:dyDescent="0.25"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200"/>
      <c r="BC190" s="200"/>
      <c r="BD190" s="200"/>
    </row>
    <row r="191" spans="32:56" ht="24" customHeight="1" x14ac:dyDescent="0.25"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200"/>
      <c r="AZ191" s="200"/>
      <c r="BA191" s="200"/>
      <c r="BB191" s="200"/>
      <c r="BC191" s="200"/>
      <c r="BD191" s="200"/>
    </row>
    <row r="192" spans="32:56" ht="24" customHeight="1" x14ac:dyDescent="0.25"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200"/>
      <c r="BC192" s="200"/>
      <c r="BD192" s="200"/>
    </row>
    <row r="193" spans="32:56" ht="24" customHeight="1" x14ac:dyDescent="0.25"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200"/>
      <c r="BC193" s="200"/>
      <c r="BD193" s="200"/>
    </row>
    <row r="194" spans="32:56" ht="24" customHeight="1" x14ac:dyDescent="0.25"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200"/>
      <c r="BC194" s="200"/>
      <c r="BD194" s="200"/>
    </row>
    <row r="195" spans="32:56" ht="24" customHeight="1" x14ac:dyDescent="0.25"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200"/>
      <c r="BD195" s="200"/>
    </row>
    <row r="196" spans="32:56" ht="24" customHeight="1" x14ac:dyDescent="0.25"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200"/>
      <c r="BC196" s="200"/>
      <c r="BD196" s="200"/>
    </row>
    <row r="197" spans="32:56" ht="24" customHeight="1" x14ac:dyDescent="0.25"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200"/>
      <c r="BC197" s="200"/>
      <c r="BD197" s="200"/>
    </row>
    <row r="198" spans="32:56" ht="24" customHeight="1" x14ac:dyDescent="0.25"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200"/>
      <c r="BD198" s="200"/>
    </row>
    <row r="199" spans="32:56" ht="24" customHeight="1" x14ac:dyDescent="0.25"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200"/>
      <c r="BD199" s="200"/>
    </row>
    <row r="200" spans="32:56" ht="24" customHeight="1" x14ac:dyDescent="0.25"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200"/>
      <c r="BD200" s="200"/>
    </row>
    <row r="201" spans="32:56" ht="24" customHeight="1" x14ac:dyDescent="0.25"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200"/>
      <c r="BD201" s="200"/>
    </row>
    <row r="202" spans="32:56" ht="24" customHeight="1" x14ac:dyDescent="0.25"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200"/>
      <c r="BD202" s="200"/>
    </row>
    <row r="203" spans="32:56" ht="24" customHeight="1" x14ac:dyDescent="0.25"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200"/>
      <c r="BC203" s="200"/>
      <c r="BD203" s="200"/>
    </row>
    <row r="204" spans="32:56" ht="24" customHeight="1" x14ac:dyDescent="0.25"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200"/>
      <c r="BC204" s="200"/>
      <c r="BD204" s="200"/>
    </row>
    <row r="205" spans="32:56" ht="24" customHeight="1" x14ac:dyDescent="0.25"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200"/>
      <c r="BD205" s="200"/>
    </row>
    <row r="206" spans="32:56" ht="24" customHeight="1" x14ac:dyDescent="0.25"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200"/>
      <c r="BC206" s="200"/>
      <c r="BD206" s="200"/>
    </row>
    <row r="207" spans="32:56" ht="24" customHeight="1" x14ac:dyDescent="0.25"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200"/>
      <c r="BD207" s="200"/>
    </row>
    <row r="208" spans="32:56" ht="24" customHeight="1" x14ac:dyDescent="0.25"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200"/>
      <c r="BC208" s="200"/>
      <c r="BD208" s="200"/>
    </row>
    <row r="209" spans="32:56" ht="24" customHeight="1" x14ac:dyDescent="0.25"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</row>
    <row r="210" spans="32:56" ht="24" customHeight="1" x14ac:dyDescent="0.25"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200"/>
      <c r="BC210" s="200"/>
      <c r="BD210" s="200"/>
    </row>
    <row r="211" spans="32:56" ht="24" customHeight="1" x14ac:dyDescent="0.25"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200"/>
      <c r="BD211" s="200"/>
    </row>
    <row r="212" spans="32:56" ht="24" customHeight="1" x14ac:dyDescent="0.25"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200"/>
      <c r="BC212" s="200"/>
      <c r="BD212" s="200"/>
    </row>
    <row r="213" spans="32:56" ht="24" customHeight="1" x14ac:dyDescent="0.25"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200"/>
      <c r="BC213" s="200"/>
      <c r="BD213" s="200"/>
    </row>
    <row r="214" spans="32:56" ht="24" customHeight="1" x14ac:dyDescent="0.25"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200"/>
      <c r="BC214" s="200"/>
      <c r="BD214" s="200"/>
    </row>
    <row r="215" spans="32:56" ht="24" customHeight="1" x14ac:dyDescent="0.25"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200"/>
      <c r="BC215" s="200"/>
      <c r="BD215" s="200"/>
    </row>
    <row r="216" spans="32:56" ht="24" customHeight="1" x14ac:dyDescent="0.25"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200"/>
      <c r="BC216" s="200"/>
      <c r="BD216" s="200"/>
    </row>
    <row r="217" spans="32:56" ht="24" customHeight="1" x14ac:dyDescent="0.25"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200"/>
      <c r="BD217" s="200"/>
    </row>
    <row r="218" spans="32:56" ht="24" customHeight="1" x14ac:dyDescent="0.25"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200"/>
      <c r="BD218" s="200"/>
    </row>
    <row r="219" spans="32:56" ht="24" customHeight="1" x14ac:dyDescent="0.25"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200"/>
      <c r="BD219" s="200"/>
    </row>
    <row r="220" spans="32:56" ht="24" customHeight="1" x14ac:dyDescent="0.25"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200"/>
      <c r="BD220" s="200"/>
    </row>
    <row r="221" spans="32:56" ht="24" customHeight="1" x14ac:dyDescent="0.25"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200"/>
      <c r="BD221" s="200"/>
    </row>
    <row r="222" spans="32:56" ht="24" customHeight="1" x14ac:dyDescent="0.25"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200"/>
      <c r="BC222" s="200"/>
      <c r="BD222" s="200"/>
    </row>
    <row r="223" spans="32:56" ht="24" customHeight="1" x14ac:dyDescent="0.25"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200"/>
      <c r="BC223" s="200"/>
      <c r="BD223" s="200"/>
    </row>
    <row r="224" spans="32:56" ht="24" customHeight="1" x14ac:dyDescent="0.25"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200"/>
      <c r="BC224" s="200"/>
      <c r="BD224" s="200"/>
    </row>
    <row r="225" spans="32:56" ht="24" customHeight="1" x14ac:dyDescent="0.25"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200"/>
      <c r="BD225" s="200"/>
    </row>
    <row r="226" spans="32:56" ht="24" customHeight="1" x14ac:dyDescent="0.25"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200"/>
      <c r="BD226" s="200"/>
    </row>
    <row r="227" spans="32:56" ht="24" customHeight="1" x14ac:dyDescent="0.25"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200"/>
      <c r="BC227" s="200"/>
      <c r="BD227" s="200"/>
    </row>
    <row r="228" spans="32:56" ht="24" customHeight="1" x14ac:dyDescent="0.25"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200"/>
      <c r="BC228" s="200"/>
      <c r="BD228" s="200"/>
    </row>
    <row r="229" spans="32:56" ht="24" customHeight="1" x14ac:dyDescent="0.25"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200"/>
      <c r="BC229" s="200"/>
      <c r="BD229" s="200"/>
    </row>
    <row r="230" spans="32:56" ht="24" customHeight="1" x14ac:dyDescent="0.25"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200"/>
      <c r="BC230" s="200"/>
      <c r="BD230" s="200"/>
    </row>
    <row r="231" spans="32:56" ht="24" customHeight="1" x14ac:dyDescent="0.25"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200"/>
      <c r="BD231" s="200"/>
    </row>
    <row r="232" spans="32:56" ht="24" customHeight="1" x14ac:dyDescent="0.25"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200"/>
      <c r="BC232" s="200"/>
      <c r="BD232" s="200"/>
    </row>
    <row r="233" spans="32:56" ht="24" customHeight="1" x14ac:dyDescent="0.25"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200"/>
      <c r="BC233" s="200"/>
      <c r="BD233" s="200"/>
    </row>
    <row r="234" spans="32:56" ht="24" customHeight="1" x14ac:dyDescent="0.25"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200"/>
      <c r="BC234" s="200"/>
      <c r="BD234" s="200"/>
    </row>
    <row r="235" spans="32:56" ht="24" customHeight="1" x14ac:dyDescent="0.25"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200"/>
      <c r="BC235" s="200"/>
      <c r="BD235" s="200"/>
    </row>
    <row r="236" spans="32:56" ht="24" customHeight="1" x14ac:dyDescent="0.25"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200"/>
      <c r="BC236" s="200"/>
      <c r="BD236" s="200"/>
    </row>
    <row r="237" spans="32:56" ht="24" customHeight="1" x14ac:dyDescent="0.25"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200"/>
      <c r="BD237" s="200"/>
    </row>
    <row r="238" spans="32:56" ht="24" customHeight="1" x14ac:dyDescent="0.25"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200"/>
      <c r="BC238" s="200"/>
      <c r="BD238" s="200"/>
    </row>
    <row r="239" spans="32:56" ht="24" customHeight="1" x14ac:dyDescent="0.25"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200"/>
      <c r="BC239" s="200"/>
      <c r="BD239" s="200"/>
    </row>
    <row r="240" spans="32:56" ht="24" customHeight="1" x14ac:dyDescent="0.25"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200"/>
      <c r="BC240" s="200"/>
      <c r="BD240" s="200"/>
    </row>
    <row r="241" spans="32:56" ht="24" customHeight="1" x14ac:dyDescent="0.25"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200"/>
      <c r="BC241" s="200"/>
      <c r="BD241" s="200"/>
    </row>
    <row r="242" spans="32:56" ht="24" customHeight="1" x14ac:dyDescent="0.25"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200"/>
      <c r="BC242" s="200"/>
      <c r="BD242" s="200"/>
    </row>
    <row r="243" spans="32:56" ht="24" customHeight="1" x14ac:dyDescent="0.25"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200"/>
      <c r="BC243" s="200"/>
      <c r="BD243" s="200"/>
    </row>
    <row r="244" spans="32:56" ht="24" customHeight="1" x14ac:dyDescent="0.25"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200"/>
      <c r="BC244" s="200"/>
      <c r="BD244" s="200"/>
    </row>
    <row r="245" spans="32:56" ht="24" customHeight="1" x14ac:dyDescent="0.25"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200"/>
      <c r="BC245" s="200"/>
      <c r="BD245" s="200"/>
    </row>
    <row r="246" spans="32:56" ht="24" customHeight="1" x14ac:dyDescent="0.25"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200"/>
      <c r="BC246" s="200"/>
      <c r="BD246" s="200"/>
    </row>
    <row r="247" spans="32:56" ht="24" customHeight="1" x14ac:dyDescent="0.25"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200"/>
      <c r="BC247" s="200"/>
      <c r="BD247" s="200"/>
    </row>
    <row r="248" spans="32:56" ht="24" customHeight="1" x14ac:dyDescent="0.25"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200"/>
      <c r="BC248" s="200"/>
      <c r="BD248" s="200"/>
    </row>
    <row r="249" spans="32:56" ht="24" customHeight="1" x14ac:dyDescent="0.25"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200"/>
      <c r="BC249" s="200"/>
      <c r="BD249" s="200"/>
    </row>
    <row r="250" spans="32:56" ht="24" customHeight="1" x14ac:dyDescent="0.25"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200"/>
      <c r="BC250" s="200"/>
      <c r="BD250" s="200"/>
    </row>
    <row r="251" spans="32:56" ht="24" customHeight="1" x14ac:dyDescent="0.25"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200"/>
      <c r="BD251" s="200"/>
    </row>
    <row r="252" spans="32:56" ht="24" customHeight="1" x14ac:dyDescent="0.25"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200"/>
      <c r="BD252" s="200"/>
    </row>
    <row r="253" spans="32:56" ht="24" customHeight="1" x14ac:dyDescent="0.25"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200"/>
      <c r="BC253" s="200"/>
      <c r="BD253" s="200"/>
    </row>
    <row r="254" spans="32:56" ht="24" customHeight="1" x14ac:dyDescent="0.25"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200"/>
      <c r="BC254" s="200"/>
      <c r="BD254" s="200"/>
    </row>
    <row r="255" spans="32:56" ht="24" customHeight="1" x14ac:dyDescent="0.25"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200"/>
      <c r="BC255" s="200"/>
      <c r="BD255" s="200"/>
    </row>
    <row r="256" spans="32:56" ht="24" customHeight="1" x14ac:dyDescent="0.25"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200"/>
      <c r="BC256" s="200"/>
      <c r="BD256" s="200"/>
    </row>
    <row r="257" spans="32:56" ht="24" customHeight="1" x14ac:dyDescent="0.25"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200"/>
      <c r="BC257" s="200"/>
      <c r="BD257" s="200"/>
    </row>
    <row r="258" spans="32:56" ht="24" customHeight="1" x14ac:dyDescent="0.25"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200"/>
      <c r="BC258" s="200"/>
      <c r="BD258" s="200"/>
    </row>
    <row r="259" spans="32:56" ht="24" customHeight="1" x14ac:dyDescent="0.25"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200"/>
      <c r="BD259" s="200"/>
    </row>
    <row r="260" spans="32:56" ht="24" customHeight="1" x14ac:dyDescent="0.25"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  <c r="AT260" s="200"/>
      <c r="AU260" s="200"/>
      <c r="AV260" s="200"/>
      <c r="AW260" s="200"/>
      <c r="AX260" s="200"/>
      <c r="AY260" s="200"/>
      <c r="AZ260" s="200"/>
      <c r="BA260" s="200"/>
      <c r="BB260" s="200"/>
      <c r="BC260" s="200"/>
      <c r="BD260" s="200"/>
    </row>
    <row r="261" spans="32:56" ht="24" customHeight="1" x14ac:dyDescent="0.25"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  <c r="AT261" s="200"/>
      <c r="AU261" s="200"/>
      <c r="AV261" s="200"/>
      <c r="AW261" s="200"/>
      <c r="AX261" s="200"/>
      <c r="AY261" s="200"/>
      <c r="AZ261" s="200"/>
      <c r="BA261" s="200"/>
      <c r="BB261" s="200"/>
      <c r="BC261" s="200"/>
      <c r="BD261" s="200"/>
    </row>
    <row r="262" spans="32:56" ht="24" customHeight="1" x14ac:dyDescent="0.25"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200"/>
      <c r="BC262" s="200"/>
      <c r="BD262" s="200"/>
    </row>
    <row r="263" spans="32:56" ht="24" customHeight="1" x14ac:dyDescent="0.25"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200"/>
      <c r="AQ263" s="200"/>
      <c r="AR263" s="200"/>
      <c r="AS263" s="200"/>
      <c r="AT263" s="200"/>
      <c r="AU263" s="200"/>
      <c r="AV263" s="200"/>
      <c r="AW263" s="200"/>
      <c r="AX263" s="200"/>
      <c r="AY263" s="200"/>
      <c r="AZ263" s="200"/>
      <c r="BA263" s="200"/>
      <c r="BB263" s="200"/>
      <c r="BC263" s="200"/>
      <c r="BD263" s="200"/>
    </row>
    <row r="264" spans="32:56" ht="24" customHeight="1" x14ac:dyDescent="0.25"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  <c r="AT264" s="200"/>
      <c r="AU264" s="200"/>
      <c r="AV264" s="200"/>
      <c r="AW264" s="200"/>
      <c r="AX264" s="200"/>
      <c r="AY264" s="200"/>
      <c r="AZ264" s="200"/>
      <c r="BA264" s="200"/>
      <c r="BB264" s="200"/>
      <c r="BC264" s="200"/>
      <c r="BD264" s="200"/>
    </row>
    <row r="265" spans="32:56" ht="24" customHeight="1" x14ac:dyDescent="0.25"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  <c r="AT265" s="200"/>
      <c r="AU265" s="200"/>
      <c r="AV265" s="200"/>
      <c r="AW265" s="200"/>
      <c r="AX265" s="200"/>
      <c r="AY265" s="200"/>
      <c r="AZ265" s="200"/>
      <c r="BA265" s="200"/>
      <c r="BB265" s="200"/>
      <c r="BC265" s="200"/>
      <c r="BD265" s="200"/>
    </row>
    <row r="266" spans="32:56" ht="24" customHeight="1" x14ac:dyDescent="0.25"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  <c r="AT266" s="200"/>
      <c r="AU266" s="200"/>
      <c r="AV266" s="200"/>
      <c r="AW266" s="200"/>
      <c r="AX266" s="200"/>
      <c r="AY266" s="200"/>
      <c r="AZ266" s="200"/>
      <c r="BA266" s="200"/>
      <c r="BB266" s="200"/>
      <c r="BC266" s="200"/>
      <c r="BD266" s="200"/>
    </row>
    <row r="267" spans="32:56" ht="24" customHeight="1" x14ac:dyDescent="0.25"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  <c r="AT267" s="200"/>
      <c r="AU267" s="200"/>
      <c r="AV267" s="200"/>
      <c r="AW267" s="200"/>
      <c r="AX267" s="200"/>
      <c r="AY267" s="200"/>
      <c r="AZ267" s="200"/>
      <c r="BA267" s="200"/>
      <c r="BB267" s="200"/>
      <c r="BC267" s="200"/>
      <c r="BD267" s="200"/>
    </row>
    <row r="268" spans="32:56" ht="24" customHeight="1" x14ac:dyDescent="0.25"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  <c r="AT268" s="200"/>
      <c r="AU268" s="200"/>
      <c r="AV268" s="200"/>
      <c r="AW268" s="200"/>
      <c r="AX268" s="200"/>
      <c r="AY268" s="200"/>
      <c r="AZ268" s="200"/>
      <c r="BA268" s="200"/>
      <c r="BB268" s="200"/>
      <c r="BC268" s="200"/>
      <c r="BD268" s="200"/>
    </row>
    <row r="269" spans="32:56" ht="24" customHeight="1" x14ac:dyDescent="0.25"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00"/>
      <c r="BB269" s="200"/>
      <c r="BC269" s="200"/>
      <c r="BD269" s="200"/>
    </row>
    <row r="270" spans="32:56" ht="24" customHeight="1" x14ac:dyDescent="0.25"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00"/>
      <c r="AZ270" s="200"/>
      <c r="BA270" s="200"/>
      <c r="BB270" s="200"/>
      <c r="BC270" s="200"/>
      <c r="BD270" s="200"/>
    </row>
    <row r="271" spans="32:56" ht="24" customHeight="1" x14ac:dyDescent="0.25"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00"/>
      <c r="BB271" s="200"/>
      <c r="BC271" s="200"/>
      <c r="BD271" s="200"/>
    </row>
    <row r="272" spans="32:56" ht="24" customHeight="1" x14ac:dyDescent="0.25"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00"/>
      <c r="AZ272" s="200"/>
      <c r="BA272" s="200"/>
      <c r="BB272" s="200"/>
      <c r="BC272" s="200"/>
      <c r="BD272" s="200"/>
    </row>
    <row r="273" spans="32:56" ht="24" customHeight="1" x14ac:dyDescent="0.25"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00"/>
      <c r="BB273" s="200"/>
      <c r="BC273" s="200"/>
      <c r="BD273" s="200"/>
    </row>
    <row r="274" spans="32:56" ht="24" customHeight="1" x14ac:dyDescent="0.25"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00"/>
      <c r="AZ274" s="200"/>
      <c r="BA274" s="200"/>
      <c r="BB274" s="200"/>
      <c r="BC274" s="200"/>
      <c r="BD274" s="200"/>
    </row>
    <row r="275" spans="32:56" ht="24" customHeight="1" x14ac:dyDescent="0.25"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00"/>
      <c r="BB275" s="200"/>
      <c r="BC275" s="200"/>
      <c r="BD275" s="200"/>
    </row>
    <row r="276" spans="32:56" ht="24" customHeight="1" x14ac:dyDescent="0.25"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200"/>
      <c r="BC276" s="200"/>
      <c r="BD276" s="200"/>
    </row>
    <row r="277" spans="32:56" ht="24" customHeight="1" x14ac:dyDescent="0.25"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00"/>
      <c r="BB277" s="200"/>
      <c r="BC277" s="200"/>
      <c r="BD277" s="200"/>
    </row>
    <row r="278" spans="32:56" ht="24" customHeight="1" x14ac:dyDescent="0.25"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00"/>
      <c r="AZ278" s="200"/>
      <c r="BA278" s="200"/>
      <c r="BB278" s="200"/>
      <c r="BC278" s="200"/>
      <c r="BD278" s="200"/>
    </row>
    <row r="279" spans="32:56" ht="24" customHeight="1" x14ac:dyDescent="0.25"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200"/>
      <c r="BC279" s="200"/>
      <c r="BD279" s="200"/>
    </row>
    <row r="280" spans="32:56" ht="24" customHeight="1" x14ac:dyDescent="0.25"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  <c r="AU280" s="200"/>
      <c r="AV280" s="200"/>
      <c r="AW280" s="200"/>
      <c r="AX280" s="200"/>
      <c r="AY280" s="200"/>
      <c r="AZ280" s="200"/>
      <c r="BA280" s="200"/>
      <c r="BB280" s="200"/>
      <c r="BC280" s="200"/>
      <c r="BD280" s="200"/>
    </row>
    <row r="281" spans="32:56" ht="24" customHeight="1" x14ac:dyDescent="0.25"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AX281" s="200"/>
      <c r="AY281" s="200"/>
      <c r="AZ281" s="200"/>
      <c r="BA281" s="200"/>
      <c r="BB281" s="200"/>
      <c r="BC281" s="200"/>
      <c r="BD281" s="200"/>
    </row>
    <row r="282" spans="32:56" ht="24" customHeight="1" x14ac:dyDescent="0.25"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  <c r="AU282" s="200"/>
      <c r="AV282" s="200"/>
      <c r="AW282" s="200"/>
      <c r="AX282" s="200"/>
      <c r="AY282" s="200"/>
      <c r="AZ282" s="200"/>
      <c r="BA282" s="200"/>
      <c r="BB282" s="200"/>
      <c r="BC282" s="200"/>
      <c r="BD282" s="200"/>
    </row>
    <row r="283" spans="32:56" ht="24" customHeight="1" x14ac:dyDescent="0.25"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  <c r="AU283" s="200"/>
      <c r="AV283" s="200"/>
      <c r="AW283" s="200"/>
      <c r="AX283" s="200"/>
      <c r="AY283" s="200"/>
      <c r="AZ283" s="200"/>
      <c r="BA283" s="200"/>
      <c r="BB283" s="200"/>
      <c r="BC283" s="200"/>
      <c r="BD283" s="200"/>
    </row>
    <row r="284" spans="32:56" ht="24" customHeight="1" x14ac:dyDescent="0.25"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  <c r="AU284" s="200"/>
      <c r="AV284" s="200"/>
      <c r="AW284" s="200"/>
      <c r="AX284" s="200"/>
      <c r="AY284" s="200"/>
      <c r="AZ284" s="200"/>
      <c r="BA284" s="200"/>
      <c r="BB284" s="200"/>
      <c r="BC284" s="200"/>
      <c r="BD284" s="200"/>
    </row>
    <row r="285" spans="32:56" ht="24" customHeight="1" x14ac:dyDescent="0.25"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200"/>
      <c r="BC285" s="200"/>
      <c r="BD285" s="200"/>
    </row>
    <row r="286" spans="32:56" ht="24" customHeight="1" x14ac:dyDescent="0.25"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00"/>
      <c r="AZ286" s="200"/>
      <c r="BA286" s="200"/>
      <c r="BB286" s="200"/>
      <c r="BC286" s="200"/>
      <c r="BD286" s="200"/>
    </row>
    <row r="287" spans="32:56" ht="24" customHeight="1" x14ac:dyDescent="0.25"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00"/>
      <c r="BB287" s="200"/>
      <c r="BC287" s="200"/>
      <c r="BD287" s="200"/>
    </row>
    <row r="288" spans="32:56" ht="24" customHeight="1" x14ac:dyDescent="0.25"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00"/>
      <c r="AZ288" s="200"/>
      <c r="BA288" s="200"/>
      <c r="BB288" s="200"/>
      <c r="BC288" s="200"/>
      <c r="BD288" s="200"/>
    </row>
    <row r="289" spans="32:56" ht="24" customHeight="1" x14ac:dyDescent="0.25"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00"/>
      <c r="BB289" s="200"/>
      <c r="BC289" s="200"/>
      <c r="BD289" s="200"/>
    </row>
    <row r="290" spans="32:56" ht="24" customHeight="1" x14ac:dyDescent="0.25"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00"/>
      <c r="AZ290" s="200"/>
      <c r="BA290" s="200"/>
      <c r="BB290" s="200"/>
      <c r="BC290" s="200"/>
      <c r="BD290" s="200"/>
    </row>
    <row r="291" spans="32:56" ht="24" customHeight="1" x14ac:dyDescent="0.25"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00"/>
      <c r="BB291" s="200"/>
      <c r="BC291" s="200"/>
      <c r="BD291" s="200"/>
    </row>
    <row r="292" spans="32:56" ht="24" customHeight="1" x14ac:dyDescent="0.25"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200"/>
      <c r="BC292" s="200"/>
      <c r="BD292" s="200"/>
    </row>
    <row r="293" spans="32:56" ht="24" customHeight="1" x14ac:dyDescent="0.25"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00"/>
      <c r="BB293" s="200"/>
      <c r="BC293" s="200"/>
      <c r="BD293" s="200"/>
    </row>
    <row r="294" spans="32:56" ht="24" customHeight="1" x14ac:dyDescent="0.25"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00"/>
      <c r="BB294" s="200"/>
      <c r="BC294" s="200"/>
      <c r="BD294" s="200"/>
    </row>
    <row r="295" spans="32:56" ht="24" customHeight="1" x14ac:dyDescent="0.25"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00"/>
      <c r="BB295" s="200"/>
      <c r="BC295" s="200"/>
      <c r="BD295" s="200"/>
    </row>
    <row r="296" spans="32:56" ht="24" customHeight="1" x14ac:dyDescent="0.25"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00"/>
      <c r="BB296" s="200"/>
      <c r="BC296" s="200"/>
      <c r="BD296" s="200"/>
    </row>
    <row r="297" spans="32:56" ht="24" customHeight="1" x14ac:dyDescent="0.25"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00"/>
      <c r="BB297" s="200"/>
      <c r="BC297" s="200"/>
      <c r="BD297" s="200"/>
    </row>
    <row r="298" spans="32:56" ht="24" customHeight="1" x14ac:dyDescent="0.25"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00"/>
      <c r="BB298" s="200"/>
      <c r="BC298" s="200"/>
      <c r="BD298" s="200"/>
    </row>
    <row r="299" spans="32:56" ht="24" customHeight="1" x14ac:dyDescent="0.25"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00"/>
      <c r="BB299" s="200"/>
      <c r="BC299" s="200"/>
      <c r="BD299" s="200"/>
    </row>
    <row r="300" spans="32:56" ht="24" customHeight="1" x14ac:dyDescent="0.25"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00"/>
      <c r="BB300" s="200"/>
      <c r="BC300" s="200"/>
      <c r="BD300" s="200"/>
    </row>
    <row r="301" spans="32:56" ht="24" customHeight="1" x14ac:dyDescent="0.25"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00"/>
      <c r="BB301" s="200"/>
      <c r="BC301" s="200"/>
      <c r="BD301" s="200"/>
    </row>
    <row r="302" spans="32:56" ht="24" customHeight="1" x14ac:dyDescent="0.25"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200"/>
      <c r="BC302" s="200"/>
      <c r="BD302" s="200"/>
    </row>
    <row r="303" spans="32:56" ht="24" customHeight="1" x14ac:dyDescent="0.25"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00"/>
      <c r="BB303" s="200"/>
      <c r="BC303" s="200"/>
      <c r="BD303" s="200"/>
    </row>
    <row r="304" spans="32:56" ht="24" customHeight="1" x14ac:dyDescent="0.25"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00"/>
      <c r="BB304" s="200"/>
      <c r="BC304" s="200"/>
      <c r="BD304" s="200"/>
    </row>
    <row r="305" spans="32:56" ht="24" customHeight="1" x14ac:dyDescent="0.25">
      <c r="AF305" s="200"/>
      <c r="AG305" s="200"/>
      <c r="AH305" s="200"/>
      <c r="AI305" s="200"/>
      <c r="AJ305" s="200"/>
      <c r="AK305" s="200"/>
      <c r="AL305" s="200"/>
      <c r="AM305" s="200"/>
      <c r="AN305" s="200"/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00"/>
      <c r="BB305" s="200"/>
      <c r="BC305" s="200"/>
      <c r="BD305" s="200"/>
    </row>
    <row r="306" spans="32:56" ht="24" customHeight="1" x14ac:dyDescent="0.25">
      <c r="AF306" s="200"/>
      <c r="AG306" s="200"/>
      <c r="AH306" s="200"/>
      <c r="AI306" s="200"/>
      <c r="AJ306" s="200"/>
      <c r="AK306" s="200"/>
      <c r="AL306" s="200"/>
      <c r="AM306" s="200"/>
      <c r="AN306" s="200"/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00"/>
      <c r="BB306" s="200"/>
      <c r="BC306" s="200"/>
      <c r="BD306" s="200"/>
    </row>
    <row r="307" spans="32:56" ht="24" customHeight="1" x14ac:dyDescent="0.25">
      <c r="AF307" s="200"/>
      <c r="AG307" s="200"/>
      <c r="AH307" s="200"/>
      <c r="AI307" s="200"/>
      <c r="AJ307" s="200"/>
      <c r="AK307" s="200"/>
      <c r="AL307" s="200"/>
      <c r="AM307" s="200"/>
      <c r="AN307" s="200"/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00"/>
      <c r="BB307" s="200"/>
      <c r="BC307" s="200"/>
      <c r="BD307" s="200"/>
    </row>
    <row r="308" spans="32:56" ht="24" customHeight="1" x14ac:dyDescent="0.25">
      <c r="AF308" s="200"/>
      <c r="AG308" s="200"/>
      <c r="AH308" s="200"/>
      <c r="AI308" s="200"/>
      <c r="AJ308" s="200"/>
      <c r="AK308" s="200"/>
      <c r="AL308" s="200"/>
      <c r="AM308" s="200"/>
      <c r="AN308" s="200"/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00"/>
      <c r="BB308" s="200"/>
      <c r="BC308" s="200"/>
      <c r="BD308" s="200"/>
    </row>
    <row r="309" spans="32:56" ht="24" customHeight="1" x14ac:dyDescent="0.25">
      <c r="AF309" s="200"/>
      <c r="AG309" s="200"/>
      <c r="AH309" s="200"/>
      <c r="AI309" s="200"/>
      <c r="AJ309" s="200"/>
      <c r="AK309" s="200"/>
      <c r="AL309" s="200"/>
      <c r="AM309" s="200"/>
      <c r="AN309" s="200"/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00"/>
      <c r="BB309" s="200"/>
      <c r="BC309" s="200"/>
      <c r="BD309" s="200"/>
    </row>
    <row r="310" spans="32:56" ht="24" customHeight="1" x14ac:dyDescent="0.25">
      <c r="AF310" s="200"/>
      <c r="AG310" s="200"/>
      <c r="AH310" s="200"/>
      <c r="AI310" s="200"/>
      <c r="AJ310" s="200"/>
      <c r="AK310" s="200"/>
      <c r="AL310" s="200"/>
      <c r="AM310" s="200"/>
      <c r="AN310" s="200"/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00"/>
      <c r="BB310" s="200"/>
      <c r="BC310" s="200"/>
      <c r="BD310" s="200"/>
    </row>
    <row r="311" spans="32:56" ht="24" customHeight="1" x14ac:dyDescent="0.25">
      <c r="AF311" s="200"/>
      <c r="AG311" s="200"/>
      <c r="AH311" s="200"/>
      <c r="AI311" s="200"/>
      <c r="AJ311" s="200"/>
      <c r="AK311" s="200"/>
      <c r="AL311" s="200"/>
      <c r="AM311" s="200"/>
      <c r="AN311" s="200"/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00"/>
      <c r="BB311" s="200"/>
      <c r="BC311" s="200"/>
      <c r="BD311" s="200"/>
    </row>
    <row r="312" spans="32:56" ht="24" customHeight="1" x14ac:dyDescent="0.25">
      <c r="AF312" s="200"/>
      <c r="AG312" s="200"/>
      <c r="AH312" s="200"/>
      <c r="AI312" s="200"/>
      <c r="AJ312" s="200"/>
      <c r="AK312" s="200"/>
      <c r="AL312" s="200"/>
      <c r="AM312" s="200"/>
      <c r="AN312" s="200"/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00"/>
      <c r="BB312" s="200"/>
      <c r="BC312" s="200"/>
      <c r="BD312" s="200"/>
    </row>
    <row r="313" spans="32:56" ht="24" customHeight="1" x14ac:dyDescent="0.25">
      <c r="AF313" s="200"/>
      <c r="AG313" s="200"/>
      <c r="AH313" s="200"/>
      <c r="AI313" s="200"/>
      <c r="AJ313" s="200"/>
      <c r="AK313" s="200"/>
      <c r="AL313" s="200"/>
      <c r="AM313" s="200"/>
      <c r="AN313" s="200"/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00"/>
      <c r="BB313" s="200"/>
      <c r="BC313" s="200"/>
      <c r="BD313" s="200"/>
    </row>
    <row r="314" spans="32:56" ht="24" customHeight="1" x14ac:dyDescent="0.25">
      <c r="AF314" s="200"/>
      <c r="AG314" s="200"/>
      <c r="AH314" s="200"/>
      <c r="AI314" s="200"/>
      <c r="AJ314" s="200"/>
      <c r="AK314" s="200"/>
      <c r="AL314" s="200"/>
      <c r="AM314" s="200"/>
      <c r="AN314" s="200"/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00"/>
      <c r="BB314" s="200"/>
      <c r="BC314" s="200"/>
      <c r="BD314" s="200"/>
    </row>
    <row r="315" spans="32:56" ht="24" customHeight="1" x14ac:dyDescent="0.25">
      <c r="AF315" s="200"/>
      <c r="AG315" s="200"/>
      <c r="AH315" s="200"/>
      <c r="AI315" s="200"/>
      <c r="AJ315" s="200"/>
      <c r="AK315" s="200"/>
      <c r="AL315" s="200"/>
      <c r="AM315" s="200"/>
      <c r="AN315" s="200"/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00"/>
      <c r="BB315" s="200"/>
      <c r="BC315" s="200"/>
      <c r="BD315" s="200"/>
    </row>
    <row r="316" spans="32:56" ht="24" customHeight="1" x14ac:dyDescent="0.25">
      <c r="AF316" s="200"/>
      <c r="AG316" s="200"/>
      <c r="AH316" s="200"/>
      <c r="AI316" s="200"/>
      <c r="AJ316" s="200"/>
      <c r="AK316" s="200"/>
      <c r="AL316" s="200"/>
      <c r="AM316" s="200"/>
      <c r="AN316" s="200"/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00"/>
      <c r="BB316" s="200"/>
      <c r="BC316" s="200"/>
      <c r="BD316" s="200"/>
    </row>
    <row r="317" spans="32:56" ht="24" customHeight="1" x14ac:dyDescent="0.25">
      <c r="AF317" s="200"/>
      <c r="AG317" s="200"/>
      <c r="AH317" s="200"/>
      <c r="AI317" s="200"/>
      <c r="AJ317" s="200"/>
      <c r="AK317" s="200"/>
      <c r="AL317" s="200"/>
      <c r="AM317" s="200"/>
      <c r="AN317" s="200"/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00"/>
      <c r="BB317" s="200"/>
      <c r="BC317" s="200"/>
      <c r="BD317" s="200"/>
    </row>
    <row r="318" spans="32:56" ht="24" customHeight="1" x14ac:dyDescent="0.25">
      <c r="AF318" s="200"/>
      <c r="AG318" s="200"/>
      <c r="AH318" s="200"/>
      <c r="AI318" s="200"/>
      <c r="AJ318" s="200"/>
      <c r="AK318" s="200"/>
      <c r="AL318" s="200"/>
      <c r="AM318" s="200"/>
      <c r="AN318" s="200"/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00"/>
      <c r="BB318" s="200"/>
      <c r="BC318" s="200"/>
      <c r="BD318" s="200"/>
    </row>
    <row r="319" spans="32:56" ht="24" customHeight="1" x14ac:dyDescent="0.25">
      <c r="AF319" s="200"/>
      <c r="AG319" s="200"/>
      <c r="AH319" s="200"/>
      <c r="AI319" s="200"/>
      <c r="AJ319" s="200"/>
      <c r="AK319" s="200"/>
      <c r="AL319" s="200"/>
      <c r="AM319" s="200"/>
      <c r="AN319" s="200"/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00"/>
      <c r="BB319" s="200"/>
      <c r="BC319" s="200"/>
      <c r="BD319" s="200"/>
    </row>
    <row r="320" spans="32:56" ht="24" customHeight="1" x14ac:dyDescent="0.25">
      <c r="AF320" s="200"/>
      <c r="AG320" s="200"/>
      <c r="AH320" s="200"/>
      <c r="AI320" s="200"/>
      <c r="AJ320" s="200"/>
      <c r="AK320" s="200"/>
      <c r="AL320" s="200"/>
      <c r="AM320" s="200"/>
      <c r="AN320" s="200"/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00"/>
      <c r="BB320" s="200"/>
      <c r="BC320" s="200"/>
      <c r="BD320" s="200"/>
    </row>
    <row r="321" spans="32:56" ht="24" customHeight="1" x14ac:dyDescent="0.25">
      <c r="AF321" s="200"/>
      <c r="AG321" s="200"/>
      <c r="AH321" s="200"/>
      <c r="AI321" s="200"/>
      <c r="AJ321" s="200"/>
      <c r="AK321" s="200"/>
      <c r="AL321" s="200"/>
      <c r="AM321" s="200"/>
      <c r="AN321" s="200"/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00"/>
      <c r="BB321" s="200"/>
      <c r="BC321" s="200"/>
      <c r="BD321" s="200"/>
    </row>
    <row r="322" spans="32:56" ht="24" customHeight="1" x14ac:dyDescent="0.25">
      <c r="AF322" s="200"/>
      <c r="AG322" s="200"/>
      <c r="AH322" s="200"/>
      <c r="AI322" s="200"/>
      <c r="AJ322" s="200"/>
      <c r="AK322" s="200"/>
      <c r="AL322" s="200"/>
      <c r="AM322" s="200"/>
      <c r="AN322" s="200"/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00"/>
      <c r="BB322" s="200"/>
      <c r="BC322" s="200"/>
      <c r="BD322" s="200"/>
    </row>
    <row r="323" spans="32:56" ht="24" customHeight="1" x14ac:dyDescent="0.25">
      <c r="AF323" s="200"/>
      <c r="AG323" s="200"/>
      <c r="AH323" s="200"/>
      <c r="AI323" s="200"/>
      <c r="AJ323" s="200"/>
      <c r="AK323" s="200"/>
      <c r="AL323" s="200"/>
      <c r="AM323" s="200"/>
      <c r="AN323" s="200"/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00"/>
      <c r="BB323" s="200"/>
      <c r="BC323" s="200"/>
      <c r="BD323" s="200"/>
    </row>
    <row r="324" spans="32:56" ht="24" customHeight="1" x14ac:dyDescent="0.25">
      <c r="AF324" s="200"/>
      <c r="AG324" s="200"/>
      <c r="AH324" s="200"/>
      <c r="AI324" s="200"/>
      <c r="AJ324" s="200"/>
      <c r="AK324" s="200"/>
      <c r="AL324" s="200"/>
      <c r="AM324" s="200"/>
      <c r="AN324" s="200"/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00"/>
      <c r="BB324" s="200"/>
      <c r="BC324" s="200"/>
      <c r="BD324" s="200"/>
    </row>
    <row r="325" spans="32:56" ht="24" customHeight="1" x14ac:dyDescent="0.25">
      <c r="AF325" s="200"/>
      <c r="AG325" s="200"/>
      <c r="AH325" s="200"/>
      <c r="AI325" s="200"/>
      <c r="AJ325" s="200"/>
      <c r="AK325" s="200"/>
      <c r="AL325" s="200"/>
      <c r="AM325" s="200"/>
      <c r="AN325" s="200"/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00"/>
      <c r="BB325" s="200"/>
      <c r="BC325" s="200"/>
      <c r="BD325" s="200"/>
    </row>
    <row r="326" spans="32:56" ht="24" customHeight="1" x14ac:dyDescent="0.25">
      <c r="AF326" s="200"/>
      <c r="AG326" s="200"/>
      <c r="AH326" s="200"/>
      <c r="AI326" s="200"/>
      <c r="AJ326" s="200"/>
      <c r="AK326" s="200"/>
      <c r="AL326" s="200"/>
      <c r="AM326" s="200"/>
      <c r="AN326" s="200"/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00"/>
      <c r="BB326" s="200"/>
      <c r="BC326" s="200"/>
      <c r="BD326" s="200"/>
    </row>
    <row r="327" spans="32:56" ht="24" customHeight="1" x14ac:dyDescent="0.25">
      <c r="AF327" s="200"/>
      <c r="AG327" s="200"/>
      <c r="AH327" s="200"/>
      <c r="AI327" s="200"/>
      <c r="AJ327" s="200"/>
      <c r="AK327" s="200"/>
      <c r="AL327" s="200"/>
      <c r="AM327" s="200"/>
      <c r="AN327" s="200"/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00"/>
      <c r="BB327" s="200"/>
      <c r="BC327" s="200"/>
      <c r="BD327" s="200"/>
    </row>
    <row r="328" spans="32:56" ht="24" customHeight="1" x14ac:dyDescent="0.25">
      <c r="AF328" s="200"/>
      <c r="AG328" s="200"/>
      <c r="AH328" s="200"/>
      <c r="AI328" s="200"/>
      <c r="AJ328" s="200"/>
      <c r="AK328" s="200"/>
      <c r="AL328" s="200"/>
      <c r="AM328" s="200"/>
      <c r="AN328" s="200"/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00"/>
      <c r="BB328" s="200"/>
      <c r="BC328" s="200"/>
      <c r="BD328" s="200"/>
    </row>
    <row r="329" spans="32:56" ht="24" customHeight="1" x14ac:dyDescent="0.25">
      <c r="AF329" s="200"/>
      <c r="AG329" s="200"/>
      <c r="AH329" s="200"/>
      <c r="AI329" s="200"/>
      <c r="AJ329" s="200"/>
      <c r="AK329" s="200"/>
      <c r="AL329" s="200"/>
      <c r="AM329" s="200"/>
      <c r="AN329" s="200"/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00"/>
      <c r="BB329" s="200"/>
      <c r="BC329" s="200"/>
      <c r="BD329" s="200"/>
    </row>
    <row r="330" spans="32:56" ht="24" customHeight="1" x14ac:dyDescent="0.25">
      <c r="AF330" s="200"/>
      <c r="AG330" s="200"/>
      <c r="AH330" s="200"/>
      <c r="AI330" s="200"/>
      <c r="AJ330" s="200"/>
      <c r="AK330" s="200"/>
      <c r="AL330" s="200"/>
      <c r="AM330" s="200"/>
      <c r="AN330" s="200"/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00"/>
      <c r="BB330" s="200"/>
      <c r="BC330" s="200"/>
      <c r="BD330" s="200"/>
    </row>
    <row r="331" spans="32:56" ht="24" customHeight="1" x14ac:dyDescent="0.25">
      <c r="AF331" s="200"/>
      <c r="AG331" s="200"/>
      <c r="AH331" s="200"/>
      <c r="AI331" s="200"/>
      <c r="AJ331" s="200"/>
      <c r="AK331" s="200"/>
      <c r="AL331" s="200"/>
      <c r="AM331" s="200"/>
      <c r="AN331" s="200"/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00"/>
      <c r="BB331" s="200"/>
      <c r="BC331" s="200"/>
      <c r="BD331" s="200"/>
    </row>
    <row r="332" spans="32:56" ht="24" customHeight="1" x14ac:dyDescent="0.25">
      <c r="AF332" s="200"/>
      <c r="AG332" s="200"/>
      <c r="AH332" s="200"/>
      <c r="AI332" s="200"/>
      <c r="AJ332" s="200"/>
      <c r="AK332" s="200"/>
      <c r="AL332" s="200"/>
      <c r="AM332" s="200"/>
      <c r="AN332" s="200"/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00"/>
      <c r="BB332" s="200"/>
      <c r="BC332" s="200"/>
      <c r="BD332" s="200"/>
    </row>
    <row r="333" spans="32:56" ht="24" customHeight="1" x14ac:dyDescent="0.25">
      <c r="AF333" s="200"/>
      <c r="AG333" s="200"/>
      <c r="AH333" s="200"/>
      <c r="AI333" s="200"/>
      <c r="AJ333" s="200"/>
      <c r="AK333" s="200"/>
      <c r="AL333" s="200"/>
      <c r="AM333" s="200"/>
      <c r="AN333" s="200"/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00"/>
      <c r="BB333" s="200"/>
      <c r="BC333" s="200"/>
      <c r="BD333" s="200"/>
    </row>
    <row r="334" spans="32:56" ht="24" customHeight="1" x14ac:dyDescent="0.25">
      <c r="AF334" s="200"/>
      <c r="AG334" s="200"/>
      <c r="AH334" s="200"/>
      <c r="AI334" s="200"/>
      <c r="AJ334" s="200"/>
      <c r="AK334" s="200"/>
      <c r="AL334" s="200"/>
      <c r="AM334" s="200"/>
      <c r="AN334" s="200"/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00"/>
      <c r="BB334" s="200"/>
      <c r="BC334" s="200"/>
      <c r="BD334" s="200"/>
    </row>
    <row r="335" spans="32:56" ht="24" customHeight="1" x14ac:dyDescent="0.25">
      <c r="AF335" s="200"/>
      <c r="AG335" s="200"/>
      <c r="AH335" s="200"/>
      <c r="AI335" s="200"/>
      <c r="AJ335" s="200"/>
      <c r="AK335" s="200"/>
      <c r="AL335" s="200"/>
      <c r="AM335" s="200"/>
      <c r="AN335" s="200"/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00"/>
      <c r="BB335" s="200"/>
      <c r="BC335" s="200"/>
      <c r="BD335" s="200"/>
    </row>
    <row r="336" spans="32:56" ht="24" customHeight="1" x14ac:dyDescent="0.25">
      <c r="AF336" s="200"/>
      <c r="AG336" s="200"/>
      <c r="AH336" s="200"/>
      <c r="AI336" s="200"/>
      <c r="AJ336" s="200"/>
      <c r="AK336" s="200"/>
      <c r="AL336" s="200"/>
      <c r="AM336" s="200"/>
      <c r="AN336" s="200"/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00"/>
      <c r="BB336" s="200"/>
      <c r="BC336" s="200"/>
      <c r="BD336" s="200"/>
    </row>
    <row r="337" spans="32:56" ht="24" customHeight="1" x14ac:dyDescent="0.25">
      <c r="AF337" s="200"/>
      <c r="AG337" s="200"/>
      <c r="AH337" s="200"/>
      <c r="AI337" s="200"/>
      <c r="AJ337" s="200"/>
      <c r="AK337" s="200"/>
      <c r="AL337" s="200"/>
      <c r="AM337" s="200"/>
      <c r="AN337" s="200"/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00"/>
      <c r="BB337" s="200"/>
      <c r="BC337" s="200"/>
      <c r="BD337" s="200"/>
    </row>
    <row r="338" spans="32:56" ht="24" customHeight="1" x14ac:dyDescent="0.25">
      <c r="AF338" s="200"/>
      <c r="AG338" s="200"/>
      <c r="AH338" s="200"/>
      <c r="AI338" s="200"/>
      <c r="AJ338" s="200"/>
      <c r="AK338" s="200"/>
      <c r="AL338" s="200"/>
      <c r="AM338" s="200"/>
      <c r="AN338" s="200"/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00"/>
      <c r="BB338" s="200"/>
      <c r="BC338" s="200"/>
      <c r="BD338" s="200"/>
    </row>
    <row r="339" spans="32:56" ht="24" customHeight="1" x14ac:dyDescent="0.25">
      <c r="AF339" s="200"/>
      <c r="AG339" s="200"/>
      <c r="AH339" s="200"/>
      <c r="AI339" s="200"/>
      <c r="AJ339" s="200"/>
      <c r="AK339" s="200"/>
      <c r="AL339" s="200"/>
      <c r="AM339" s="200"/>
      <c r="AN339" s="200"/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00"/>
      <c r="BB339" s="200"/>
      <c r="BC339" s="200"/>
      <c r="BD339" s="200"/>
    </row>
    <row r="340" spans="32:56" ht="24" customHeight="1" x14ac:dyDescent="0.25">
      <c r="AF340" s="200"/>
      <c r="AG340" s="200"/>
      <c r="AH340" s="200"/>
      <c r="AI340" s="200"/>
      <c r="AJ340" s="200"/>
      <c r="AK340" s="200"/>
      <c r="AL340" s="200"/>
      <c r="AM340" s="200"/>
      <c r="AN340" s="200"/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00"/>
      <c r="BB340" s="200"/>
      <c r="BC340" s="200"/>
      <c r="BD340" s="200"/>
    </row>
    <row r="341" spans="32:56" ht="24" customHeight="1" x14ac:dyDescent="0.25">
      <c r="AF341" s="200"/>
      <c r="AG341" s="200"/>
      <c r="AH341" s="200"/>
      <c r="AI341" s="200"/>
      <c r="AJ341" s="200"/>
      <c r="AK341" s="200"/>
      <c r="AL341" s="200"/>
      <c r="AM341" s="200"/>
      <c r="AN341" s="200"/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00"/>
      <c r="BB341" s="200"/>
      <c r="BC341" s="200"/>
      <c r="BD341" s="200"/>
    </row>
    <row r="342" spans="32:56" ht="24" customHeight="1" x14ac:dyDescent="0.25">
      <c r="AF342" s="200"/>
      <c r="AG342" s="200"/>
      <c r="AH342" s="200"/>
      <c r="AI342" s="200"/>
      <c r="AJ342" s="200"/>
      <c r="AK342" s="200"/>
      <c r="AL342" s="200"/>
      <c r="AM342" s="200"/>
      <c r="AN342" s="200"/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00"/>
      <c r="BB342" s="200"/>
      <c r="BC342" s="200"/>
      <c r="BD342" s="200"/>
    </row>
    <row r="343" spans="32:56" ht="24" customHeight="1" x14ac:dyDescent="0.25">
      <c r="AF343" s="200"/>
      <c r="AG343" s="200"/>
      <c r="AH343" s="200"/>
      <c r="AI343" s="200"/>
      <c r="AJ343" s="200"/>
      <c r="AK343" s="200"/>
      <c r="AL343" s="200"/>
      <c r="AM343" s="200"/>
      <c r="AN343" s="200"/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00"/>
      <c r="BB343" s="200"/>
      <c r="BC343" s="200"/>
      <c r="BD343" s="200"/>
    </row>
    <row r="344" spans="32:56" ht="24" customHeight="1" x14ac:dyDescent="0.25">
      <c r="AF344" s="200"/>
      <c r="AG344" s="200"/>
      <c r="AH344" s="200"/>
      <c r="AI344" s="200"/>
      <c r="AJ344" s="200"/>
      <c r="AK344" s="200"/>
      <c r="AL344" s="200"/>
      <c r="AM344" s="200"/>
      <c r="AN344" s="200"/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00"/>
      <c r="BB344" s="200"/>
      <c r="BC344" s="200"/>
      <c r="BD344" s="200"/>
    </row>
    <row r="345" spans="32:56" ht="24" customHeight="1" x14ac:dyDescent="0.25">
      <c r="AF345" s="200"/>
      <c r="AG345" s="200"/>
      <c r="AH345" s="200"/>
      <c r="AI345" s="200"/>
      <c r="AJ345" s="200"/>
      <c r="AK345" s="200"/>
      <c r="AL345" s="200"/>
      <c r="AM345" s="200"/>
      <c r="AN345" s="200"/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00"/>
      <c r="BB345" s="200"/>
      <c r="BC345" s="200"/>
      <c r="BD345" s="200"/>
    </row>
    <row r="346" spans="32:56" ht="24" customHeight="1" x14ac:dyDescent="0.25">
      <c r="AF346" s="200"/>
      <c r="AG346" s="200"/>
      <c r="AH346" s="200"/>
      <c r="AI346" s="200"/>
      <c r="AJ346" s="200"/>
      <c r="AK346" s="200"/>
      <c r="AL346" s="200"/>
      <c r="AM346" s="200"/>
      <c r="AN346" s="200"/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00"/>
      <c r="BB346" s="200"/>
      <c r="BC346" s="200"/>
      <c r="BD346" s="200"/>
    </row>
    <row r="347" spans="32:56" ht="24" customHeight="1" x14ac:dyDescent="0.25">
      <c r="AF347" s="200"/>
      <c r="AG347" s="200"/>
      <c r="AH347" s="200"/>
      <c r="AI347" s="200"/>
      <c r="AJ347" s="200"/>
      <c r="AK347" s="200"/>
      <c r="AL347" s="200"/>
      <c r="AM347" s="200"/>
      <c r="AN347" s="200"/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00"/>
      <c r="BB347" s="200"/>
      <c r="BC347" s="200"/>
      <c r="BD347" s="200"/>
    </row>
    <row r="348" spans="32:56" ht="24" customHeight="1" x14ac:dyDescent="0.25">
      <c r="AF348" s="200"/>
      <c r="AG348" s="200"/>
      <c r="AH348" s="200"/>
      <c r="AI348" s="200"/>
      <c r="AJ348" s="200"/>
      <c r="AK348" s="200"/>
      <c r="AL348" s="200"/>
      <c r="AM348" s="200"/>
      <c r="AN348" s="200"/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00"/>
      <c r="BB348" s="200"/>
      <c r="BC348" s="200"/>
      <c r="BD348" s="200"/>
    </row>
    <row r="349" spans="32:56" ht="24" customHeight="1" x14ac:dyDescent="0.25">
      <c r="AF349" s="200"/>
      <c r="AG349" s="200"/>
      <c r="AH349" s="200"/>
      <c r="AI349" s="200"/>
      <c r="AJ349" s="200"/>
      <c r="AK349" s="200"/>
      <c r="AL349" s="200"/>
      <c r="AM349" s="200"/>
      <c r="AN349" s="200"/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00"/>
      <c r="BB349" s="200"/>
      <c r="BC349" s="200"/>
      <c r="BD349" s="200"/>
    </row>
    <row r="350" spans="32:56" ht="24" customHeight="1" x14ac:dyDescent="0.25">
      <c r="AF350" s="200"/>
      <c r="AG350" s="200"/>
      <c r="AH350" s="200"/>
      <c r="AI350" s="200"/>
      <c r="AJ350" s="200"/>
      <c r="AK350" s="200"/>
      <c r="AL350" s="200"/>
      <c r="AM350" s="200"/>
      <c r="AN350" s="200"/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00"/>
      <c r="BB350" s="200"/>
      <c r="BC350" s="200"/>
      <c r="BD350" s="200"/>
    </row>
    <row r="351" spans="32:56" ht="24" customHeight="1" x14ac:dyDescent="0.25">
      <c r="AF351" s="200"/>
      <c r="AG351" s="200"/>
      <c r="AH351" s="200"/>
      <c r="AI351" s="200"/>
      <c r="AJ351" s="200"/>
      <c r="AK351" s="200"/>
      <c r="AL351" s="200"/>
      <c r="AM351" s="200"/>
      <c r="AN351" s="200"/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00"/>
      <c r="BB351" s="200"/>
      <c r="BC351" s="200"/>
      <c r="BD351" s="200"/>
    </row>
    <row r="352" spans="32:56" ht="24" customHeight="1" x14ac:dyDescent="0.25">
      <c r="AF352" s="200"/>
      <c r="AG352" s="200"/>
      <c r="AH352" s="200"/>
      <c r="AI352" s="200"/>
      <c r="AJ352" s="200"/>
      <c r="AK352" s="200"/>
      <c r="AL352" s="200"/>
      <c r="AM352" s="200"/>
      <c r="AN352" s="200"/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00"/>
      <c r="BB352" s="200"/>
      <c r="BC352" s="200"/>
      <c r="BD352" s="200"/>
    </row>
    <row r="353" spans="32:56" ht="24" customHeight="1" x14ac:dyDescent="0.25">
      <c r="AF353" s="200"/>
      <c r="AG353" s="200"/>
      <c r="AH353" s="200"/>
      <c r="AI353" s="200"/>
      <c r="AJ353" s="200"/>
      <c r="AK353" s="200"/>
      <c r="AL353" s="200"/>
      <c r="AM353" s="200"/>
      <c r="AN353" s="200"/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00"/>
      <c r="BB353" s="200"/>
      <c r="BC353" s="200"/>
      <c r="BD353" s="200"/>
    </row>
    <row r="354" spans="32:56" ht="24" customHeight="1" x14ac:dyDescent="0.25">
      <c r="AF354" s="200"/>
      <c r="AG354" s="200"/>
      <c r="AH354" s="200"/>
      <c r="AI354" s="200"/>
      <c r="AJ354" s="200"/>
      <c r="AK354" s="200"/>
      <c r="AL354" s="200"/>
      <c r="AM354" s="200"/>
      <c r="AN354" s="200"/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00"/>
      <c r="BB354" s="200"/>
      <c r="BC354" s="200"/>
      <c r="BD354" s="200"/>
    </row>
    <row r="355" spans="32:56" ht="24" customHeight="1" x14ac:dyDescent="0.25">
      <c r="AF355" s="200"/>
      <c r="AG355" s="200"/>
      <c r="AH355" s="200"/>
      <c r="AI355" s="200"/>
      <c r="AJ355" s="200"/>
      <c r="AK355" s="200"/>
      <c r="AL355" s="200"/>
      <c r="AM355" s="200"/>
      <c r="AN355" s="200"/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00"/>
      <c r="BB355" s="200"/>
      <c r="BC355" s="200"/>
      <c r="BD355" s="200"/>
    </row>
    <row r="356" spans="32:56" ht="24" customHeight="1" x14ac:dyDescent="0.25">
      <c r="AF356" s="200"/>
      <c r="AG356" s="200"/>
      <c r="AH356" s="200"/>
      <c r="AI356" s="200"/>
      <c r="AJ356" s="200"/>
      <c r="AK356" s="200"/>
      <c r="AL356" s="200"/>
      <c r="AM356" s="200"/>
      <c r="AN356" s="200"/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00"/>
      <c r="BB356" s="200"/>
      <c r="BC356" s="200"/>
      <c r="BD356" s="200"/>
    </row>
    <row r="357" spans="32:56" ht="24" customHeight="1" x14ac:dyDescent="0.25">
      <c r="AF357" s="200"/>
      <c r="AG357" s="200"/>
      <c r="AH357" s="200"/>
      <c r="AI357" s="200"/>
      <c r="AJ357" s="200"/>
      <c r="AK357" s="200"/>
      <c r="AL357" s="200"/>
      <c r="AM357" s="200"/>
      <c r="AN357" s="200"/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00"/>
      <c r="BB357" s="200"/>
      <c r="BC357" s="200"/>
      <c r="BD357" s="200"/>
    </row>
    <row r="358" spans="32:56" ht="24" customHeight="1" x14ac:dyDescent="0.25">
      <c r="AF358" s="200"/>
      <c r="AG358" s="200"/>
      <c r="AH358" s="200"/>
      <c r="AI358" s="200"/>
      <c r="AJ358" s="200"/>
      <c r="AK358" s="200"/>
      <c r="AL358" s="200"/>
      <c r="AM358" s="200"/>
      <c r="AN358" s="200"/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00"/>
      <c r="BB358" s="200"/>
      <c r="BC358" s="200"/>
      <c r="BD358" s="200"/>
    </row>
    <row r="359" spans="32:56" ht="24" customHeight="1" x14ac:dyDescent="0.25">
      <c r="AF359" s="200"/>
      <c r="AG359" s="200"/>
      <c r="AH359" s="200"/>
      <c r="AI359" s="200"/>
      <c r="AJ359" s="200"/>
      <c r="AK359" s="200"/>
      <c r="AL359" s="200"/>
      <c r="AM359" s="200"/>
      <c r="AN359" s="200"/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00"/>
      <c r="BB359" s="200"/>
      <c r="BC359" s="200"/>
      <c r="BD359" s="200"/>
    </row>
    <row r="360" spans="32:56" ht="24" customHeight="1" x14ac:dyDescent="0.25">
      <c r="AF360" s="200"/>
      <c r="AG360" s="200"/>
      <c r="AH360" s="200"/>
      <c r="AI360" s="200"/>
      <c r="AJ360" s="200"/>
      <c r="AK360" s="200"/>
      <c r="AL360" s="200"/>
      <c r="AM360" s="200"/>
      <c r="AN360" s="200"/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00"/>
      <c r="BB360" s="200"/>
      <c r="BC360" s="200"/>
      <c r="BD360" s="200"/>
    </row>
    <row r="361" spans="32:56" ht="24" customHeight="1" x14ac:dyDescent="0.25">
      <c r="AF361" s="200"/>
      <c r="AG361" s="200"/>
      <c r="AH361" s="200"/>
      <c r="AI361" s="200"/>
      <c r="AJ361" s="200"/>
      <c r="AK361" s="200"/>
      <c r="AL361" s="200"/>
      <c r="AM361" s="200"/>
      <c r="AN361" s="200"/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00"/>
      <c r="BB361" s="200"/>
      <c r="BC361" s="200"/>
      <c r="BD361" s="200"/>
    </row>
    <row r="362" spans="32:56" ht="24" customHeight="1" x14ac:dyDescent="0.25">
      <c r="AF362" s="200"/>
      <c r="AG362" s="200"/>
      <c r="AH362" s="200"/>
      <c r="AI362" s="200"/>
      <c r="AJ362" s="200"/>
      <c r="AK362" s="200"/>
      <c r="AL362" s="200"/>
      <c r="AM362" s="200"/>
      <c r="AN362" s="200"/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00"/>
      <c r="BB362" s="200"/>
      <c r="BC362" s="200"/>
      <c r="BD362" s="200"/>
    </row>
    <row r="363" spans="32:56" ht="24" customHeight="1" x14ac:dyDescent="0.25">
      <c r="AF363" s="200"/>
      <c r="AG363" s="200"/>
      <c r="AH363" s="200"/>
      <c r="AI363" s="200"/>
      <c r="AJ363" s="200"/>
      <c r="AK363" s="200"/>
      <c r="AL363" s="200"/>
      <c r="AM363" s="200"/>
      <c r="AN363" s="200"/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00"/>
      <c r="BB363" s="200"/>
      <c r="BC363" s="200"/>
      <c r="BD363" s="200"/>
    </row>
    <row r="364" spans="32:56" ht="24" customHeight="1" x14ac:dyDescent="0.25">
      <c r="AF364" s="200"/>
      <c r="AG364" s="200"/>
      <c r="AH364" s="200"/>
      <c r="AI364" s="200"/>
      <c r="AJ364" s="200"/>
      <c r="AK364" s="200"/>
      <c r="AL364" s="200"/>
      <c r="AM364" s="200"/>
      <c r="AN364" s="200"/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00"/>
      <c r="BB364" s="200"/>
      <c r="BC364" s="200"/>
      <c r="BD364" s="200"/>
    </row>
    <row r="365" spans="32:56" ht="24" customHeight="1" x14ac:dyDescent="0.25">
      <c r="AF365" s="200"/>
      <c r="AG365" s="200"/>
      <c r="AH365" s="200"/>
      <c r="AI365" s="200"/>
      <c r="AJ365" s="200"/>
      <c r="AK365" s="200"/>
      <c r="AL365" s="200"/>
      <c r="AM365" s="200"/>
      <c r="AN365" s="200"/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00"/>
      <c r="BB365" s="200"/>
      <c r="BC365" s="200"/>
      <c r="BD365" s="200"/>
    </row>
    <row r="366" spans="32:56" ht="24" customHeight="1" x14ac:dyDescent="0.25">
      <c r="AF366" s="200"/>
      <c r="AG366" s="200"/>
      <c r="AH366" s="200"/>
      <c r="AI366" s="200"/>
      <c r="AJ366" s="200"/>
      <c r="AK366" s="200"/>
      <c r="AL366" s="200"/>
      <c r="AM366" s="200"/>
      <c r="AN366" s="200"/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00"/>
      <c r="BB366" s="200"/>
      <c r="BC366" s="200"/>
      <c r="BD366" s="200"/>
    </row>
    <row r="367" spans="32:56" ht="24" customHeight="1" x14ac:dyDescent="0.25">
      <c r="AF367" s="200"/>
      <c r="AG367" s="200"/>
      <c r="AH367" s="200"/>
      <c r="AI367" s="200"/>
      <c r="AJ367" s="200"/>
      <c r="AK367" s="200"/>
      <c r="AL367" s="200"/>
      <c r="AM367" s="200"/>
      <c r="AN367" s="200"/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00"/>
      <c r="BB367" s="200"/>
      <c r="BC367" s="200"/>
      <c r="BD367" s="200"/>
    </row>
    <row r="368" spans="32:56" ht="24" customHeight="1" x14ac:dyDescent="0.25">
      <c r="AF368" s="200"/>
      <c r="AG368" s="200"/>
      <c r="AH368" s="200"/>
      <c r="AI368" s="200"/>
      <c r="AJ368" s="200"/>
      <c r="AK368" s="200"/>
      <c r="AL368" s="200"/>
      <c r="AM368" s="200"/>
      <c r="AN368" s="200"/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00"/>
      <c r="BB368" s="200"/>
      <c r="BC368" s="200"/>
      <c r="BD368" s="200"/>
    </row>
    <row r="369" spans="32:56" ht="24" customHeight="1" x14ac:dyDescent="0.25">
      <c r="AF369" s="200"/>
      <c r="AG369" s="200"/>
      <c r="AH369" s="200"/>
      <c r="AI369" s="200"/>
      <c r="AJ369" s="200"/>
      <c r="AK369" s="200"/>
      <c r="AL369" s="200"/>
      <c r="AM369" s="200"/>
      <c r="AN369" s="200"/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00"/>
      <c r="BB369" s="200"/>
      <c r="BC369" s="200"/>
      <c r="BD369" s="200"/>
    </row>
    <row r="370" spans="32:56" ht="24" customHeight="1" x14ac:dyDescent="0.25">
      <c r="AF370" s="200"/>
      <c r="AG370" s="200"/>
      <c r="AH370" s="200"/>
      <c r="AI370" s="200"/>
      <c r="AJ370" s="200"/>
      <c r="AK370" s="200"/>
      <c r="AL370" s="200"/>
      <c r="AM370" s="200"/>
      <c r="AN370" s="200"/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00"/>
      <c r="BB370" s="200"/>
      <c r="BC370" s="200"/>
      <c r="BD370" s="200"/>
    </row>
    <row r="371" spans="32:56" ht="24" customHeight="1" x14ac:dyDescent="0.25">
      <c r="AF371" s="200"/>
      <c r="AG371" s="200"/>
      <c r="AH371" s="200"/>
      <c r="AI371" s="200"/>
      <c r="AJ371" s="200"/>
      <c r="AK371" s="200"/>
      <c r="AL371" s="200"/>
      <c r="AM371" s="200"/>
      <c r="AN371" s="200"/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00"/>
      <c r="BB371" s="200"/>
      <c r="BC371" s="200"/>
      <c r="BD371" s="200"/>
    </row>
    <row r="372" spans="32:56" ht="24" customHeight="1" x14ac:dyDescent="0.25">
      <c r="AF372" s="200"/>
      <c r="AG372" s="200"/>
      <c r="AH372" s="200"/>
      <c r="AI372" s="200"/>
      <c r="AJ372" s="200"/>
      <c r="AK372" s="200"/>
      <c r="AL372" s="200"/>
      <c r="AM372" s="200"/>
      <c r="AN372" s="200"/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00"/>
      <c r="BB372" s="200"/>
      <c r="BC372" s="200"/>
      <c r="BD372" s="200"/>
    </row>
    <row r="373" spans="32:56" ht="24" customHeight="1" x14ac:dyDescent="0.25">
      <c r="AF373" s="200"/>
      <c r="AG373" s="200"/>
      <c r="AH373" s="200"/>
      <c r="AI373" s="200"/>
      <c r="AJ373" s="200"/>
      <c r="AK373" s="200"/>
      <c r="AL373" s="200"/>
      <c r="AM373" s="200"/>
      <c r="AN373" s="200"/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00"/>
      <c r="BB373" s="200"/>
      <c r="BC373" s="200"/>
      <c r="BD373" s="200"/>
    </row>
    <row r="374" spans="32:56" ht="24" customHeight="1" x14ac:dyDescent="0.25">
      <c r="AF374" s="200"/>
      <c r="AG374" s="200"/>
      <c r="AH374" s="200"/>
      <c r="AI374" s="200"/>
      <c r="AJ374" s="200"/>
      <c r="AK374" s="200"/>
      <c r="AL374" s="200"/>
      <c r="AM374" s="200"/>
      <c r="AN374" s="200"/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00"/>
      <c r="BB374" s="200"/>
      <c r="BC374" s="200"/>
      <c r="BD374" s="200"/>
    </row>
    <row r="375" spans="32:56" ht="24" customHeight="1" x14ac:dyDescent="0.25">
      <c r="AF375" s="200"/>
      <c r="AG375" s="200"/>
      <c r="AH375" s="200"/>
      <c r="AI375" s="200"/>
      <c r="AJ375" s="200"/>
      <c r="AK375" s="200"/>
      <c r="AL375" s="200"/>
      <c r="AM375" s="200"/>
      <c r="AN375" s="200"/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00"/>
      <c r="BB375" s="200"/>
      <c r="BC375" s="200"/>
      <c r="BD375" s="200"/>
    </row>
    <row r="376" spans="32:56" ht="24" customHeight="1" x14ac:dyDescent="0.25">
      <c r="AF376" s="200"/>
      <c r="AG376" s="200"/>
      <c r="AH376" s="200"/>
      <c r="AI376" s="200"/>
      <c r="AJ376" s="200"/>
      <c r="AK376" s="200"/>
      <c r="AL376" s="200"/>
      <c r="AM376" s="200"/>
      <c r="AN376" s="200"/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00"/>
      <c r="BB376" s="200"/>
      <c r="BC376" s="200"/>
      <c r="BD376" s="200"/>
    </row>
    <row r="377" spans="32:56" ht="24" customHeight="1" x14ac:dyDescent="0.25">
      <c r="AF377" s="200"/>
      <c r="AG377" s="200"/>
      <c r="AH377" s="200"/>
      <c r="AI377" s="200"/>
      <c r="AJ377" s="200"/>
      <c r="AK377" s="200"/>
      <c r="AL377" s="200"/>
      <c r="AM377" s="200"/>
      <c r="AN377" s="200"/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00"/>
      <c r="BB377" s="200"/>
      <c r="BC377" s="200"/>
      <c r="BD377" s="200"/>
    </row>
    <row r="378" spans="32:56" ht="24" customHeight="1" x14ac:dyDescent="0.25">
      <c r="AF378" s="200"/>
      <c r="AG378" s="200"/>
      <c r="AH378" s="200"/>
      <c r="AI378" s="200"/>
      <c r="AJ378" s="200"/>
      <c r="AK378" s="200"/>
      <c r="AL378" s="200"/>
      <c r="AM378" s="200"/>
      <c r="AN378" s="200"/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00"/>
      <c r="BB378" s="200"/>
      <c r="BC378" s="200"/>
      <c r="BD378" s="200"/>
    </row>
    <row r="379" spans="32:56" ht="24" customHeight="1" x14ac:dyDescent="0.25">
      <c r="AF379" s="200"/>
      <c r="AG379" s="200"/>
      <c r="AH379" s="200"/>
      <c r="AI379" s="200"/>
      <c r="AJ379" s="200"/>
      <c r="AK379" s="200"/>
      <c r="AL379" s="200"/>
      <c r="AM379" s="200"/>
      <c r="AN379" s="200"/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00"/>
      <c r="BB379" s="200"/>
      <c r="BC379" s="200"/>
      <c r="BD379" s="200"/>
    </row>
    <row r="380" spans="32:56" ht="24" customHeight="1" x14ac:dyDescent="0.25">
      <c r="AF380" s="200"/>
      <c r="AG380" s="200"/>
      <c r="AH380" s="200"/>
      <c r="AI380" s="200"/>
      <c r="AJ380" s="200"/>
      <c r="AK380" s="200"/>
      <c r="AL380" s="200"/>
      <c r="AM380" s="200"/>
      <c r="AN380" s="200"/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00"/>
      <c r="BB380" s="200"/>
      <c r="BC380" s="200"/>
      <c r="BD380" s="200"/>
    </row>
    <row r="381" spans="32:56" ht="24" customHeight="1" x14ac:dyDescent="0.25">
      <c r="AF381" s="200"/>
      <c r="AG381" s="200"/>
      <c r="AH381" s="200"/>
      <c r="AI381" s="200"/>
      <c r="AJ381" s="200"/>
      <c r="AK381" s="200"/>
      <c r="AL381" s="200"/>
      <c r="AM381" s="200"/>
      <c r="AN381" s="200"/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00"/>
      <c r="BB381" s="200"/>
      <c r="BC381" s="200"/>
      <c r="BD381" s="200"/>
    </row>
    <row r="382" spans="32:56" ht="24" customHeight="1" x14ac:dyDescent="0.25">
      <c r="AF382" s="200"/>
      <c r="AG382" s="200"/>
      <c r="AH382" s="200"/>
      <c r="AI382" s="200"/>
      <c r="AJ382" s="200"/>
      <c r="AK382" s="200"/>
      <c r="AL382" s="200"/>
      <c r="AM382" s="200"/>
      <c r="AN382" s="200"/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00"/>
      <c r="BB382" s="200"/>
      <c r="BC382" s="200"/>
      <c r="BD382" s="200"/>
    </row>
    <row r="383" spans="32:56" ht="24" customHeight="1" x14ac:dyDescent="0.25">
      <c r="AF383" s="200"/>
      <c r="AG383" s="200"/>
      <c r="AH383" s="200"/>
      <c r="AI383" s="200"/>
      <c r="AJ383" s="200"/>
      <c r="AK383" s="200"/>
      <c r="AL383" s="200"/>
      <c r="AM383" s="200"/>
      <c r="AN383" s="200"/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00"/>
      <c r="BB383" s="200"/>
      <c r="BC383" s="200"/>
      <c r="BD383" s="200"/>
    </row>
    <row r="384" spans="32:56" ht="24" customHeight="1" x14ac:dyDescent="0.25">
      <c r="AF384" s="200"/>
      <c r="AG384" s="200"/>
      <c r="AH384" s="200"/>
      <c r="AI384" s="200"/>
      <c r="AJ384" s="200"/>
      <c r="AK384" s="200"/>
      <c r="AL384" s="200"/>
      <c r="AM384" s="200"/>
      <c r="AN384" s="200"/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00"/>
      <c r="BB384" s="200"/>
      <c r="BC384" s="200"/>
      <c r="BD384" s="200"/>
    </row>
    <row r="385" spans="32:56" ht="24" customHeight="1" x14ac:dyDescent="0.25">
      <c r="AF385" s="200"/>
      <c r="AG385" s="200"/>
      <c r="AH385" s="200"/>
      <c r="AI385" s="200"/>
      <c r="AJ385" s="200"/>
      <c r="AK385" s="200"/>
      <c r="AL385" s="200"/>
      <c r="AM385" s="200"/>
      <c r="AN385" s="200"/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00"/>
      <c r="BB385" s="200"/>
      <c r="BC385" s="200"/>
      <c r="BD385" s="200"/>
    </row>
    <row r="386" spans="32:56" ht="24" customHeight="1" x14ac:dyDescent="0.25">
      <c r="AF386" s="200"/>
      <c r="AG386" s="200"/>
      <c r="AH386" s="200"/>
      <c r="AI386" s="200"/>
      <c r="AJ386" s="200"/>
      <c r="AK386" s="200"/>
      <c r="AL386" s="200"/>
      <c r="AM386" s="200"/>
      <c r="AN386" s="200"/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00"/>
      <c r="BB386" s="200"/>
      <c r="BC386" s="200"/>
      <c r="BD386" s="200"/>
    </row>
    <row r="387" spans="32:56" ht="24" customHeight="1" x14ac:dyDescent="0.25">
      <c r="AF387" s="200"/>
      <c r="AG387" s="200"/>
      <c r="AH387" s="200"/>
      <c r="AI387" s="200"/>
      <c r="AJ387" s="200"/>
      <c r="AK387" s="200"/>
      <c r="AL387" s="200"/>
      <c r="AM387" s="200"/>
      <c r="AN387" s="200"/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00"/>
      <c r="BB387" s="200"/>
      <c r="BC387" s="200"/>
      <c r="BD387" s="200"/>
    </row>
    <row r="388" spans="32:56" ht="24" customHeight="1" x14ac:dyDescent="0.25">
      <c r="AF388" s="200"/>
      <c r="AG388" s="200"/>
      <c r="AH388" s="200"/>
      <c r="AI388" s="200"/>
      <c r="AJ388" s="200"/>
      <c r="AK388" s="200"/>
      <c r="AL388" s="200"/>
      <c r="AM388" s="200"/>
      <c r="AN388" s="200"/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00"/>
      <c r="BB388" s="200"/>
      <c r="BC388" s="200"/>
      <c r="BD388" s="200"/>
    </row>
    <row r="389" spans="32:56" ht="24" customHeight="1" x14ac:dyDescent="0.25">
      <c r="AF389" s="200"/>
      <c r="AG389" s="200"/>
      <c r="AH389" s="200"/>
      <c r="AI389" s="200"/>
      <c r="AJ389" s="200"/>
      <c r="AK389" s="200"/>
      <c r="AL389" s="200"/>
      <c r="AM389" s="200"/>
      <c r="AN389" s="200"/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00"/>
      <c r="BB389" s="200"/>
      <c r="BC389" s="200"/>
      <c r="BD389" s="200"/>
    </row>
    <row r="390" spans="32:56" ht="24" customHeight="1" x14ac:dyDescent="0.25">
      <c r="AF390" s="200"/>
      <c r="AG390" s="200"/>
      <c r="AH390" s="200"/>
      <c r="AI390" s="200"/>
      <c r="AJ390" s="200"/>
      <c r="AK390" s="200"/>
      <c r="AL390" s="200"/>
      <c r="AM390" s="200"/>
      <c r="AN390" s="200"/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00"/>
      <c r="BB390" s="200"/>
      <c r="BC390" s="200"/>
      <c r="BD390" s="200"/>
    </row>
    <row r="391" spans="32:56" ht="24" customHeight="1" x14ac:dyDescent="0.25">
      <c r="AF391" s="200"/>
      <c r="AG391" s="200"/>
      <c r="AH391" s="200"/>
      <c r="AI391" s="200"/>
      <c r="AJ391" s="200"/>
      <c r="AK391" s="200"/>
      <c r="AL391" s="200"/>
      <c r="AM391" s="200"/>
      <c r="AN391" s="200"/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00"/>
      <c r="BB391" s="200"/>
      <c r="BC391" s="200"/>
      <c r="BD391" s="200"/>
    </row>
    <row r="392" spans="32:56" ht="24" customHeight="1" x14ac:dyDescent="0.25">
      <c r="AF392" s="200"/>
      <c r="AG392" s="200"/>
      <c r="AH392" s="200"/>
      <c r="AI392" s="200"/>
      <c r="AJ392" s="200"/>
      <c r="AK392" s="200"/>
      <c r="AL392" s="200"/>
      <c r="AM392" s="200"/>
      <c r="AN392" s="200"/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00"/>
      <c r="BB392" s="200"/>
      <c r="BC392" s="200"/>
      <c r="BD392" s="200"/>
    </row>
    <row r="393" spans="32:56" ht="24" customHeight="1" x14ac:dyDescent="0.25">
      <c r="AF393" s="200"/>
      <c r="AG393" s="200"/>
      <c r="AH393" s="200"/>
      <c r="AI393" s="200"/>
      <c r="AJ393" s="200"/>
      <c r="AK393" s="200"/>
      <c r="AL393" s="200"/>
      <c r="AM393" s="200"/>
      <c r="AN393" s="200"/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00"/>
      <c r="BB393" s="200"/>
      <c r="BC393" s="200"/>
      <c r="BD393" s="200"/>
    </row>
    <row r="394" spans="32:56" ht="24" customHeight="1" x14ac:dyDescent="0.25">
      <c r="AF394" s="200"/>
      <c r="AG394" s="200"/>
      <c r="AH394" s="200"/>
      <c r="AI394" s="200"/>
      <c r="AJ394" s="200"/>
      <c r="AK394" s="200"/>
      <c r="AL394" s="200"/>
      <c r="AM394" s="200"/>
      <c r="AN394" s="200"/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00"/>
      <c r="BB394" s="200"/>
      <c r="BC394" s="200"/>
      <c r="BD394" s="200"/>
    </row>
    <row r="395" spans="32:56" ht="24" customHeight="1" x14ac:dyDescent="0.25">
      <c r="AF395" s="200"/>
      <c r="AG395" s="200"/>
      <c r="AH395" s="200"/>
      <c r="AI395" s="200"/>
      <c r="AJ395" s="200"/>
      <c r="AK395" s="200"/>
      <c r="AL395" s="200"/>
      <c r="AM395" s="200"/>
      <c r="AN395" s="200"/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00"/>
      <c r="BB395" s="200"/>
      <c r="BC395" s="200"/>
      <c r="BD395" s="200"/>
    </row>
    <row r="396" spans="32:56" ht="24" customHeight="1" x14ac:dyDescent="0.25">
      <c r="AF396" s="200"/>
      <c r="AG396" s="200"/>
      <c r="AH396" s="200"/>
      <c r="AI396" s="200"/>
      <c r="AJ396" s="200"/>
      <c r="AK396" s="200"/>
      <c r="AL396" s="200"/>
      <c r="AM396" s="200"/>
      <c r="AN396" s="200"/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00"/>
      <c r="BB396" s="200"/>
      <c r="BC396" s="200"/>
      <c r="BD396" s="200"/>
    </row>
    <row r="397" spans="32:56" ht="24" customHeight="1" x14ac:dyDescent="0.25">
      <c r="AF397" s="200"/>
      <c r="AG397" s="200"/>
      <c r="AH397" s="200"/>
      <c r="AI397" s="200"/>
      <c r="AJ397" s="200"/>
      <c r="AK397" s="200"/>
      <c r="AL397" s="200"/>
      <c r="AM397" s="200"/>
      <c r="AN397" s="200"/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00"/>
      <c r="BB397" s="200"/>
      <c r="BC397" s="200"/>
      <c r="BD397" s="200"/>
    </row>
    <row r="398" spans="32:56" ht="24" customHeight="1" x14ac:dyDescent="0.25">
      <c r="AF398" s="200"/>
      <c r="AG398" s="200"/>
      <c r="AH398" s="200"/>
      <c r="AI398" s="200"/>
      <c r="AJ398" s="200"/>
      <c r="AK398" s="200"/>
      <c r="AL398" s="200"/>
      <c r="AM398" s="200"/>
      <c r="AN398" s="200"/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00"/>
      <c r="BB398" s="200"/>
      <c r="BC398" s="200"/>
      <c r="BD398" s="200"/>
    </row>
    <row r="399" spans="32:56" ht="24" customHeight="1" x14ac:dyDescent="0.25">
      <c r="AF399" s="200"/>
      <c r="AG399" s="200"/>
      <c r="AH399" s="200"/>
      <c r="AI399" s="200"/>
      <c r="AJ399" s="200"/>
      <c r="AK399" s="200"/>
      <c r="AL399" s="200"/>
      <c r="AM399" s="200"/>
      <c r="AN399" s="200"/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00"/>
      <c r="BB399" s="200"/>
      <c r="BC399" s="200"/>
      <c r="BD399" s="200"/>
    </row>
    <row r="400" spans="32:56" ht="24" customHeight="1" x14ac:dyDescent="0.25">
      <c r="AF400" s="200"/>
      <c r="AG400" s="200"/>
      <c r="AH400" s="200"/>
      <c r="AI400" s="200"/>
      <c r="AJ400" s="200"/>
      <c r="AK400" s="200"/>
      <c r="AL400" s="200"/>
      <c r="AM400" s="200"/>
      <c r="AN400" s="200"/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00"/>
      <c r="BB400" s="200"/>
      <c r="BC400" s="200"/>
      <c r="BD400" s="200"/>
    </row>
    <row r="401" spans="32:56" ht="24" customHeight="1" x14ac:dyDescent="0.25">
      <c r="AF401" s="200"/>
      <c r="AG401" s="200"/>
      <c r="AH401" s="200"/>
      <c r="AI401" s="200"/>
      <c r="AJ401" s="200"/>
      <c r="AK401" s="200"/>
      <c r="AL401" s="200"/>
      <c r="AM401" s="200"/>
      <c r="AN401" s="200"/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00"/>
      <c r="BB401" s="200"/>
      <c r="BC401" s="200"/>
      <c r="BD401" s="200"/>
    </row>
    <row r="402" spans="32:56" ht="24" customHeight="1" x14ac:dyDescent="0.25">
      <c r="AF402" s="200"/>
      <c r="AG402" s="200"/>
      <c r="AH402" s="200"/>
      <c r="AI402" s="200"/>
      <c r="AJ402" s="200"/>
      <c r="AK402" s="200"/>
      <c r="AL402" s="200"/>
      <c r="AM402" s="200"/>
      <c r="AN402" s="200"/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00"/>
      <c r="BB402" s="200"/>
      <c r="BC402" s="200"/>
      <c r="BD402" s="200"/>
    </row>
    <row r="403" spans="32:56" ht="24" customHeight="1" x14ac:dyDescent="0.25">
      <c r="AF403" s="200"/>
      <c r="AG403" s="200"/>
      <c r="AH403" s="200"/>
      <c r="AI403" s="200"/>
      <c r="AJ403" s="200"/>
      <c r="AK403" s="200"/>
      <c r="AL403" s="200"/>
      <c r="AM403" s="200"/>
      <c r="AN403" s="200"/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00"/>
      <c r="BB403" s="200"/>
      <c r="BC403" s="200"/>
      <c r="BD403" s="200"/>
    </row>
    <row r="404" spans="32:56" ht="24" customHeight="1" x14ac:dyDescent="0.25">
      <c r="AF404" s="200"/>
      <c r="AG404" s="200"/>
      <c r="AH404" s="200"/>
      <c r="AI404" s="200"/>
      <c r="AJ404" s="200"/>
      <c r="AK404" s="200"/>
      <c r="AL404" s="200"/>
      <c r="AM404" s="200"/>
      <c r="AN404" s="200"/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00"/>
      <c r="BB404" s="200"/>
      <c r="BC404" s="200"/>
      <c r="BD404" s="200"/>
    </row>
    <row r="405" spans="32:56" ht="24" customHeight="1" x14ac:dyDescent="0.25">
      <c r="AF405" s="200"/>
      <c r="AG405" s="200"/>
      <c r="AH405" s="200"/>
      <c r="AI405" s="200"/>
      <c r="AJ405" s="200"/>
      <c r="AK405" s="200"/>
      <c r="AL405" s="200"/>
      <c r="AM405" s="200"/>
      <c r="AN405" s="200"/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00"/>
      <c r="BB405" s="200"/>
      <c r="BC405" s="200"/>
      <c r="BD405" s="200"/>
    </row>
    <row r="406" spans="32:56" ht="24" customHeight="1" x14ac:dyDescent="0.25">
      <c r="AF406" s="200"/>
      <c r="AG406" s="200"/>
      <c r="AH406" s="200"/>
      <c r="AI406" s="200"/>
      <c r="AJ406" s="200"/>
      <c r="AK406" s="200"/>
      <c r="AL406" s="200"/>
      <c r="AM406" s="200"/>
      <c r="AN406" s="200"/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00"/>
      <c r="BB406" s="200"/>
      <c r="BC406" s="200"/>
      <c r="BD406" s="200"/>
    </row>
    <row r="407" spans="32:56" ht="24" customHeight="1" x14ac:dyDescent="0.25">
      <c r="AF407" s="200"/>
      <c r="AG407" s="200"/>
      <c r="AH407" s="200"/>
      <c r="AI407" s="200"/>
      <c r="AJ407" s="200"/>
      <c r="AK407" s="200"/>
      <c r="AL407" s="200"/>
      <c r="AM407" s="200"/>
      <c r="AN407" s="200"/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00"/>
      <c r="BB407" s="200"/>
      <c r="BC407" s="200"/>
      <c r="BD407" s="200"/>
    </row>
    <row r="408" spans="32:56" ht="24" customHeight="1" x14ac:dyDescent="0.25">
      <c r="AF408" s="200"/>
      <c r="AG408" s="200"/>
      <c r="AH408" s="200"/>
      <c r="AI408" s="200"/>
      <c r="AJ408" s="200"/>
      <c r="AK408" s="200"/>
      <c r="AL408" s="200"/>
      <c r="AM408" s="200"/>
      <c r="AN408" s="200"/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00"/>
      <c r="BB408" s="200"/>
      <c r="BC408" s="200"/>
      <c r="BD408" s="200"/>
    </row>
    <row r="409" spans="32:56" ht="24" customHeight="1" x14ac:dyDescent="0.25">
      <c r="AF409" s="200"/>
      <c r="AG409" s="200"/>
      <c r="AH409" s="200"/>
      <c r="AI409" s="200"/>
      <c r="AJ409" s="200"/>
      <c r="AK409" s="200"/>
      <c r="AL409" s="200"/>
      <c r="AM409" s="200"/>
      <c r="AN409" s="200"/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00"/>
      <c r="BB409" s="200"/>
      <c r="BC409" s="200"/>
      <c r="BD409" s="200"/>
    </row>
    <row r="410" spans="32:56" ht="24" customHeight="1" x14ac:dyDescent="0.25">
      <c r="AF410" s="200"/>
      <c r="AG410" s="200"/>
      <c r="AH410" s="200"/>
      <c r="AI410" s="200"/>
      <c r="AJ410" s="200"/>
      <c r="AK410" s="200"/>
      <c r="AL410" s="200"/>
      <c r="AM410" s="200"/>
      <c r="AN410" s="200"/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00"/>
      <c r="BB410" s="200"/>
      <c r="BC410" s="200"/>
      <c r="BD410" s="200"/>
    </row>
    <row r="411" spans="32:56" ht="24" customHeight="1" x14ac:dyDescent="0.25">
      <c r="AF411" s="200"/>
      <c r="AG411" s="200"/>
      <c r="AH411" s="200"/>
      <c r="AI411" s="200"/>
      <c r="AJ411" s="200"/>
      <c r="AK411" s="200"/>
      <c r="AL411" s="200"/>
      <c r="AM411" s="200"/>
      <c r="AN411" s="200"/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00"/>
      <c r="BB411" s="200"/>
      <c r="BC411" s="200"/>
      <c r="BD411" s="200"/>
    </row>
    <row r="412" spans="32:56" ht="24" customHeight="1" x14ac:dyDescent="0.25">
      <c r="AF412" s="200"/>
      <c r="AG412" s="200"/>
      <c r="AH412" s="200"/>
      <c r="AI412" s="200"/>
      <c r="AJ412" s="200"/>
      <c r="AK412" s="200"/>
      <c r="AL412" s="200"/>
      <c r="AM412" s="200"/>
      <c r="AN412" s="200"/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00"/>
      <c r="BB412" s="200"/>
      <c r="BC412" s="200"/>
      <c r="BD412" s="200"/>
    </row>
    <row r="413" spans="32:56" ht="24" customHeight="1" x14ac:dyDescent="0.25">
      <c r="AF413" s="200"/>
      <c r="AG413" s="200"/>
      <c r="AH413" s="200"/>
      <c r="AI413" s="200"/>
      <c r="AJ413" s="200"/>
      <c r="AK413" s="200"/>
      <c r="AL413" s="200"/>
      <c r="AM413" s="200"/>
      <c r="AN413" s="200"/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00"/>
      <c r="BB413" s="200"/>
      <c r="BC413" s="200"/>
      <c r="BD413" s="200"/>
    </row>
    <row r="414" spans="32:56" ht="24" customHeight="1" x14ac:dyDescent="0.25">
      <c r="AF414" s="200"/>
      <c r="AG414" s="200"/>
      <c r="AH414" s="200"/>
      <c r="AI414" s="200"/>
      <c r="AJ414" s="200"/>
      <c r="AK414" s="200"/>
      <c r="AL414" s="200"/>
      <c r="AM414" s="200"/>
      <c r="AN414" s="200"/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00"/>
      <c r="BB414" s="200"/>
      <c r="BC414" s="200"/>
      <c r="BD414" s="200"/>
    </row>
    <row r="415" spans="32:56" ht="24" customHeight="1" x14ac:dyDescent="0.25">
      <c r="AF415" s="200"/>
      <c r="AG415" s="200"/>
      <c r="AH415" s="200"/>
      <c r="AI415" s="200"/>
      <c r="AJ415" s="200"/>
      <c r="AK415" s="200"/>
      <c r="AL415" s="200"/>
      <c r="AM415" s="200"/>
      <c r="AN415" s="200"/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00"/>
      <c r="BB415" s="200"/>
      <c r="BC415" s="200"/>
      <c r="BD415" s="200"/>
    </row>
    <row r="416" spans="32:56" ht="24" customHeight="1" x14ac:dyDescent="0.25">
      <c r="AF416" s="200"/>
      <c r="AG416" s="200"/>
      <c r="AH416" s="200"/>
      <c r="AI416" s="200"/>
      <c r="AJ416" s="200"/>
      <c r="AK416" s="200"/>
      <c r="AL416" s="200"/>
      <c r="AM416" s="200"/>
      <c r="AN416" s="200"/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00"/>
      <c r="BB416" s="200"/>
      <c r="BC416" s="200"/>
      <c r="BD416" s="200"/>
    </row>
    <row r="417" spans="32:56" ht="24" customHeight="1" x14ac:dyDescent="0.25">
      <c r="AF417" s="200"/>
      <c r="AG417" s="200"/>
      <c r="AH417" s="200"/>
      <c r="AI417" s="200"/>
      <c r="AJ417" s="200"/>
      <c r="AK417" s="200"/>
      <c r="AL417" s="200"/>
      <c r="AM417" s="200"/>
      <c r="AN417" s="200"/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00"/>
      <c r="BB417" s="200"/>
      <c r="BC417" s="200"/>
      <c r="BD417" s="200"/>
    </row>
    <row r="418" spans="32:56" ht="24" customHeight="1" x14ac:dyDescent="0.25">
      <c r="AF418" s="200"/>
      <c r="AG418" s="200"/>
      <c r="AH418" s="200"/>
      <c r="AI418" s="200"/>
      <c r="AJ418" s="200"/>
      <c r="AK418" s="200"/>
      <c r="AL418" s="200"/>
      <c r="AM418" s="200"/>
      <c r="AN418" s="200"/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00"/>
      <c r="BB418" s="200"/>
      <c r="BC418" s="200"/>
      <c r="BD418" s="200"/>
    </row>
    <row r="419" spans="32:56" ht="24" customHeight="1" x14ac:dyDescent="0.25">
      <c r="AF419" s="200"/>
      <c r="AG419" s="200"/>
      <c r="AH419" s="200"/>
      <c r="AI419" s="200"/>
      <c r="AJ419" s="200"/>
      <c r="AK419" s="200"/>
      <c r="AL419" s="200"/>
      <c r="AM419" s="200"/>
      <c r="AN419" s="200"/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00"/>
      <c r="BB419" s="200"/>
      <c r="BC419" s="200"/>
      <c r="BD419" s="200"/>
    </row>
    <row r="420" spans="32:56" ht="24" customHeight="1" x14ac:dyDescent="0.25">
      <c r="AF420" s="200"/>
      <c r="AG420" s="200"/>
      <c r="AH420" s="200"/>
      <c r="AI420" s="200"/>
      <c r="AJ420" s="200"/>
      <c r="AK420" s="200"/>
      <c r="AL420" s="200"/>
      <c r="AM420" s="200"/>
      <c r="AN420" s="200"/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00"/>
      <c r="BB420" s="200"/>
      <c r="BC420" s="200"/>
      <c r="BD420" s="200"/>
    </row>
    <row r="421" spans="32:56" ht="24" customHeight="1" x14ac:dyDescent="0.25">
      <c r="AF421" s="200"/>
      <c r="AG421" s="200"/>
      <c r="AH421" s="200"/>
      <c r="AI421" s="200"/>
      <c r="AJ421" s="200"/>
      <c r="AK421" s="200"/>
      <c r="AL421" s="200"/>
      <c r="AM421" s="200"/>
      <c r="AN421" s="200"/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00"/>
      <c r="BB421" s="200"/>
      <c r="BC421" s="200"/>
      <c r="BD421" s="200"/>
    </row>
    <row r="422" spans="32:56" ht="24" customHeight="1" x14ac:dyDescent="0.25">
      <c r="AF422" s="200"/>
      <c r="AG422" s="200"/>
      <c r="AH422" s="200"/>
      <c r="AI422" s="200"/>
      <c r="AJ422" s="200"/>
      <c r="AK422" s="200"/>
      <c r="AL422" s="200"/>
      <c r="AM422" s="200"/>
      <c r="AN422" s="200"/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00"/>
      <c r="BB422" s="200"/>
      <c r="BC422" s="200"/>
      <c r="BD422" s="200"/>
    </row>
    <row r="423" spans="32:56" ht="24" customHeight="1" x14ac:dyDescent="0.25">
      <c r="AF423" s="200"/>
      <c r="AG423" s="200"/>
      <c r="AH423" s="200"/>
      <c r="AI423" s="200"/>
      <c r="AJ423" s="200"/>
      <c r="AK423" s="200"/>
      <c r="AL423" s="200"/>
      <c r="AM423" s="200"/>
      <c r="AN423" s="200"/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00"/>
      <c r="BB423" s="200"/>
      <c r="BC423" s="200"/>
      <c r="BD423" s="200"/>
    </row>
    <row r="424" spans="32:56" ht="24" customHeight="1" x14ac:dyDescent="0.25">
      <c r="AF424" s="200"/>
      <c r="AG424" s="200"/>
      <c r="AH424" s="200"/>
      <c r="AI424" s="200"/>
      <c r="AJ424" s="200"/>
      <c r="AK424" s="200"/>
      <c r="AL424" s="200"/>
      <c r="AM424" s="200"/>
      <c r="AN424" s="200"/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00"/>
      <c r="BB424" s="200"/>
      <c r="BC424" s="200"/>
      <c r="BD424" s="200"/>
    </row>
    <row r="425" spans="32:56" ht="24" customHeight="1" x14ac:dyDescent="0.25">
      <c r="AF425" s="200"/>
      <c r="AG425" s="200"/>
      <c r="AH425" s="200"/>
      <c r="AI425" s="200"/>
      <c r="AJ425" s="200"/>
      <c r="AK425" s="200"/>
      <c r="AL425" s="200"/>
      <c r="AM425" s="200"/>
      <c r="AN425" s="200"/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00"/>
      <c r="BB425" s="200"/>
      <c r="BC425" s="200"/>
      <c r="BD425" s="200"/>
    </row>
    <row r="426" spans="32:56" ht="24" customHeight="1" x14ac:dyDescent="0.25">
      <c r="AF426" s="200"/>
      <c r="AG426" s="200"/>
      <c r="AH426" s="200"/>
      <c r="AI426" s="200"/>
      <c r="AJ426" s="200"/>
      <c r="AK426" s="200"/>
      <c r="AL426" s="200"/>
      <c r="AM426" s="200"/>
      <c r="AN426" s="200"/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00"/>
      <c r="BB426" s="200"/>
      <c r="BC426" s="200"/>
      <c r="BD426" s="200"/>
    </row>
    <row r="427" spans="32:56" ht="24" customHeight="1" x14ac:dyDescent="0.25">
      <c r="AF427" s="200"/>
      <c r="AG427" s="200"/>
      <c r="AH427" s="200"/>
      <c r="AI427" s="200"/>
      <c r="AJ427" s="200"/>
      <c r="AK427" s="200"/>
      <c r="AL427" s="200"/>
      <c r="AM427" s="200"/>
      <c r="AN427" s="200"/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00"/>
      <c r="BB427" s="200"/>
      <c r="BC427" s="200"/>
      <c r="BD427" s="200"/>
    </row>
    <row r="428" spans="32:56" ht="24" customHeight="1" x14ac:dyDescent="0.25">
      <c r="AF428" s="200"/>
      <c r="AG428" s="200"/>
      <c r="AH428" s="200"/>
      <c r="AI428" s="200"/>
      <c r="AJ428" s="200"/>
      <c r="AK428" s="200"/>
      <c r="AL428" s="200"/>
      <c r="AM428" s="200"/>
      <c r="AN428" s="200"/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00"/>
      <c r="BB428" s="200"/>
      <c r="BC428" s="200"/>
      <c r="BD428" s="200"/>
    </row>
    <row r="429" spans="32:56" ht="24" customHeight="1" x14ac:dyDescent="0.25">
      <c r="AF429" s="200"/>
      <c r="AG429" s="200"/>
      <c r="AH429" s="200"/>
      <c r="AI429" s="200"/>
      <c r="AJ429" s="200"/>
      <c r="AK429" s="200"/>
      <c r="AL429" s="200"/>
      <c r="AM429" s="200"/>
      <c r="AN429" s="200"/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00"/>
      <c r="BB429" s="200"/>
      <c r="BC429" s="200"/>
      <c r="BD429" s="200"/>
    </row>
    <row r="430" spans="32:56" ht="24" customHeight="1" x14ac:dyDescent="0.25">
      <c r="AF430" s="200"/>
      <c r="AG430" s="200"/>
      <c r="AH430" s="200"/>
      <c r="AI430" s="200"/>
      <c r="AJ430" s="200"/>
      <c r="AK430" s="200"/>
      <c r="AL430" s="200"/>
      <c r="AM430" s="200"/>
      <c r="AN430" s="200"/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00"/>
      <c r="BB430" s="200"/>
      <c r="BC430" s="200"/>
      <c r="BD430" s="200"/>
    </row>
    <row r="431" spans="32:56" ht="24" customHeight="1" x14ac:dyDescent="0.25">
      <c r="AF431" s="200"/>
      <c r="AG431" s="200"/>
      <c r="AH431" s="200"/>
      <c r="AI431" s="200"/>
      <c r="AJ431" s="200"/>
      <c r="AK431" s="200"/>
      <c r="AL431" s="200"/>
      <c r="AM431" s="200"/>
      <c r="AN431" s="200"/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00"/>
      <c r="BB431" s="200"/>
      <c r="BC431" s="200"/>
      <c r="BD431" s="200"/>
    </row>
    <row r="432" spans="32:56" ht="24" customHeight="1" x14ac:dyDescent="0.25">
      <c r="AF432" s="200"/>
      <c r="AG432" s="200"/>
      <c r="AH432" s="200"/>
      <c r="AI432" s="200"/>
      <c r="AJ432" s="200"/>
      <c r="AK432" s="200"/>
      <c r="AL432" s="200"/>
      <c r="AM432" s="200"/>
      <c r="AN432" s="200"/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00"/>
      <c r="BB432" s="200"/>
      <c r="BC432" s="200"/>
      <c r="BD432" s="200"/>
    </row>
    <row r="433" spans="32:56" ht="24" customHeight="1" x14ac:dyDescent="0.25">
      <c r="AF433" s="200"/>
      <c r="AG433" s="200"/>
      <c r="AH433" s="200"/>
      <c r="AI433" s="200"/>
      <c r="AJ433" s="200"/>
      <c r="AK433" s="200"/>
      <c r="AL433" s="200"/>
      <c r="AM433" s="200"/>
      <c r="AN433" s="200"/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00"/>
      <c r="BB433" s="200"/>
      <c r="BC433" s="200"/>
      <c r="BD433" s="200"/>
    </row>
    <row r="434" spans="32:56" ht="24" customHeight="1" x14ac:dyDescent="0.25">
      <c r="AF434" s="200"/>
      <c r="AG434" s="200"/>
      <c r="AH434" s="200"/>
      <c r="AI434" s="200"/>
      <c r="AJ434" s="200"/>
      <c r="AK434" s="200"/>
      <c r="AL434" s="200"/>
      <c r="AM434" s="200"/>
      <c r="AN434" s="200"/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00"/>
      <c r="BB434" s="200"/>
      <c r="BC434" s="200"/>
      <c r="BD434" s="200"/>
    </row>
    <row r="435" spans="32:56" ht="24" customHeight="1" x14ac:dyDescent="0.25">
      <c r="AF435" s="200"/>
      <c r="AG435" s="200"/>
      <c r="AH435" s="200"/>
      <c r="AI435" s="200"/>
      <c r="AJ435" s="200"/>
      <c r="AK435" s="200"/>
      <c r="AL435" s="200"/>
      <c r="AM435" s="200"/>
      <c r="AN435" s="200"/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00"/>
      <c r="BB435" s="200"/>
      <c r="BC435" s="200"/>
      <c r="BD435" s="200"/>
    </row>
    <row r="436" spans="32:56" ht="24" customHeight="1" x14ac:dyDescent="0.25">
      <c r="AF436" s="200"/>
      <c r="AG436" s="200"/>
      <c r="AH436" s="200"/>
      <c r="AI436" s="200"/>
      <c r="AJ436" s="200"/>
      <c r="AK436" s="200"/>
      <c r="AL436" s="200"/>
      <c r="AM436" s="200"/>
      <c r="AN436" s="200"/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00"/>
      <c r="BB436" s="200"/>
      <c r="BC436" s="200"/>
      <c r="BD436" s="200"/>
    </row>
    <row r="437" spans="32:56" ht="24" customHeight="1" x14ac:dyDescent="0.25">
      <c r="AF437" s="200"/>
      <c r="AG437" s="200"/>
      <c r="AH437" s="200"/>
      <c r="AI437" s="200"/>
      <c r="AJ437" s="200"/>
      <c r="AK437" s="200"/>
      <c r="AL437" s="200"/>
      <c r="AM437" s="200"/>
      <c r="AN437" s="200"/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00"/>
      <c r="BB437" s="200"/>
      <c r="BC437" s="200"/>
      <c r="BD437" s="200"/>
    </row>
    <row r="438" spans="32:56" ht="24" customHeight="1" x14ac:dyDescent="0.25">
      <c r="AF438" s="200"/>
      <c r="AG438" s="200"/>
      <c r="AH438" s="200"/>
      <c r="AI438" s="200"/>
      <c r="AJ438" s="200"/>
      <c r="AK438" s="200"/>
      <c r="AL438" s="200"/>
      <c r="AM438" s="200"/>
      <c r="AN438" s="200"/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00"/>
      <c r="BB438" s="200"/>
      <c r="BC438" s="200"/>
      <c r="BD438" s="200"/>
    </row>
    <row r="439" spans="32:56" ht="24" customHeight="1" x14ac:dyDescent="0.25">
      <c r="AF439" s="200"/>
      <c r="AG439" s="200"/>
      <c r="AH439" s="200"/>
      <c r="AI439" s="200"/>
      <c r="AJ439" s="200"/>
      <c r="AK439" s="200"/>
      <c r="AL439" s="200"/>
      <c r="AM439" s="200"/>
      <c r="AN439" s="200"/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00"/>
      <c r="BB439" s="200"/>
      <c r="BC439" s="200"/>
      <c r="BD439" s="200"/>
    </row>
    <row r="440" spans="32:56" ht="24" customHeight="1" x14ac:dyDescent="0.25">
      <c r="AF440" s="200"/>
      <c r="AG440" s="200"/>
      <c r="AH440" s="200"/>
      <c r="AI440" s="200"/>
      <c r="AJ440" s="200"/>
      <c r="AK440" s="200"/>
      <c r="AL440" s="200"/>
      <c r="AM440" s="200"/>
      <c r="AN440" s="200"/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00"/>
      <c r="BB440" s="200"/>
      <c r="BC440" s="200"/>
      <c r="BD440" s="200"/>
    </row>
    <row r="441" spans="32:56" ht="24" customHeight="1" x14ac:dyDescent="0.25">
      <c r="AF441" s="200"/>
      <c r="AG441" s="200"/>
      <c r="AH441" s="200"/>
      <c r="AI441" s="200"/>
      <c r="AJ441" s="200"/>
      <c r="AK441" s="200"/>
      <c r="AL441" s="200"/>
      <c r="AM441" s="200"/>
      <c r="AN441" s="200"/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00"/>
      <c r="BB441" s="200"/>
      <c r="BC441" s="200"/>
      <c r="BD441" s="200"/>
    </row>
    <row r="442" spans="32:56" ht="24" customHeight="1" x14ac:dyDescent="0.25">
      <c r="AF442" s="200"/>
      <c r="AG442" s="200"/>
      <c r="AH442" s="200"/>
      <c r="AI442" s="200"/>
      <c r="AJ442" s="200"/>
      <c r="AK442" s="200"/>
      <c r="AL442" s="200"/>
      <c r="AM442" s="200"/>
      <c r="AN442" s="200"/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00"/>
      <c r="BB442" s="200"/>
      <c r="BC442" s="200"/>
      <c r="BD442" s="200"/>
    </row>
    <row r="443" spans="32:56" ht="24" customHeight="1" x14ac:dyDescent="0.25">
      <c r="AF443" s="200"/>
      <c r="AG443" s="200"/>
      <c r="AH443" s="200"/>
      <c r="AI443" s="200"/>
      <c r="AJ443" s="200"/>
      <c r="AK443" s="200"/>
      <c r="AL443" s="200"/>
      <c r="AM443" s="200"/>
      <c r="AN443" s="200"/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00"/>
      <c r="BB443" s="200"/>
      <c r="BC443" s="200"/>
      <c r="BD443" s="200"/>
    </row>
    <row r="444" spans="32:56" ht="24" customHeight="1" x14ac:dyDescent="0.25">
      <c r="AF444" s="200"/>
      <c r="AG444" s="200"/>
      <c r="AH444" s="200"/>
      <c r="AI444" s="200"/>
      <c r="AJ444" s="200"/>
      <c r="AK444" s="200"/>
      <c r="AL444" s="200"/>
      <c r="AM444" s="200"/>
      <c r="AN444" s="200"/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00"/>
      <c r="BB444" s="200"/>
      <c r="BC444" s="200"/>
      <c r="BD444" s="200"/>
    </row>
    <row r="445" spans="32:56" ht="24" customHeight="1" x14ac:dyDescent="0.25">
      <c r="AF445" s="200"/>
      <c r="AG445" s="200"/>
      <c r="AH445" s="200"/>
      <c r="AI445" s="200"/>
      <c r="AJ445" s="200"/>
      <c r="AK445" s="200"/>
      <c r="AL445" s="200"/>
      <c r="AM445" s="200"/>
      <c r="AN445" s="200"/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00"/>
      <c r="BB445" s="200"/>
      <c r="BC445" s="200"/>
      <c r="BD445" s="200"/>
    </row>
    <row r="446" spans="32:56" ht="24" customHeight="1" x14ac:dyDescent="0.25">
      <c r="AF446" s="200"/>
      <c r="AG446" s="200"/>
      <c r="AH446" s="200"/>
      <c r="AI446" s="200"/>
      <c r="AJ446" s="200"/>
      <c r="AK446" s="200"/>
      <c r="AL446" s="200"/>
      <c r="AM446" s="200"/>
      <c r="AN446" s="200"/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00"/>
      <c r="BB446" s="200"/>
      <c r="BC446" s="200"/>
      <c r="BD446" s="200"/>
    </row>
    <row r="447" spans="32:56" ht="24" customHeight="1" x14ac:dyDescent="0.25">
      <c r="AF447" s="200"/>
      <c r="AG447" s="200"/>
      <c r="AH447" s="200"/>
      <c r="AI447" s="200"/>
      <c r="AJ447" s="200"/>
      <c r="AK447" s="200"/>
      <c r="AL447" s="200"/>
      <c r="AM447" s="200"/>
      <c r="AN447" s="200"/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00"/>
      <c r="BB447" s="200"/>
      <c r="BC447" s="200"/>
      <c r="BD447" s="200"/>
    </row>
    <row r="448" spans="32:56" ht="24" customHeight="1" x14ac:dyDescent="0.25">
      <c r="AF448" s="200"/>
      <c r="AG448" s="200"/>
      <c r="AH448" s="200"/>
      <c r="AI448" s="200"/>
      <c r="AJ448" s="200"/>
      <c r="AK448" s="200"/>
      <c r="AL448" s="200"/>
      <c r="AM448" s="200"/>
      <c r="AN448" s="200"/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00"/>
      <c r="BB448" s="200"/>
      <c r="BC448" s="200"/>
      <c r="BD448" s="200"/>
    </row>
    <row r="449" spans="32:56" ht="24" customHeight="1" x14ac:dyDescent="0.25">
      <c r="AF449" s="200"/>
      <c r="AG449" s="200"/>
      <c r="AH449" s="200"/>
      <c r="AI449" s="200"/>
      <c r="AJ449" s="200"/>
      <c r="AK449" s="200"/>
      <c r="AL449" s="200"/>
      <c r="AM449" s="200"/>
      <c r="AN449" s="200"/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00"/>
      <c r="BB449" s="200"/>
      <c r="BC449" s="200"/>
      <c r="BD449" s="200"/>
    </row>
    <row r="450" spans="32:56" ht="24" customHeight="1" x14ac:dyDescent="0.25">
      <c r="AF450" s="200"/>
      <c r="AG450" s="200"/>
      <c r="AH450" s="200"/>
      <c r="AI450" s="200"/>
      <c r="AJ450" s="200"/>
      <c r="AK450" s="200"/>
      <c r="AL450" s="200"/>
      <c r="AM450" s="200"/>
      <c r="AN450" s="200"/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00"/>
      <c r="BB450" s="200"/>
      <c r="BC450" s="200"/>
      <c r="BD450" s="200"/>
    </row>
    <row r="451" spans="32:56" ht="24" customHeight="1" x14ac:dyDescent="0.25">
      <c r="AF451" s="200"/>
      <c r="AG451" s="200"/>
      <c r="AH451" s="200"/>
      <c r="AI451" s="200"/>
      <c r="AJ451" s="200"/>
      <c r="AK451" s="200"/>
      <c r="AL451" s="200"/>
      <c r="AM451" s="200"/>
      <c r="AN451" s="200"/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00"/>
      <c r="BB451" s="200"/>
      <c r="BC451" s="200"/>
      <c r="BD451" s="200"/>
    </row>
    <row r="452" spans="32:56" ht="24" customHeight="1" x14ac:dyDescent="0.25">
      <c r="AF452" s="200"/>
      <c r="AG452" s="200"/>
      <c r="AH452" s="200"/>
      <c r="AI452" s="200"/>
      <c r="AJ452" s="200"/>
      <c r="AK452" s="200"/>
      <c r="AL452" s="200"/>
      <c r="AM452" s="200"/>
      <c r="AN452" s="200"/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00"/>
      <c r="BB452" s="200"/>
      <c r="BC452" s="200"/>
      <c r="BD452" s="200"/>
    </row>
    <row r="453" spans="32:56" ht="24" customHeight="1" x14ac:dyDescent="0.25">
      <c r="AF453" s="200"/>
      <c r="AG453" s="200"/>
      <c r="AH453" s="200"/>
      <c r="AI453" s="200"/>
      <c r="AJ453" s="200"/>
      <c r="AK453" s="200"/>
      <c r="AL453" s="200"/>
      <c r="AM453" s="200"/>
      <c r="AN453" s="200"/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00"/>
      <c r="BB453" s="200"/>
      <c r="BC453" s="200"/>
      <c r="BD453" s="200"/>
    </row>
    <row r="454" spans="32:56" ht="24" customHeight="1" x14ac:dyDescent="0.25">
      <c r="AF454" s="200"/>
      <c r="AG454" s="200"/>
      <c r="AH454" s="200"/>
      <c r="AI454" s="200"/>
      <c r="AJ454" s="200"/>
      <c r="AK454" s="200"/>
      <c r="AL454" s="200"/>
      <c r="AM454" s="200"/>
      <c r="AN454" s="200"/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00"/>
      <c r="BB454" s="200"/>
      <c r="BC454" s="200"/>
      <c r="BD454" s="200"/>
    </row>
    <row r="455" spans="32:56" ht="24" customHeight="1" x14ac:dyDescent="0.25">
      <c r="AF455" s="200"/>
      <c r="AG455" s="200"/>
      <c r="AH455" s="200"/>
      <c r="AI455" s="200"/>
      <c r="AJ455" s="200"/>
      <c r="AK455" s="200"/>
      <c r="AL455" s="200"/>
      <c r="AM455" s="200"/>
      <c r="AN455" s="200"/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00"/>
      <c r="BB455" s="200"/>
      <c r="BC455" s="200"/>
      <c r="BD455" s="200"/>
    </row>
    <row r="456" spans="32:56" ht="24" customHeight="1" x14ac:dyDescent="0.25">
      <c r="AF456" s="200"/>
      <c r="AG456" s="200"/>
      <c r="AH456" s="200"/>
      <c r="AI456" s="200"/>
      <c r="AJ456" s="200"/>
      <c r="AK456" s="200"/>
      <c r="AL456" s="200"/>
      <c r="AM456" s="200"/>
      <c r="AN456" s="200"/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00"/>
      <c r="BB456" s="200"/>
      <c r="BC456" s="200"/>
      <c r="BD456" s="200"/>
    </row>
    <row r="457" spans="32:56" ht="24" customHeight="1" x14ac:dyDescent="0.25">
      <c r="AF457" s="200"/>
      <c r="AG457" s="200"/>
      <c r="AH457" s="200"/>
      <c r="AI457" s="200"/>
      <c r="AJ457" s="200"/>
      <c r="AK457" s="200"/>
      <c r="AL457" s="200"/>
      <c r="AM457" s="200"/>
      <c r="AN457" s="200"/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00"/>
      <c r="BB457" s="200"/>
      <c r="BC457" s="200"/>
      <c r="BD457" s="200"/>
    </row>
    <row r="458" spans="32:56" ht="24" customHeight="1" x14ac:dyDescent="0.25">
      <c r="AF458" s="200"/>
      <c r="AG458" s="200"/>
      <c r="AH458" s="200"/>
      <c r="AI458" s="200"/>
      <c r="AJ458" s="200"/>
      <c r="AK458" s="200"/>
      <c r="AL458" s="200"/>
      <c r="AM458" s="200"/>
      <c r="AN458" s="200"/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00"/>
      <c r="BB458" s="200"/>
      <c r="BC458" s="200"/>
      <c r="BD458" s="200"/>
    </row>
    <row r="459" spans="32:56" ht="24" customHeight="1" x14ac:dyDescent="0.25">
      <c r="AF459" s="200"/>
      <c r="AG459" s="200"/>
      <c r="AH459" s="200"/>
      <c r="AI459" s="200"/>
      <c r="AJ459" s="200"/>
      <c r="AK459" s="200"/>
      <c r="AL459" s="200"/>
      <c r="AM459" s="200"/>
      <c r="AN459" s="200"/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00"/>
      <c r="BB459" s="200"/>
      <c r="BC459" s="200"/>
      <c r="BD459" s="200"/>
    </row>
    <row r="460" spans="32:56" ht="24" customHeight="1" x14ac:dyDescent="0.25">
      <c r="AF460" s="200"/>
      <c r="AG460" s="200"/>
      <c r="AH460" s="200"/>
      <c r="AI460" s="200"/>
      <c r="AJ460" s="200"/>
      <c r="AK460" s="200"/>
      <c r="AL460" s="200"/>
      <c r="AM460" s="200"/>
      <c r="AN460" s="200"/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00"/>
      <c r="BB460" s="200"/>
      <c r="BC460" s="200"/>
      <c r="BD460" s="200"/>
    </row>
    <row r="461" spans="32:56" ht="24" customHeight="1" x14ac:dyDescent="0.25">
      <c r="AF461" s="200"/>
      <c r="AG461" s="200"/>
      <c r="AH461" s="200"/>
      <c r="AI461" s="200"/>
      <c r="AJ461" s="200"/>
      <c r="AK461" s="200"/>
      <c r="AL461" s="200"/>
      <c r="AM461" s="200"/>
      <c r="AN461" s="200"/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00"/>
      <c r="BB461" s="200"/>
      <c r="BC461" s="200"/>
      <c r="BD461" s="200"/>
    </row>
    <row r="462" spans="32:56" ht="24" customHeight="1" x14ac:dyDescent="0.25">
      <c r="AF462" s="200"/>
      <c r="AG462" s="200"/>
      <c r="AH462" s="200"/>
      <c r="AI462" s="200"/>
      <c r="AJ462" s="200"/>
      <c r="AK462" s="200"/>
      <c r="AL462" s="200"/>
      <c r="AM462" s="200"/>
      <c r="AN462" s="200"/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00"/>
      <c r="BB462" s="200"/>
      <c r="BC462" s="200"/>
      <c r="BD462" s="200"/>
    </row>
    <row r="463" spans="32:56" ht="24" customHeight="1" x14ac:dyDescent="0.25">
      <c r="AF463" s="200"/>
      <c r="AG463" s="200"/>
      <c r="AH463" s="200"/>
      <c r="AI463" s="200"/>
      <c r="AJ463" s="200"/>
      <c r="AK463" s="200"/>
      <c r="AL463" s="200"/>
      <c r="AM463" s="200"/>
      <c r="AN463" s="200"/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00"/>
      <c r="BB463" s="200"/>
      <c r="BC463" s="200"/>
      <c r="BD463" s="200"/>
    </row>
    <row r="464" spans="32:56" ht="24" customHeight="1" x14ac:dyDescent="0.25">
      <c r="AF464" s="200"/>
      <c r="AG464" s="200"/>
      <c r="AH464" s="200"/>
      <c r="AI464" s="200"/>
      <c r="AJ464" s="200"/>
      <c r="AK464" s="200"/>
      <c r="AL464" s="200"/>
      <c r="AM464" s="200"/>
      <c r="AN464" s="200"/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00"/>
      <c r="BB464" s="200"/>
      <c r="BC464" s="200"/>
      <c r="BD464" s="200"/>
    </row>
    <row r="465" spans="32:56" ht="24" customHeight="1" x14ac:dyDescent="0.25">
      <c r="AF465" s="200"/>
      <c r="AG465" s="200"/>
      <c r="AH465" s="200"/>
      <c r="AI465" s="200"/>
      <c r="AJ465" s="200"/>
      <c r="AK465" s="200"/>
      <c r="AL465" s="200"/>
      <c r="AM465" s="200"/>
      <c r="AN465" s="200"/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00"/>
      <c r="BB465" s="200"/>
      <c r="BC465" s="200"/>
      <c r="BD465" s="200"/>
    </row>
    <row r="466" spans="32:56" ht="24" customHeight="1" x14ac:dyDescent="0.25">
      <c r="AF466" s="200"/>
      <c r="AG466" s="200"/>
      <c r="AH466" s="200"/>
      <c r="AI466" s="200"/>
      <c r="AJ466" s="200"/>
      <c r="AK466" s="200"/>
      <c r="AL466" s="200"/>
      <c r="AM466" s="200"/>
      <c r="AN466" s="200"/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00"/>
      <c r="BB466" s="200"/>
      <c r="BC466" s="200"/>
      <c r="BD466" s="200"/>
    </row>
    <row r="467" spans="32:56" ht="24" customHeight="1" x14ac:dyDescent="0.25">
      <c r="AF467" s="200"/>
      <c r="AG467" s="200"/>
      <c r="AH467" s="200"/>
      <c r="AI467" s="200"/>
      <c r="AJ467" s="200"/>
      <c r="AK467" s="200"/>
      <c r="AL467" s="200"/>
      <c r="AM467" s="200"/>
      <c r="AN467" s="200"/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00"/>
      <c r="BB467" s="200"/>
      <c r="BC467" s="200"/>
      <c r="BD467" s="200"/>
    </row>
    <row r="468" spans="32:56" ht="24" customHeight="1" x14ac:dyDescent="0.25">
      <c r="AF468" s="200"/>
      <c r="AG468" s="200"/>
      <c r="AH468" s="200"/>
      <c r="AI468" s="200"/>
      <c r="AJ468" s="200"/>
      <c r="AK468" s="200"/>
      <c r="AL468" s="200"/>
      <c r="AM468" s="200"/>
      <c r="AN468" s="200"/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00"/>
      <c r="BB468" s="200"/>
      <c r="BC468" s="200"/>
      <c r="BD468" s="200"/>
    </row>
    <row r="469" spans="32:56" ht="24" customHeight="1" x14ac:dyDescent="0.25">
      <c r="AF469" s="200"/>
      <c r="AG469" s="200"/>
      <c r="AH469" s="200"/>
      <c r="AI469" s="200"/>
      <c r="AJ469" s="200"/>
      <c r="AK469" s="200"/>
      <c r="AL469" s="200"/>
      <c r="AM469" s="200"/>
      <c r="AN469" s="200"/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00"/>
      <c r="BB469" s="200"/>
      <c r="BC469" s="200"/>
      <c r="BD469" s="200"/>
    </row>
    <row r="470" spans="32:56" ht="24" customHeight="1" x14ac:dyDescent="0.25">
      <c r="AF470" s="200"/>
      <c r="AG470" s="200"/>
      <c r="AH470" s="200"/>
      <c r="AI470" s="200"/>
      <c r="AJ470" s="200"/>
      <c r="AK470" s="200"/>
      <c r="AL470" s="200"/>
      <c r="AM470" s="200"/>
      <c r="AN470" s="200"/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00"/>
      <c r="BB470" s="200"/>
      <c r="BC470" s="200"/>
      <c r="BD470" s="200"/>
    </row>
    <row r="471" spans="32:56" ht="24" customHeight="1" x14ac:dyDescent="0.25">
      <c r="AF471" s="200"/>
      <c r="AG471" s="200"/>
      <c r="AH471" s="200"/>
      <c r="AI471" s="200"/>
      <c r="AJ471" s="200"/>
      <c r="AK471" s="200"/>
      <c r="AL471" s="200"/>
      <c r="AM471" s="200"/>
      <c r="AN471" s="200"/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00"/>
      <c r="BB471" s="200"/>
      <c r="BC471" s="200"/>
      <c r="BD471" s="200"/>
    </row>
    <row r="472" spans="32:56" ht="24" customHeight="1" x14ac:dyDescent="0.25">
      <c r="AF472" s="200"/>
      <c r="AG472" s="200"/>
      <c r="AH472" s="200"/>
      <c r="AI472" s="200"/>
      <c r="AJ472" s="200"/>
      <c r="AK472" s="200"/>
      <c r="AL472" s="200"/>
      <c r="AM472" s="200"/>
      <c r="AN472" s="200"/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00"/>
      <c r="BB472" s="200"/>
      <c r="BC472" s="200"/>
      <c r="BD472" s="200"/>
    </row>
    <row r="473" spans="32:56" ht="24" customHeight="1" x14ac:dyDescent="0.25">
      <c r="AF473" s="200"/>
      <c r="AG473" s="200"/>
      <c r="AH473" s="200"/>
      <c r="AI473" s="200"/>
      <c r="AJ473" s="200"/>
      <c r="AK473" s="200"/>
      <c r="AL473" s="200"/>
      <c r="AM473" s="200"/>
      <c r="AN473" s="200"/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00"/>
      <c r="BB473" s="200"/>
      <c r="BC473" s="200"/>
      <c r="BD473" s="200"/>
    </row>
    <row r="474" spans="32:56" ht="24" customHeight="1" x14ac:dyDescent="0.25">
      <c r="AF474" s="200"/>
      <c r="AG474" s="200"/>
      <c r="AH474" s="200"/>
      <c r="AI474" s="200"/>
      <c r="AJ474" s="200"/>
      <c r="AK474" s="200"/>
      <c r="AL474" s="200"/>
      <c r="AM474" s="200"/>
      <c r="AN474" s="200"/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00"/>
      <c r="BB474" s="200"/>
      <c r="BC474" s="200"/>
      <c r="BD474" s="200"/>
    </row>
    <row r="475" spans="32:56" ht="24" customHeight="1" x14ac:dyDescent="0.25">
      <c r="AF475" s="200"/>
      <c r="AG475" s="200"/>
      <c r="AH475" s="200"/>
      <c r="AI475" s="200"/>
      <c r="AJ475" s="200"/>
      <c r="AK475" s="200"/>
      <c r="AL475" s="200"/>
      <c r="AM475" s="200"/>
      <c r="AN475" s="200"/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200"/>
      <c r="BC475" s="200"/>
      <c r="BD475" s="200"/>
    </row>
    <row r="476" spans="32:56" ht="24" customHeight="1" x14ac:dyDescent="0.25">
      <c r="AF476" s="200"/>
      <c r="AG476" s="200"/>
      <c r="AH476" s="200"/>
      <c r="AI476" s="200"/>
      <c r="AJ476" s="200"/>
      <c r="AK476" s="200"/>
      <c r="AL476" s="200"/>
      <c r="AM476" s="200"/>
      <c r="AN476" s="200"/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00"/>
      <c r="BB476" s="200"/>
      <c r="BC476" s="200"/>
      <c r="BD476" s="200"/>
    </row>
    <row r="477" spans="32:56" ht="24" customHeight="1" x14ac:dyDescent="0.25">
      <c r="AF477" s="200"/>
      <c r="AG477" s="200"/>
      <c r="AH477" s="200"/>
      <c r="AI477" s="200"/>
      <c r="AJ477" s="200"/>
      <c r="AK477" s="200"/>
      <c r="AL477" s="200"/>
      <c r="AM477" s="200"/>
      <c r="AN477" s="200"/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00"/>
      <c r="BB477" s="200"/>
      <c r="BC477" s="200"/>
      <c r="BD477" s="200"/>
    </row>
    <row r="478" spans="32:56" ht="24" customHeight="1" x14ac:dyDescent="0.25">
      <c r="AF478" s="200"/>
      <c r="AG478" s="200"/>
      <c r="AH478" s="200"/>
      <c r="AI478" s="200"/>
      <c r="AJ478" s="200"/>
      <c r="AK478" s="200"/>
      <c r="AL478" s="200"/>
      <c r="AM478" s="200"/>
      <c r="AN478" s="200"/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00"/>
      <c r="BB478" s="200"/>
      <c r="BC478" s="200"/>
      <c r="BD478" s="200"/>
    </row>
    <row r="479" spans="32:56" ht="24" customHeight="1" x14ac:dyDescent="0.25">
      <c r="AF479" s="200"/>
      <c r="AG479" s="200"/>
      <c r="AH479" s="200"/>
      <c r="AI479" s="200"/>
      <c r="AJ479" s="200"/>
      <c r="AK479" s="200"/>
      <c r="AL479" s="200"/>
      <c r="AM479" s="200"/>
      <c r="AN479" s="200"/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00"/>
      <c r="BB479" s="200"/>
      <c r="BC479" s="200"/>
      <c r="BD479" s="200"/>
    </row>
    <row r="480" spans="32:56" ht="24" customHeight="1" x14ac:dyDescent="0.25">
      <c r="AF480" s="200"/>
      <c r="AG480" s="200"/>
      <c r="AH480" s="200"/>
      <c r="AI480" s="200"/>
      <c r="AJ480" s="200"/>
      <c r="AK480" s="200"/>
      <c r="AL480" s="200"/>
      <c r="AM480" s="200"/>
      <c r="AN480" s="200"/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00"/>
      <c r="BB480" s="200"/>
      <c r="BC480" s="200"/>
      <c r="BD480" s="200"/>
    </row>
    <row r="481" spans="32:56" ht="24" customHeight="1" x14ac:dyDescent="0.25">
      <c r="AF481" s="200"/>
      <c r="AG481" s="200"/>
      <c r="AH481" s="200"/>
      <c r="AI481" s="200"/>
      <c r="AJ481" s="200"/>
      <c r="AK481" s="200"/>
      <c r="AL481" s="200"/>
      <c r="AM481" s="200"/>
      <c r="AN481" s="200"/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00"/>
      <c r="BB481" s="200"/>
      <c r="BC481" s="200"/>
      <c r="BD481" s="200"/>
    </row>
    <row r="482" spans="32:56" ht="24" customHeight="1" x14ac:dyDescent="0.25">
      <c r="AF482" s="200"/>
      <c r="AG482" s="200"/>
      <c r="AH482" s="200"/>
      <c r="AI482" s="200"/>
      <c r="AJ482" s="200"/>
      <c r="AK482" s="200"/>
      <c r="AL482" s="200"/>
      <c r="AM482" s="200"/>
      <c r="AN482" s="200"/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00"/>
      <c r="BB482" s="200"/>
      <c r="BC482" s="200"/>
      <c r="BD482" s="200"/>
    </row>
    <row r="483" spans="32:56" ht="24" customHeight="1" x14ac:dyDescent="0.25">
      <c r="AF483" s="200"/>
      <c r="AG483" s="200"/>
      <c r="AH483" s="200"/>
      <c r="AI483" s="200"/>
      <c r="AJ483" s="200"/>
      <c r="AK483" s="200"/>
      <c r="AL483" s="200"/>
      <c r="AM483" s="200"/>
      <c r="AN483" s="200"/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00"/>
      <c r="BB483" s="200"/>
      <c r="BC483" s="200"/>
      <c r="BD483" s="200"/>
    </row>
    <row r="484" spans="32:56" ht="24" customHeight="1" x14ac:dyDescent="0.25">
      <c r="AF484" s="200"/>
      <c r="AG484" s="200"/>
      <c r="AH484" s="200"/>
      <c r="AI484" s="200"/>
      <c r="AJ484" s="200"/>
      <c r="AK484" s="200"/>
      <c r="AL484" s="200"/>
      <c r="AM484" s="200"/>
      <c r="AN484" s="200"/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00"/>
      <c r="BB484" s="200"/>
      <c r="BC484" s="200"/>
      <c r="BD484" s="200"/>
    </row>
    <row r="485" spans="32:56" ht="24" customHeight="1" x14ac:dyDescent="0.25">
      <c r="AF485" s="200"/>
      <c r="AG485" s="200"/>
      <c r="AH485" s="200"/>
      <c r="AI485" s="200"/>
      <c r="AJ485" s="200"/>
      <c r="AK485" s="200"/>
      <c r="AL485" s="200"/>
      <c r="AM485" s="200"/>
      <c r="AN485" s="200"/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00"/>
      <c r="BB485" s="200"/>
      <c r="BC485" s="200"/>
      <c r="BD485" s="200"/>
    </row>
    <row r="486" spans="32:56" ht="24" customHeight="1" x14ac:dyDescent="0.25">
      <c r="AF486" s="200"/>
      <c r="AG486" s="200"/>
      <c r="AH486" s="200"/>
      <c r="AI486" s="200"/>
      <c r="AJ486" s="200"/>
      <c r="AK486" s="200"/>
      <c r="AL486" s="200"/>
      <c r="AM486" s="200"/>
      <c r="AN486" s="200"/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00"/>
      <c r="BB486" s="200"/>
      <c r="BC486" s="200"/>
      <c r="BD486" s="200"/>
    </row>
    <row r="487" spans="32:56" ht="24" customHeight="1" x14ac:dyDescent="0.25">
      <c r="AF487" s="200"/>
      <c r="AG487" s="200"/>
      <c r="AH487" s="200"/>
      <c r="AI487" s="200"/>
      <c r="AJ487" s="200"/>
      <c r="AK487" s="200"/>
      <c r="AL487" s="200"/>
      <c r="AM487" s="200"/>
      <c r="AN487" s="200"/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00"/>
      <c r="BB487" s="200"/>
      <c r="BC487" s="200"/>
      <c r="BD487" s="200"/>
    </row>
    <row r="488" spans="32:56" ht="24" customHeight="1" x14ac:dyDescent="0.25">
      <c r="AF488" s="200"/>
      <c r="AG488" s="200"/>
      <c r="AH488" s="200"/>
      <c r="AI488" s="200"/>
      <c r="AJ488" s="200"/>
      <c r="AK488" s="200"/>
      <c r="AL488" s="200"/>
      <c r="AM488" s="200"/>
      <c r="AN488" s="200"/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00"/>
      <c r="BB488" s="200"/>
      <c r="BC488" s="200"/>
      <c r="BD488" s="200"/>
    </row>
    <row r="489" spans="32:56" ht="24" customHeight="1" x14ac:dyDescent="0.25">
      <c r="AF489" s="200"/>
      <c r="AG489" s="200"/>
      <c r="AH489" s="200"/>
      <c r="AI489" s="200"/>
      <c r="AJ489" s="200"/>
      <c r="AK489" s="200"/>
      <c r="AL489" s="200"/>
      <c r="AM489" s="200"/>
      <c r="AN489" s="200"/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00"/>
      <c r="BB489" s="200"/>
      <c r="BC489" s="200"/>
      <c r="BD489" s="200"/>
    </row>
    <row r="490" spans="32:56" ht="24" customHeight="1" x14ac:dyDescent="0.25">
      <c r="AF490" s="200"/>
      <c r="AG490" s="200"/>
      <c r="AH490" s="200"/>
      <c r="AI490" s="200"/>
      <c r="AJ490" s="200"/>
      <c r="AK490" s="200"/>
      <c r="AL490" s="200"/>
      <c r="AM490" s="200"/>
      <c r="AN490" s="200"/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00"/>
      <c r="BB490" s="200"/>
      <c r="BC490" s="200"/>
      <c r="BD490" s="200"/>
    </row>
    <row r="491" spans="32:56" ht="24" customHeight="1" x14ac:dyDescent="0.25">
      <c r="AF491" s="200"/>
      <c r="AG491" s="200"/>
      <c r="AH491" s="200"/>
      <c r="AI491" s="200"/>
      <c r="AJ491" s="200"/>
      <c r="AK491" s="200"/>
      <c r="AL491" s="200"/>
      <c r="AM491" s="200"/>
      <c r="AN491" s="200"/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00"/>
      <c r="BB491" s="200"/>
      <c r="BC491" s="200"/>
      <c r="BD491" s="200"/>
    </row>
    <row r="492" spans="32:56" ht="24" customHeight="1" x14ac:dyDescent="0.25">
      <c r="AF492" s="200"/>
      <c r="AG492" s="200"/>
      <c r="AH492" s="200"/>
      <c r="AI492" s="200"/>
      <c r="AJ492" s="200"/>
      <c r="AK492" s="200"/>
      <c r="AL492" s="200"/>
      <c r="AM492" s="200"/>
      <c r="AN492" s="200"/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00"/>
      <c r="BB492" s="200"/>
      <c r="BC492" s="200"/>
      <c r="BD492" s="200"/>
    </row>
    <row r="493" spans="32:56" ht="24" customHeight="1" x14ac:dyDescent="0.25">
      <c r="AF493" s="200"/>
      <c r="AG493" s="200"/>
      <c r="AH493" s="200"/>
      <c r="AI493" s="200"/>
      <c r="AJ493" s="200"/>
      <c r="AK493" s="200"/>
      <c r="AL493" s="200"/>
      <c r="AM493" s="200"/>
      <c r="AN493" s="200"/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00"/>
      <c r="BB493" s="200"/>
      <c r="BC493" s="200"/>
      <c r="BD493" s="200"/>
    </row>
    <row r="494" spans="32:56" ht="24" customHeight="1" x14ac:dyDescent="0.25">
      <c r="AF494" s="200"/>
      <c r="AG494" s="200"/>
      <c r="AH494" s="200"/>
      <c r="AI494" s="200"/>
      <c r="AJ494" s="200"/>
      <c r="AK494" s="200"/>
      <c r="AL494" s="200"/>
      <c r="AM494" s="200"/>
      <c r="AN494" s="200"/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00"/>
      <c r="BB494" s="200"/>
      <c r="BC494" s="200"/>
      <c r="BD494" s="200"/>
    </row>
    <row r="495" spans="32:56" ht="24" customHeight="1" x14ac:dyDescent="0.25">
      <c r="AF495" s="200"/>
      <c r="AG495" s="200"/>
      <c r="AH495" s="200"/>
      <c r="AI495" s="200"/>
      <c r="AJ495" s="200"/>
      <c r="AK495" s="200"/>
      <c r="AL495" s="200"/>
      <c r="AM495" s="200"/>
      <c r="AN495" s="200"/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00"/>
      <c r="BB495" s="200"/>
      <c r="BC495" s="200"/>
      <c r="BD495" s="200"/>
    </row>
    <row r="496" spans="32:56" ht="24" customHeight="1" x14ac:dyDescent="0.25">
      <c r="AF496" s="200"/>
      <c r="AG496" s="200"/>
      <c r="AH496" s="200"/>
      <c r="AI496" s="200"/>
      <c r="AJ496" s="200"/>
      <c r="AK496" s="200"/>
      <c r="AL496" s="200"/>
      <c r="AM496" s="200"/>
      <c r="AN496" s="200"/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00"/>
      <c r="BB496" s="200"/>
      <c r="BC496" s="200"/>
      <c r="BD496" s="200"/>
    </row>
    <row r="497" spans="32:56" ht="24" customHeight="1" x14ac:dyDescent="0.25">
      <c r="AF497" s="200"/>
      <c r="AG497" s="200"/>
      <c r="AH497" s="200"/>
      <c r="AI497" s="200"/>
      <c r="AJ497" s="200"/>
      <c r="AK497" s="200"/>
      <c r="AL497" s="200"/>
      <c r="AM497" s="200"/>
      <c r="AN497" s="200"/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00"/>
      <c r="BB497" s="200"/>
      <c r="BC497" s="200"/>
      <c r="BD497" s="200"/>
    </row>
    <row r="498" spans="32:56" ht="24" customHeight="1" x14ac:dyDescent="0.25">
      <c r="AF498" s="200"/>
      <c r="AG498" s="200"/>
      <c r="AH498" s="200"/>
      <c r="AI498" s="200"/>
      <c r="AJ498" s="200"/>
      <c r="AK498" s="200"/>
      <c r="AL498" s="200"/>
      <c r="AM498" s="200"/>
      <c r="AN498" s="200"/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00"/>
      <c r="BB498" s="200"/>
      <c r="BC498" s="200"/>
      <c r="BD498" s="200"/>
    </row>
    <row r="499" spans="32:56" ht="24" customHeight="1" x14ac:dyDescent="0.25">
      <c r="AF499" s="200"/>
      <c r="AG499" s="200"/>
      <c r="AH499" s="200"/>
      <c r="AI499" s="200"/>
      <c r="AJ499" s="200"/>
      <c r="AK499" s="200"/>
      <c r="AL499" s="200"/>
      <c r="AM499" s="200"/>
      <c r="AN499" s="200"/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00"/>
      <c r="BB499" s="200"/>
      <c r="BC499" s="200"/>
      <c r="BD499" s="200"/>
    </row>
    <row r="500" spans="32:56" ht="24" customHeight="1" x14ac:dyDescent="0.25">
      <c r="AF500" s="200"/>
      <c r="AG500" s="200"/>
      <c r="AH500" s="200"/>
      <c r="AI500" s="200"/>
      <c r="AJ500" s="200"/>
      <c r="AK500" s="200"/>
      <c r="AL500" s="200"/>
      <c r="AM500" s="200"/>
      <c r="AN500" s="200"/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00"/>
      <c r="BB500" s="200"/>
      <c r="BC500" s="200"/>
      <c r="BD500" s="200"/>
    </row>
    <row r="501" spans="32:56" ht="24" customHeight="1" x14ac:dyDescent="0.25">
      <c r="AF501" s="200"/>
      <c r="AG501" s="200"/>
      <c r="AH501" s="200"/>
      <c r="AI501" s="200"/>
      <c r="AJ501" s="200"/>
      <c r="AK501" s="200"/>
      <c r="AL501" s="200"/>
      <c r="AM501" s="200"/>
      <c r="AN501" s="200"/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00"/>
      <c r="BB501" s="200"/>
      <c r="BC501" s="200"/>
      <c r="BD501" s="200"/>
    </row>
    <row r="502" spans="32:56" ht="24" customHeight="1" x14ac:dyDescent="0.25">
      <c r="AF502" s="200"/>
      <c r="AG502" s="200"/>
      <c r="AH502" s="200"/>
      <c r="AI502" s="200"/>
      <c r="AJ502" s="200"/>
      <c r="AK502" s="200"/>
      <c r="AL502" s="200"/>
      <c r="AM502" s="200"/>
      <c r="AN502" s="200"/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00"/>
      <c r="BB502" s="200"/>
      <c r="BC502" s="200"/>
      <c r="BD502" s="200"/>
    </row>
    <row r="503" spans="32:56" ht="24" customHeight="1" x14ac:dyDescent="0.25">
      <c r="AF503" s="200"/>
      <c r="AG503" s="200"/>
      <c r="AH503" s="200"/>
      <c r="AI503" s="200"/>
      <c r="AJ503" s="200"/>
      <c r="AK503" s="200"/>
      <c r="AL503" s="200"/>
      <c r="AM503" s="200"/>
      <c r="AN503" s="200"/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00"/>
      <c r="BB503" s="200"/>
      <c r="BC503" s="200"/>
      <c r="BD503" s="200"/>
    </row>
    <row r="504" spans="32:56" ht="24" customHeight="1" x14ac:dyDescent="0.25">
      <c r="AF504" s="200"/>
      <c r="AG504" s="200"/>
      <c r="AH504" s="200"/>
      <c r="AI504" s="200"/>
      <c r="AJ504" s="200"/>
      <c r="AK504" s="200"/>
      <c r="AL504" s="200"/>
      <c r="AM504" s="200"/>
      <c r="AN504" s="200"/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200"/>
      <c r="BC504" s="200"/>
      <c r="BD504" s="200"/>
    </row>
    <row r="505" spans="32:56" ht="24" customHeight="1" x14ac:dyDescent="0.25">
      <c r="AF505" s="200"/>
      <c r="AG505" s="200"/>
      <c r="AH505" s="200"/>
      <c r="AI505" s="200"/>
      <c r="AJ505" s="200"/>
      <c r="AK505" s="200"/>
      <c r="AL505" s="200"/>
      <c r="AM505" s="200"/>
      <c r="AN505" s="200"/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00"/>
      <c r="BB505" s="200"/>
      <c r="BC505" s="200"/>
      <c r="BD505" s="200"/>
    </row>
    <row r="506" spans="32:56" ht="24" customHeight="1" x14ac:dyDescent="0.25">
      <c r="AF506" s="200"/>
      <c r="AG506" s="200"/>
      <c r="AH506" s="200"/>
      <c r="AI506" s="200"/>
      <c r="AJ506" s="200"/>
      <c r="AK506" s="200"/>
      <c r="AL506" s="200"/>
      <c r="AM506" s="200"/>
      <c r="AN506" s="200"/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00"/>
      <c r="BB506" s="200"/>
      <c r="BC506" s="200"/>
      <c r="BD506" s="200"/>
    </row>
    <row r="507" spans="32:56" ht="24" customHeight="1" x14ac:dyDescent="0.25">
      <c r="AF507" s="200"/>
      <c r="AG507" s="200"/>
      <c r="AH507" s="200"/>
      <c r="AI507" s="200"/>
      <c r="AJ507" s="200"/>
      <c r="AK507" s="200"/>
      <c r="AL507" s="200"/>
      <c r="AM507" s="200"/>
      <c r="AN507" s="200"/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00"/>
      <c r="BB507" s="200"/>
      <c r="BC507" s="200"/>
      <c r="BD507" s="200"/>
    </row>
    <row r="508" spans="32:56" ht="24" customHeight="1" x14ac:dyDescent="0.25">
      <c r="AF508" s="200"/>
      <c r="AG508" s="200"/>
      <c r="AH508" s="200"/>
      <c r="AI508" s="200"/>
      <c r="AJ508" s="200"/>
      <c r="AK508" s="200"/>
      <c r="AL508" s="200"/>
      <c r="AM508" s="200"/>
      <c r="AN508" s="200"/>
      <c r="AO508" s="200"/>
      <c r="AP508" s="200"/>
      <c r="AQ508" s="200"/>
      <c r="AR508" s="200"/>
      <c r="AS508" s="200"/>
      <c r="AT508" s="200"/>
      <c r="AU508" s="200"/>
      <c r="AV508" s="200"/>
      <c r="AW508" s="200"/>
      <c r="AX508" s="200"/>
      <c r="AY508" s="200"/>
      <c r="AZ508" s="200"/>
      <c r="BA508" s="200"/>
      <c r="BB508" s="200"/>
      <c r="BC508" s="200"/>
      <c r="BD508" s="200"/>
    </row>
    <row r="509" spans="32:56" ht="24" customHeight="1" x14ac:dyDescent="0.25">
      <c r="AF509" s="200"/>
      <c r="AG509" s="200"/>
      <c r="AH509" s="200"/>
      <c r="AI509" s="200"/>
      <c r="AJ509" s="200"/>
      <c r="AK509" s="200"/>
      <c r="AL509" s="200"/>
      <c r="AM509" s="200"/>
      <c r="AN509" s="200"/>
      <c r="AO509" s="200"/>
      <c r="AP509" s="200"/>
      <c r="AQ509" s="200"/>
      <c r="AR509" s="200"/>
      <c r="AS509" s="200"/>
      <c r="AT509" s="200"/>
      <c r="AU509" s="200"/>
      <c r="AV509" s="200"/>
      <c r="AW509" s="200"/>
      <c r="AX509" s="200"/>
      <c r="AY509" s="200"/>
      <c r="AZ509" s="200"/>
      <c r="BA509" s="200"/>
      <c r="BB509" s="200"/>
      <c r="BC509" s="200"/>
      <c r="BD509" s="200"/>
    </row>
    <row r="510" spans="32:56" ht="24" customHeight="1" x14ac:dyDescent="0.25">
      <c r="AF510" s="200"/>
      <c r="AG510" s="200"/>
      <c r="AH510" s="200"/>
      <c r="AI510" s="200"/>
      <c r="AJ510" s="200"/>
      <c r="AK510" s="200"/>
      <c r="AL510" s="200"/>
      <c r="AM510" s="200"/>
      <c r="AN510" s="200"/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00"/>
      <c r="BB510" s="200"/>
      <c r="BC510" s="200"/>
      <c r="BD510" s="200"/>
    </row>
    <row r="511" spans="32:56" ht="24" customHeight="1" x14ac:dyDescent="0.25">
      <c r="AF511" s="200"/>
      <c r="AG511" s="200"/>
      <c r="AH511" s="200"/>
      <c r="AI511" s="200"/>
      <c r="AJ511" s="200"/>
      <c r="AK511" s="200"/>
      <c r="AL511" s="200"/>
      <c r="AM511" s="200"/>
      <c r="AN511" s="200"/>
      <c r="AO511" s="200"/>
      <c r="AP511" s="200"/>
      <c r="AQ511" s="200"/>
      <c r="AR511" s="200"/>
      <c r="AS511" s="200"/>
      <c r="AT511" s="200"/>
      <c r="AU511" s="200"/>
      <c r="AV511" s="200"/>
      <c r="AW511" s="200"/>
      <c r="AX511" s="200"/>
      <c r="AY511" s="200"/>
      <c r="AZ511" s="200"/>
      <c r="BA511" s="200"/>
      <c r="BB511" s="200"/>
      <c r="BC511" s="200"/>
      <c r="BD511" s="200"/>
    </row>
    <row r="512" spans="32:56" ht="24" customHeight="1" x14ac:dyDescent="0.25">
      <c r="AF512" s="200"/>
      <c r="AG512" s="200"/>
      <c r="AH512" s="200"/>
      <c r="AI512" s="200"/>
      <c r="AJ512" s="200"/>
      <c r="AK512" s="200"/>
      <c r="AL512" s="200"/>
      <c r="AM512" s="200"/>
      <c r="AN512" s="200"/>
      <c r="AO512" s="200"/>
      <c r="AP512" s="200"/>
      <c r="AQ512" s="200"/>
      <c r="AR512" s="200"/>
      <c r="AS512" s="200"/>
      <c r="AT512" s="200"/>
      <c r="AU512" s="200"/>
      <c r="AV512" s="200"/>
      <c r="AW512" s="200"/>
      <c r="AX512" s="200"/>
      <c r="AY512" s="200"/>
      <c r="AZ512" s="200"/>
      <c r="BA512" s="200"/>
      <c r="BB512" s="200"/>
      <c r="BC512" s="200"/>
      <c r="BD512" s="200"/>
    </row>
    <row r="513" spans="32:56" ht="24" customHeight="1" x14ac:dyDescent="0.25">
      <c r="AF513" s="200"/>
      <c r="AG513" s="200"/>
      <c r="AH513" s="200"/>
      <c r="AI513" s="200"/>
      <c r="AJ513" s="200"/>
      <c r="AK513" s="200"/>
      <c r="AL513" s="200"/>
      <c r="AM513" s="200"/>
      <c r="AN513" s="200"/>
      <c r="AO513" s="200"/>
      <c r="AP513" s="200"/>
      <c r="AQ513" s="200"/>
      <c r="AR513" s="200"/>
      <c r="AS513" s="200"/>
      <c r="AT513" s="200"/>
      <c r="AU513" s="200"/>
      <c r="AV513" s="200"/>
      <c r="AW513" s="200"/>
      <c r="AX513" s="200"/>
      <c r="AY513" s="200"/>
      <c r="AZ513" s="200"/>
      <c r="BA513" s="200"/>
      <c r="BB513" s="200"/>
      <c r="BC513" s="200"/>
      <c r="BD513" s="200"/>
    </row>
    <row r="514" spans="32:56" ht="24" customHeight="1" x14ac:dyDescent="0.25">
      <c r="AF514" s="200"/>
      <c r="AG514" s="200"/>
      <c r="AH514" s="200"/>
      <c r="AI514" s="200"/>
      <c r="AJ514" s="200"/>
      <c r="AK514" s="200"/>
      <c r="AL514" s="200"/>
      <c r="AM514" s="200"/>
      <c r="AN514" s="200"/>
      <c r="AO514" s="200"/>
      <c r="AP514" s="200"/>
      <c r="AQ514" s="200"/>
      <c r="AR514" s="200"/>
      <c r="AS514" s="200"/>
      <c r="AT514" s="200"/>
      <c r="AU514" s="200"/>
      <c r="AV514" s="200"/>
      <c r="AW514" s="200"/>
      <c r="AX514" s="200"/>
      <c r="AY514" s="200"/>
      <c r="AZ514" s="200"/>
      <c r="BA514" s="200"/>
      <c r="BB514" s="200"/>
      <c r="BC514" s="200"/>
      <c r="BD514" s="200"/>
    </row>
    <row r="515" spans="32:56" ht="24" customHeight="1" x14ac:dyDescent="0.25">
      <c r="AF515" s="200"/>
      <c r="AG515" s="200"/>
      <c r="AH515" s="200"/>
      <c r="AI515" s="200"/>
      <c r="AJ515" s="200"/>
      <c r="AK515" s="200"/>
      <c r="AL515" s="200"/>
      <c r="AM515" s="200"/>
      <c r="AN515" s="200"/>
      <c r="AO515" s="200"/>
      <c r="AP515" s="200"/>
      <c r="AQ515" s="200"/>
      <c r="AR515" s="200"/>
      <c r="AS515" s="200"/>
      <c r="AT515" s="200"/>
      <c r="AU515" s="200"/>
      <c r="AV515" s="200"/>
      <c r="AW515" s="200"/>
      <c r="AX515" s="200"/>
      <c r="AY515" s="200"/>
      <c r="AZ515" s="200"/>
      <c r="BA515" s="200"/>
      <c r="BB515" s="200"/>
      <c r="BC515" s="200"/>
      <c r="BD515" s="200"/>
    </row>
    <row r="516" spans="32:56" ht="24" customHeight="1" x14ac:dyDescent="0.25">
      <c r="AF516" s="200"/>
      <c r="AG516" s="200"/>
      <c r="AH516" s="200"/>
      <c r="AI516" s="200"/>
      <c r="AJ516" s="200"/>
      <c r="AK516" s="200"/>
      <c r="AL516" s="200"/>
      <c r="AM516" s="200"/>
      <c r="AN516" s="200"/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00"/>
      <c r="BB516" s="200"/>
      <c r="BC516" s="200"/>
      <c r="BD516" s="200"/>
    </row>
    <row r="517" spans="32:56" ht="24" customHeight="1" x14ac:dyDescent="0.25">
      <c r="AF517" s="200"/>
      <c r="AG517" s="200"/>
      <c r="AH517" s="200"/>
      <c r="AI517" s="200"/>
      <c r="AJ517" s="200"/>
      <c r="AK517" s="200"/>
      <c r="AL517" s="200"/>
      <c r="AM517" s="200"/>
      <c r="AN517" s="200"/>
      <c r="AO517" s="200"/>
      <c r="AP517" s="200"/>
      <c r="AQ517" s="200"/>
      <c r="AR517" s="200"/>
      <c r="AS517" s="200"/>
      <c r="AT517" s="200"/>
      <c r="AU517" s="200"/>
      <c r="AV517" s="200"/>
      <c r="AW517" s="200"/>
      <c r="AX517" s="200"/>
      <c r="AY517" s="200"/>
      <c r="AZ517" s="200"/>
      <c r="BA517" s="200"/>
      <c r="BB517" s="200"/>
      <c r="BC517" s="200"/>
      <c r="BD517" s="200"/>
    </row>
    <row r="518" spans="32:56" ht="24" customHeight="1" x14ac:dyDescent="0.25">
      <c r="AF518" s="200"/>
      <c r="AG518" s="200"/>
      <c r="AH518" s="200"/>
      <c r="AI518" s="200"/>
      <c r="AJ518" s="200"/>
      <c r="AK518" s="200"/>
      <c r="AL518" s="200"/>
      <c r="AM518" s="200"/>
      <c r="AN518" s="200"/>
      <c r="AO518" s="200"/>
      <c r="AP518" s="200"/>
      <c r="AQ518" s="200"/>
      <c r="AR518" s="200"/>
      <c r="AS518" s="200"/>
      <c r="AT518" s="200"/>
      <c r="AU518" s="200"/>
      <c r="AV518" s="200"/>
      <c r="AW518" s="200"/>
      <c r="AX518" s="200"/>
      <c r="AY518" s="200"/>
      <c r="AZ518" s="200"/>
      <c r="BA518" s="200"/>
      <c r="BB518" s="200"/>
      <c r="BC518" s="200"/>
      <c r="BD518" s="200"/>
    </row>
    <row r="519" spans="32:56" ht="24" customHeight="1" x14ac:dyDescent="0.25">
      <c r="AF519" s="200"/>
      <c r="AG519" s="200"/>
      <c r="AH519" s="200"/>
      <c r="AI519" s="200"/>
      <c r="AJ519" s="200"/>
      <c r="AK519" s="200"/>
      <c r="AL519" s="200"/>
      <c r="AM519" s="200"/>
      <c r="AN519" s="200"/>
      <c r="AO519" s="200"/>
      <c r="AP519" s="200"/>
      <c r="AQ519" s="200"/>
      <c r="AR519" s="200"/>
      <c r="AS519" s="200"/>
      <c r="AT519" s="200"/>
      <c r="AU519" s="200"/>
      <c r="AV519" s="200"/>
      <c r="AW519" s="200"/>
      <c r="AX519" s="200"/>
      <c r="AY519" s="200"/>
      <c r="AZ519" s="200"/>
      <c r="BA519" s="200"/>
      <c r="BB519" s="200"/>
      <c r="BC519" s="200"/>
      <c r="BD519" s="200"/>
    </row>
    <row r="520" spans="32:56" ht="24" customHeight="1" x14ac:dyDescent="0.25">
      <c r="AF520" s="200"/>
      <c r="AG520" s="200"/>
      <c r="AH520" s="200"/>
      <c r="AI520" s="200"/>
      <c r="AJ520" s="200"/>
      <c r="AK520" s="200"/>
      <c r="AL520" s="200"/>
      <c r="AM520" s="200"/>
      <c r="AN520" s="200"/>
      <c r="AO520" s="200"/>
      <c r="AP520" s="200"/>
      <c r="AQ520" s="200"/>
      <c r="AR520" s="200"/>
      <c r="AS520" s="200"/>
      <c r="AT520" s="200"/>
      <c r="AU520" s="200"/>
      <c r="AV520" s="200"/>
      <c r="AW520" s="200"/>
      <c r="AX520" s="200"/>
      <c r="AY520" s="200"/>
      <c r="AZ520" s="200"/>
      <c r="BA520" s="200"/>
      <c r="BB520" s="200"/>
      <c r="BC520" s="200"/>
      <c r="BD520" s="200"/>
    </row>
    <row r="521" spans="32:56" ht="24" customHeight="1" x14ac:dyDescent="0.25">
      <c r="AF521" s="200"/>
      <c r="AG521" s="200"/>
      <c r="AH521" s="200"/>
      <c r="AI521" s="200"/>
      <c r="AJ521" s="200"/>
      <c r="AK521" s="200"/>
      <c r="AL521" s="200"/>
      <c r="AM521" s="200"/>
      <c r="AN521" s="200"/>
      <c r="AO521" s="200"/>
      <c r="AP521" s="200"/>
      <c r="AQ521" s="200"/>
      <c r="AR521" s="200"/>
      <c r="AS521" s="200"/>
      <c r="AT521" s="200"/>
      <c r="AU521" s="200"/>
      <c r="AV521" s="200"/>
      <c r="AW521" s="200"/>
      <c r="AX521" s="200"/>
      <c r="AY521" s="200"/>
      <c r="AZ521" s="200"/>
      <c r="BA521" s="200"/>
      <c r="BB521" s="200"/>
      <c r="BC521" s="200"/>
      <c r="BD521" s="200"/>
    </row>
    <row r="522" spans="32:56" ht="24" customHeight="1" x14ac:dyDescent="0.25">
      <c r="AF522" s="200"/>
      <c r="AG522" s="200"/>
      <c r="AH522" s="200"/>
      <c r="AI522" s="200"/>
      <c r="AJ522" s="200"/>
      <c r="AK522" s="200"/>
      <c r="AL522" s="200"/>
      <c r="AM522" s="200"/>
      <c r="AN522" s="200"/>
      <c r="AO522" s="200"/>
      <c r="AP522" s="200"/>
      <c r="AQ522" s="200"/>
      <c r="AR522" s="200"/>
      <c r="AS522" s="200"/>
      <c r="AT522" s="200"/>
      <c r="AU522" s="200"/>
      <c r="AV522" s="200"/>
      <c r="AW522" s="200"/>
      <c r="AX522" s="200"/>
      <c r="AY522" s="200"/>
      <c r="AZ522" s="200"/>
      <c r="BA522" s="200"/>
      <c r="BB522" s="200"/>
      <c r="BC522" s="200"/>
      <c r="BD522" s="200"/>
    </row>
    <row r="523" spans="32:56" ht="24" customHeight="1" x14ac:dyDescent="0.25">
      <c r="AF523" s="200"/>
      <c r="AG523" s="200"/>
      <c r="AH523" s="200"/>
      <c r="AI523" s="200"/>
      <c r="AJ523" s="200"/>
      <c r="AK523" s="200"/>
      <c r="AL523" s="200"/>
      <c r="AM523" s="200"/>
      <c r="AN523" s="200"/>
      <c r="AO523" s="200"/>
      <c r="AP523" s="200"/>
      <c r="AQ523" s="200"/>
      <c r="AR523" s="200"/>
      <c r="AS523" s="200"/>
      <c r="AT523" s="200"/>
      <c r="AU523" s="200"/>
      <c r="AV523" s="200"/>
      <c r="AW523" s="200"/>
      <c r="AX523" s="200"/>
      <c r="AY523" s="200"/>
      <c r="AZ523" s="200"/>
      <c r="BA523" s="200"/>
      <c r="BB523" s="200"/>
      <c r="BC523" s="200"/>
      <c r="BD523" s="200"/>
    </row>
    <row r="524" spans="32:56" ht="24" customHeight="1" x14ac:dyDescent="0.25">
      <c r="AF524" s="200"/>
      <c r="AG524" s="200"/>
      <c r="AH524" s="200"/>
      <c r="AI524" s="200"/>
      <c r="AJ524" s="200"/>
      <c r="AK524" s="200"/>
      <c r="AL524" s="200"/>
      <c r="AM524" s="200"/>
      <c r="AN524" s="200"/>
      <c r="AO524" s="200"/>
      <c r="AP524" s="200"/>
      <c r="AQ524" s="200"/>
      <c r="AR524" s="200"/>
      <c r="AS524" s="200"/>
      <c r="AT524" s="200"/>
      <c r="AU524" s="200"/>
      <c r="AV524" s="200"/>
      <c r="AW524" s="200"/>
      <c r="AX524" s="200"/>
      <c r="AY524" s="200"/>
      <c r="AZ524" s="200"/>
      <c r="BA524" s="200"/>
      <c r="BB524" s="200"/>
      <c r="BC524" s="200"/>
      <c r="BD524" s="200"/>
    </row>
    <row r="525" spans="32:56" ht="24" customHeight="1" x14ac:dyDescent="0.25">
      <c r="AF525" s="200"/>
      <c r="AG525" s="200"/>
      <c r="AH525" s="200"/>
      <c r="AI525" s="200"/>
      <c r="AJ525" s="200"/>
      <c r="AK525" s="200"/>
      <c r="AL525" s="200"/>
      <c r="AM525" s="200"/>
      <c r="AN525" s="200"/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 s="200"/>
      <c r="AY525" s="200"/>
      <c r="AZ525" s="200"/>
      <c r="BA525" s="200"/>
      <c r="BB525" s="200"/>
      <c r="BC525" s="200"/>
      <c r="BD525" s="200"/>
    </row>
    <row r="526" spans="32:56" ht="24" customHeight="1" x14ac:dyDescent="0.25">
      <c r="AF526" s="200"/>
      <c r="AG526" s="200"/>
      <c r="AH526" s="200"/>
      <c r="AI526" s="200"/>
      <c r="AJ526" s="200"/>
      <c r="AK526" s="200"/>
      <c r="AL526" s="200"/>
      <c r="AM526" s="200"/>
      <c r="AN526" s="200"/>
      <c r="AO526" s="200"/>
      <c r="AP526" s="200"/>
      <c r="AQ526" s="200"/>
      <c r="AR526" s="200"/>
      <c r="AS526" s="200"/>
      <c r="AT526" s="200"/>
      <c r="AU526" s="200"/>
      <c r="AV526" s="200"/>
      <c r="AW526" s="200"/>
      <c r="AX526" s="200"/>
      <c r="AY526" s="200"/>
      <c r="AZ526" s="200"/>
      <c r="BA526" s="200"/>
      <c r="BB526" s="200"/>
      <c r="BC526" s="200"/>
      <c r="BD526" s="200"/>
    </row>
    <row r="527" spans="32:56" ht="24" customHeight="1" x14ac:dyDescent="0.25">
      <c r="AF527" s="200"/>
      <c r="AG527" s="200"/>
      <c r="AH527" s="200"/>
      <c r="AI527" s="200"/>
      <c r="AJ527" s="200"/>
      <c r="AK527" s="200"/>
      <c r="AL527" s="200"/>
      <c r="AM527" s="200"/>
      <c r="AN527" s="200"/>
      <c r="AO527" s="200"/>
      <c r="AP527" s="200"/>
      <c r="AQ527" s="200"/>
      <c r="AR527" s="200"/>
      <c r="AS527" s="200"/>
      <c r="AT527" s="200"/>
      <c r="AU527" s="200"/>
      <c r="AV527" s="200"/>
      <c r="AW527" s="200"/>
      <c r="AX527" s="200"/>
      <c r="AY527" s="200"/>
      <c r="AZ527" s="200"/>
      <c r="BA527" s="200"/>
      <c r="BB527" s="200"/>
      <c r="BC527" s="200"/>
      <c r="BD527" s="200"/>
    </row>
    <row r="528" spans="32:56" ht="24" customHeight="1" x14ac:dyDescent="0.25">
      <c r="AF528" s="200"/>
      <c r="AG528" s="200"/>
      <c r="AH528" s="200"/>
      <c r="AI528" s="200"/>
      <c r="AJ528" s="200"/>
      <c r="AK528" s="200"/>
      <c r="AL528" s="200"/>
      <c r="AM528" s="200"/>
      <c r="AN528" s="200"/>
      <c r="AO528" s="200"/>
      <c r="AP528" s="200"/>
      <c r="AQ528" s="200"/>
      <c r="AR528" s="200"/>
      <c r="AS528" s="200"/>
      <c r="AT528" s="200"/>
      <c r="AU528" s="200"/>
      <c r="AV528" s="200"/>
      <c r="AW528" s="200"/>
      <c r="AX528" s="200"/>
      <c r="AY528" s="200"/>
      <c r="AZ528" s="200"/>
      <c r="BA528" s="200"/>
      <c r="BB528" s="200"/>
      <c r="BC528" s="200"/>
      <c r="BD528" s="200"/>
    </row>
    <row r="529" spans="32:56" ht="24" customHeight="1" x14ac:dyDescent="0.25">
      <c r="AF529" s="200"/>
      <c r="AG529" s="200"/>
      <c r="AH529" s="200"/>
      <c r="AI529" s="200"/>
      <c r="AJ529" s="200"/>
      <c r="AK529" s="200"/>
      <c r="AL529" s="200"/>
      <c r="AM529" s="200"/>
      <c r="AN529" s="200"/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00"/>
      <c r="BB529" s="200"/>
      <c r="BC529" s="200"/>
      <c r="BD529" s="200"/>
    </row>
    <row r="530" spans="32:56" ht="24" customHeight="1" x14ac:dyDescent="0.25">
      <c r="AF530" s="200"/>
      <c r="AG530" s="200"/>
      <c r="AH530" s="200"/>
      <c r="AI530" s="200"/>
      <c r="AJ530" s="200"/>
      <c r="AK530" s="200"/>
      <c r="AL530" s="200"/>
      <c r="AM530" s="200"/>
      <c r="AN530" s="200"/>
      <c r="AO530" s="200"/>
      <c r="AP530" s="200"/>
      <c r="AQ530" s="200"/>
      <c r="AR530" s="200"/>
      <c r="AS530" s="200"/>
      <c r="AT530" s="200"/>
      <c r="AU530" s="200"/>
      <c r="AV530" s="200"/>
      <c r="AW530" s="200"/>
      <c r="AX530" s="200"/>
      <c r="AY530" s="200"/>
      <c r="AZ530" s="200"/>
      <c r="BA530" s="200"/>
      <c r="BB530" s="200"/>
      <c r="BC530" s="200"/>
      <c r="BD530" s="200"/>
    </row>
    <row r="531" spans="32:56" ht="24" customHeight="1" x14ac:dyDescent="0.25">
      <c r="AF531" s="200"/>
      <c r="AG531" s="200"/>
      <c r="AH531" s="200"/>
      <c r="AI531" s="200"/>
      <c r="AJ531" s="200"/>
      <c r="AK531" s="200"/>
      <c r="AL531" s="200"/>
      <c r="AM531" s="200"/>
      <c r="AN531" s="200"/>
      <c r="AO531" s="200"/>
      <c r="AP531" s="200"/>
      <c r="AQ531" s="200"/>
      <c r="AR531" s="200"/>
      <c r="AS531" s="200"/>
      <c r="AT531" s="200"/>
      <c r="AU531" s="200"/>
      <c r="AV531" s="200"/>
      <c r="AW531" s="200"/>
      <c r="AX531" s="200"/>
      <c r="AY531" s="200"/>
      <c r="AZ531" s="200"/>
      <c r="BA531" s="200"/>
      <c r="BB531" s="200"/>
      <c r="BC531" s="200"/>
      <c r="BD531" s="200"/>
    </row>
    <row r="532" spans="32:56" ht="24" customHeight="1" x14ac:dyDescent="0.25">
      <c r="AF532" s="200"/>
      <c r="AG532" s="200"/>
      <c r="AH532" s="200"/>
      <c r="AI532" s="200"/>
      <c r="AJ532" s="200"/>
      <c r="AK532" s="200"/>
      <c r="AL532" s="200"/>
      <c r="AM532" s="200"/>
      <c r="AN532" s="200"/>
      <c r="AO532" s="200"/>
      <c r="AP532" s="200"/>
      <c r="AQ532" s="200"/>
      <c r="AR532" s="200"/>
      <c r="AS532" s="200"/>
      <c r="AT532" s="200"/>
      <c r="AU532" s="200"/>
      <c r="AV532" s="200"/>
      <c r="AW532" s="200"/>
      <c r="AX532" s="200"/>
      <c r="AY532" s="200"/>
      <c r="AZ532" s="200"/>
      <c r="BA532" s="200"/>
      <c r="BB532" s="200"/>
      <c r="BC532" s="200"/>
      <c r="BD532" s="200"/>
    </row>
    <row r="533" spans="32:56" ht="24" customHeight="1" x14ac:dyDescent="0.25">
      <c r="AF533" s="200"/>
      <c r="AG533" s="200"/>
      <c r="AH533" s="200"/>
      <c r="AI533" s="200"/>
      <c r="AJ533" s="200"/>
      <c r="AK533" s="200"/>
      <c r="AL533" s="200"/>
      <c r="AM533" s="200"/>
      <c r="AN533" s="200"/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00"/>
      <c r="BB533" s="200"/>
      <c r="BC533" s="200"/>
      <c r="BD533" s="200"/>
    </row>
    <row r="534" spans="32:56" ht="24" customHeight="1" x14ac:dyDescent="0.25">
      <c r="AF534" s="200"/>
      <c r="AG534" s="200"/>
      <c r="AH534" s="200"/>
      <c r="AI534" s="200"/>
      <c r="AJ534" s="200"/>
      <c r="AK534" s="200"/>
      <c r="AL534" s="200"/>
      <c r="AM534" s="200"/>
      <c r="AN534" s="200"/>
      <c r="AO534" s="200"/>
      <c r="AP534" s="200"/>
      <c r="AQ534" s="200"/>
      <c r="AR534" s="200"/>
      <c r="AS534" s="200"/>
      <c r="AT534" s="200"/>
      <c r="AU534" s="200"/>
      <c r="AV534" s="200"/>
      <c r="AW534" s="200"/>
      <c r="AX534" s="200"/>
      <c r="AY534" s="200"/>
      <c r="AZ534" s="200"/>
      <c r="BA534" s="200"/>
      <c r="BB534" s="200"/>
      <c r="BC534" s="200"/>
      <c r="BD534" s="200"/>
    </row>
    <row r="535" spans="32:56" ht="24" customHeight="1" x14ac:dyDescent="0.25">
      <c r="AF535" s="200"/>
      <c r="AG535" s="200"/>
      <c r="AH535" s="200"/>
      <c r="AI535" s="200"/>
      <c r="AJ535" s="200"/>
      <c r="AK535" s="200"/>
      <c r="AL535" s="200"/>
      <c r="AM535" s="200"/>
      <c r="AN535" s="200"/>
      <c r="AO535" s="200"/>
      <c r="AP535" s="200"/>
      <c r="AQ535" s="200"/>
      <c r="AR535" s="200"/>
      <c r="AS535" s="200"/>
      <c r="AT535" s="200"/>
      <c r="AU535" s="200"/>
      <c r="AV535" s="200"/>
      <c r="AW535" s="200"/>
      <c r="AX535" s="200"/>
      <c r="AY535" s="200"/>
      <c r="AZ535" s="200"/>
      <c r="BA535" s="200"/>
      <c r="BB535" s="200"/>
      <c r="BC535" s="200"/>
      <c r="BD535" s="200"/>
    </row>
    <row r="536" spans="32:56" ht="24" customHeight="1" x14ac:dyDescent="0.25">
      <c r="AF536" s="200"/>
      <c r="AG536" s="200"/>
      <c r="AH536" s="200"/>
      <c r="AI536" s="200"/>
      <c r="AJ536" s="200"/>
      <c r="AK536" s="200"/>
      <c r="AL536" s="200"/>
      <c r="AM536" s="200"/>
      <c r="AN536" s="200"/>
      <c r="AO536" s="200"/>
      <c r="AP536" s="200"/>
      <c r="AQ536" s="200"/>
      <c r="AR536" s="200"/>
      <c r="AS536" s="200"/>
      <c r="AT536" s="200"/>
      <c r="AU536" s="200"/>
      <c r="AV536" s="200"/>
      <c r="AW536" s="200"/>
      <c r="AX536" s="200"/>
      <c r="AY536" s="200"/>
      <c r="AZ536" s="200"/>
      <c r="BA536" s="200"/>
      <c r="BB536" s="200"/>
      <c r="BC536" s="200"/>
      <c r="BD536" s="200"/>
    </row>
    <row r="537" spans="32:56" ht="24" customHeight="1" x14ac:dyDescent="0.25">
      <c r="AF537" s="200"/>
      <c r="AG537" s="200"/>
      <c r="AH537" s="200"/>
      <c r="AI537" s="200"/>
      <c r="AJ537" s="200"/>
      <c r="AK537" s="200"/>
      <c r="AL537" s="200"/>
      <c r="AM537" s="200"/>
      <c r="AN537" s="200"/>
      <c r="AO537" s="200"/>
      <c r="AP537" s="200"/>
      <c r="AQ537" s="200"/>
      <c r="AR537" s="200"/>
      <c r="AS537" s="200"/>
      <c r="AT537" s="200"/>
      <c r="AU537" s="200"/>
      <c r="AV537" s="200"/>
      <c r="AW537" s="200"/>
      <c r="AX537" s="200"/>
      <c r="AY537" s="200"/>
      <c r="AZ537" s="200"/>
      <c r="BA537" s="200"/>
      <c r="BB537" s="200"/>
      <c r="BC537" s="200"/>
      <c r="BD537" s="200"/>
    </row>
    <row r="538" spans="32:56" ht="24" customHeight="1" x14ac:dyDescent="0.25">
      <c r="AF538" s="200"/>
      <c r="AG538" s="200"/>
      <c r="AH538" s="200"/>
      <c r="AI538" s="200"/>
      <c r="AJ538" s="200"/>
      <c r="AK538" s="200"/>
      <c r="AL538" s="200"/>
      <c r="AM538" s="200"/>
      <c r="AN538" s="200"/>
      <c r="AO538" s="200"/>
      <c r="AP538" s="200"/>
      <c r="AQ538" s="200"/>
      <c r="AR538" s="200"/>
      <c r="AS538" s="200"/>
      <c r="AT538" s="200"/>
      <c r="AU538" s="200"/>
      <c r="AV538" s="200"/>
      <c r="AW538" s="200"/>
      <c r="AX538" s="200"/>
      <c r="AY538" s="200"/>
      <c r="AZ538" s="200"/>
      <c r="BA538" s="200"/>
      <c r="BB538" s="200"/>
      <c r="BC538" s="200"/>
      <c r="BD538" s="200"/>
    </row>
    <row r="539" spans="32:56" ht="24" customHeight="1" x14ac:dyDescent="0.25">
      <c r="AF539" s="200"/>
      <c r="AG539" s="200"/>
      <c r="AH539" s="200"/>
      <c r="AI539" s="200"/>
      <c r="AJ539" s="200"/>
      <c r="AK539" s="200"/>
      <c r="AL539" s="200"/>
      <c r="AM539" s="200"/>
      <c r="AN539" s="200"/>
      <c r="AO539" s="200"/>
      <c r="AP539" s="200"/>
      <c r="AQ539" s="200"/>
      <c r="AR539" s="200"/>
      <c r="AS539" s="200"/>
      <c r="AT539" s="200"/>
      <c r="AU539" s="200"/>
      <c r="AV539" s="200"/>
      <c r="AW539" s="200"/>
      <c r="AX539" s="200"/>
      <c r="AY539" s="200"/>
      <c r="AZ539" s="200"/>
      <c r="BA539" s="200"/>
      <c r="BB539" s="200"/>
      <c r="BC539" s="200"/>
      <c r="BD539" s="200"/>
    </row>
    <row r="540" spans="32:56" ht="24" customHeight="1" x14ac:dyDescent="0.25">
      <c r="AF540" s="200"/>
      <c r="AG540" s="200"/>
      <c r="AH540" s="200"/>
      <c r="AI540" s="200"/>
      <c r="AJ540" s="200"/>
      <c r="AK540" s="200"/>
      <c r="AL540" s="200"/>
      <c r="AM540" s="200"/>
      <c r="AN540" s="200"/>
      <c r="AO540" s="200"/>
      <c r="AP540" s="200"/>
      <c r="AQ540" s="200"/>
      <c r="AR540" s="200"/>
      <c r="AS540" s="200"/>
      <c r="AT540" s="200"/>
      <c r="AU540" s="200"/>
      <c r="AV540" s="200"/>
      <c r="AW540" s="200"/>
      <c r="AX540" s="200"/>
      <c r="AY540" s="200"/>
      <c r="AZ540" s="200"/>
      <c r="BA540" s="200"/>
      <c r="BB540" s="200"/>
      <c r="BC540" s="200"/>
      <c r="BD540" s="200"/>
    </row>
    <row r="541" spans="32:56" ht="24" customHeight="1" x14ac:dyDescent="0.25">
      <c r="AF541" s="200"/>
      <c r="AG541" s="200"/>
      <c r="AH541" s="200"/>
      <c r="AI541" s="200"/>
      <c r="AJ541" s="200"/>
      <c r="AK541" s="200"/>
      <c r="AL541" s="200"/>
      <c r="AM541" s="200"/>
      <c r="AN541" s="200"/>
      <c r="AO541" s="200"/>
      <c r="AP541" s="200"/>
      <c r="AQ541" s="200"/>
      <c r="AR541" s="200"/>
      <c r="AS541" s="200"/>
      <c r="AT541" s="200"/>
      <c r="AU541" s="200"/>
      <c r="AV541" s="200"/>
      <c r="AW541" s="200"/>
      <c r="AX541" s="200"/>
      <c r="AY541" s="200"/>
      <c r="AZ541" s="200"/>
      <c r="BA541" s="200"/>
      <c r="BB541" s="200"/>
      <c r="BC541" s="200"/>
      <c r="BD541" s="200"/>
    </row>
    <row r="542" spans="32:56" ht="24" customHeight="1" x14ac:dyDescent="0.25">
      <c r="AF542" s="200"/>
      <c r="AG542" s="200"/>
      <c r="AH542" s="200"/>
      <c r="AI542" s="200"/>
      <c r="AJ542" s="200"/>
      <c r="AK542" s="200"/>
      <c r="AL542" s="200"/>
      <c r="AM542" s="200"/>
      <c r="AN542" s="200"/>
      <c r="AO542" s="200"/>
      <c r="AP542" s="200"/>
      <c r="AQ542" s="200"/>
      <c r="AR542" s="200"/>
      <c r="AS542" s="200"/>
      <c r="AT542" s="200"/>
      <c r="AU542" s="200"/>
      <c r="AV542" s="200"/>
      <c r="AW542" s="200"/>
      <c r="AX542" s="200"/>
      <c r="AY542" s="200"/>
      <c r="AZ542" s="200"/>
      <c r="BA542" s="200"/>
      <c r="BB542" s="200"/>
      <c r="BC542" s="200"/>
      <c r="BD542" s="200"/>
    </row>
    <row r="543" spans="32:56" ht="24" customHeight="1" x14ac:dyDescent="0.25">
      <c r="AF543" s="200"/>
      <c r="AG543" s="200"/>
      <c r="AH543" s="200"/>
      <c r="AI543" s="200"/>
      <c r="AJ543" s="200"/>
      <c r="AK543" s="200"/>
      <c r="AL543" s="200"/>
      <c r="AM543" s="200"/>
      <c r="AN543" s="200"/>
      <c r="AO543" s="200"/>
      <c r="AP543" s="200"/>
      <c r="AQ543" s="200"/>
      <c r="AR543" s="200"/>
      <c r="AS543" s="200"/>
      <c r="AT543" s="200"/>
      <c r="AU543" s="200"/>
      <c r="AV543" s="200"/>
      <c r="AW543" s="200"/>
      <c r="AX543" s="200"/>
      <c r="AY543" s="200"/>
      <c r="AZ543" s="200"/>
      <c r="BA543" s="200"/>
      <c r="BB543" s="200"/>
      <c r="BC543" s="200"/>
      <c r="BD543" s="200"/>
    </row>
    <row r="544" spans="32:56" ht="24" customHeight="1" x14ac:dyDescent="0.25">
      <c r="AF544" s="200"/>
      <c r="AG544" s="200"/>
      <c r="AH544" s="200"/>
      <c r="AI544" s="200"/>
      <c r="AJ544" s="200"/>
      <c r="AK544" s="200"/>
      <c r="AL544" s="200"/>
      <c r="AM544" s="200"/>
      <c r="AN544" s="200"/>
      <c r="AO544" s="200"/>
      <c r="AP544" s="200"/>
      <c r="AQ544" s="200"/>
      <c r="AR544" s="200"/>
      <c r="AS544" s="200"/>
      <c r="AT544" s="200"/>
      <c r="AU544" s="200"/>
      <c r="AV544" s="200"/>
      <c r="AW544" s="200"/>
      <c r="AX544" s="200"/>
      <c r="AY544" s="200"/>
      <c r="AZ544" s="200"/>
      <c r="BA544" s="200"/>
      <c r="BB544" s="200"/>
      <c r="BC544" s="200"/>
      <c r="BD544" s="200"/>
    </row>
    <row r="545" spans="32:56" ht="24" customHeight="1" x14ac:dyDescent="0.25">
      <c r="AF545" s="200"/>
      <c r="AG545" s="200"/>
      <c r="AH545" s="200"/>
      <c r="AI545" s="200"/>
      <c r="AJ545" s="200"/>
      <c r="AK545" s="200"/>
      <c r="AL545" s="200"/>
      <c r="AM545" s="200"/>
      <c r="AN545" s="200"/>
      <c r="AO545" s="200"/>
      <c r="AP545" s="200"/>
      <c r="AQ545" s="200"/>
      <c r="AR545" s="200"/>
      <c r="AS545" s="200"/>
      <c r="AT545" s="200"/>
      <c r="AU545" s="200"/>
      <c r="AV545" s="200"/>
      <c r="AW545" s="200"/>
      <c r="AX545" s="200"/>
      <c r="AY545" s="200"/>
      <c r="AZ545" s="200"/>
      <c r="BA545" s="200"/>
      <c r="BB545" s="200"/>
      <c r="BC545" s="200"/>
      <c r="BD545" s="200"/>
    </row>
    <row r="546" spans="32:56" ht="24" customHeight="1" x14ac:dyDescent="0.25">
      <c r="AF546" s="200"/>
      <c r="AG546" s="200"/>
      <c r="AH546" s="200"/>
      <c r="AI546" s="200"/>
      <c r="AJ546" s="200"/>
      <c r="AK546" s="200"/>
      <c r="AL546" s="200"/>
      <c r="AM546" s="200"/>
      <c r="AN546" s="200"/>
      <c r="AO546" s="200"/>
      <c r="AP546" s="200"/>
      <c r="AQ546" s="200"/>
      <c r="AR546" s="200"/>
      <c r="AS546" s="200"/>
      <c r="AT546" s="200"/>
      <c r="AU546" s="200"/>
      <c r="AV546" s="200"/>
      <c r="AW546" s="200"/>
      <c r="AX546" s="200"/>
      <c r="AY546" s="200"/>
      <c r="AZ546" s="200"/>
      <c r="BA546" s="200"/>
      <c r="BB546" s="200"/>
      <c r="BC546" s="200"/>
      <c r="BD546" s="200"/>
    </row>
    <row r="547" spans="32:56" ht="24" customHeight="1" x14ac:dyDescent="0.25">
      <c r="AF547" s="200"/>
      <c r="AG547" s="200"/>
      <c r="AH547" s="200"/>
      <c r="AI547" s="200"/>
      <c r="AJ547" s="200"/>
      <c r="AK547" s="200"/>
      <c r="AL547" s="200"/>
      <c r="AM547" s="200"/>
      <c r="AN547" s="200"/>
      <c r="AO547" s="200"/>
      <c r="AP547" s="200"/>
      <c r="AQ547" s="200"/>
      <c r="AR547" s="200"/>
      <c r="AS547" s="200"/>
      <c r="AT547" s="200"/>
      <c r="AU547" s="200"/>
      <c r="AV547" s="200"/>
      <c r="AW547" s="200"/>
      <c r="AX547" s="200"/>
      <c r="AY547" s="200"/>
      <c r="AZ547" s="200"/>
      <c r="BA547" s="200"/>
      <c r="BB547" s="200"/>
      <c r="BC547" s="200"/>
      <c r="BD547" s="200"/>
    </row>
    <row r="548" spans="32:56" ht="24" customHeight="1" x14ac:dyDescent="0.25">
      <c r="AF548" s="200"/>
      <c r="AG548" s="200"/>
      <c r="AH548" s="200"/>
      <c r="AI548" s="200"/>
      <c r="AJ548" s="200"/>
      <c r="AK548" s="200"/>
      <c r="AL548" s="200"/>
      <c r="AM548" s="200"/>
      <c r="AN548" s="200"/>
      <c r="AO548" s="200"/>
      <c r="AP548" s="200"/>
      <c r="AQ548" s="200"/>
      <c r="AR548" s="200"/>
      <c r="AS548" s="200"/>
      <c r="AT548" s="200"/>
      <c r="AU548" s="200"/>
      <c r="AV548" s="200"/>
      <c r="AW548" s="200"/>
      <c r="AX548" s="200"/>
      <c r="AY548" s="200"/>
      <c r="AZ548" s="200"/>
      <c r="BA548" s="200"/>
      <c r="BB548" s="200"/>
      <c r="BC548" s="200"/>
      <c r="BD548" s="200"/>
    </row>
    <row r="549" spans="32:56" ht="24" customHeight="1" x14ac:dyDescent="0.25">
      <c r="AF549" s="200"/>
      <c r="AG549" s="200"/>
      <c r="AH549" s="200"/>
      <c r="AI549" s="200"/>
      <c r="AJ549" s="200"/>
      <c r="AK549" s="200"/>
      <c r="AL549" s="200"/>
      <c r="AM549" s="200"/>
      <c r="AN549" s="200"/>
      <c r="AO549" s="200"/>
      <c r="AP549" s="200"/>
      <c r="AQ549" s="200"/>
      <c r="AR549" s="200"/>
      <c r="AS549" s="200"/>
      <c r="AT549" s="200"/>
      <c r="AU549" s="200"/>
      <c r="AV549" s="200"/>
      <c r="AW549" s="200"/>
      <c r="AX549" s="200"/>
      <c r="AY549" s="200"/>
      <c r="AZ549" s="200"/>
      <c r="BA549" s="200"/>
      <c r="BB549" s="200"/>
      <c r="BC549" s="200"/>
      <c r="BD549" s="200"/>
    </row>
    <row r="550" spans="32:56" ht="24" customHeight="1" x14ac:dyDescent="0.25">
      <c r="AF550" s="200"/>
      <c r="AG550" s="200"/>
      <c r="AH550" s="200"/>
      <c r="AI550" s="200"/>
      <c r="AJ550" s="200"/>
      <c r="AK550" s="200"/>
      <c r="AL550" s="200"/>
      <c r="AM550" s="200"/>
      <c r="AN550" s="200"/>
      <c r="AO550" s="200"/>
      <c r="AP550" s="200"/>
      <c r="AQ550" s="200"/>
      <c r="AR550" s="200"/>
      <c r="AS550" s="200"/>
      <c r="AT550" s="200"/>
      <c r="AU550" s="200"/>
      <c r="AV550" s="200"/>
      <c r="AW550" s="200"/>
      <c r="AX550" s="200"/>
      <c r="AY550" s="200"/>
      <c r="AZ550" s="200"/>
      <c r="BA550" s="200"/>
      <c r="BB550" s="200"/>
      <c r="BC550" s="200"/>
      <c r="BD550" s="200"/>
    </row>
    <row r="551" spans="32:56" ht="24" customHeight="1" x14ac:dyDescent="0.25">
      <c r="AF551" s="200"/>
      <c r="AG551" s="200"/>
      <c r="AH551" s="200"/>
      <c r="AI551" s="200"/>
      <c r="AJ551" s="200"/>
      <c r="AK551" s="200"/>
      <c r="AL551" s="200"/>
      <c r="AM551" s="200"/>
      <c r="AN551" s="200"/>
      <c r="AO551" s="200"/>
      <c r="AP551" s="200"/>
      <c r="AQ551" s="200"/>
      <c r="AR551" s="200"/>
      <c r="AS551" s="200"/>
      <c r="AT551" s="200"/>
      <c r="AU551" s="200"/>
      <c r="AV551" s="200"/>
      <c r="AW551" s="200"/>
      <c r="AX551" s="200"/>
      <c r="AY551" s="200"/>
      <c r="AZ551" s="200"/>
      <c r="BA551" s="200"/>
      <c r="BB551" s="200"/>
      <c r="BC551" s="200"/>
      <c r="BD551" s="200"/>
    </row>
    <row r="552" spans="32:56" ht="24" customHeight="1" x14ac:dyDescent="0.25">
      <c r="AF552" s="200"/>
      <c r="AG552" s="200"/>
      <c r="AH552" s="200"/>
      <c r="AI552" s="200"/>
      <c r="AJ552" s="200"/>
      <c r="AK552" s="200"/>
      <c r="AL552" s="200"/>
      <c r="AM552" s="200"/>
      <c r="AN552" s="200"/>
      <c r="AO552" s="200"/>
      <c r="AP552" s="200"/>
      <c r="AQ552" s="200"/>
      <c r="AR552" s="200"/>
      <c r="AS552" s="200"/>
      <c r="AT552" s="200"/>
      <c r="AU552" s="200"/>
      <c r="AV552" s="200"/>
      <c r="AW552" s="200"/>
      <c r="AX552" s="200"/>
      <c r="AY552" s="200"/>
      <c r="AZ552" s="200"/>
      <c r="BA552" s="200"/>
      <c r="BB552" s="200"/>
      <c r="BC552" s="200"/>
      <c r="BD552" s="200"/>
    </row>
    <row r="553" spans="32:56" ht="24" customHeight="1" x14ac:dyDescent="0.25">
      <c r="AF553" s="200"/>
      <c r="AG553" s="200"/>
      <c r="AH553" s="200"/>
      <c r="AI553" s="200"/>
      <c r="AJ553" s="200"/>
      <c r="AK553" s="200"/>
      <c r="AL553" s="200"/>
      <c r="AM553" s="200"/>
      <c r="AN553" s="200"/>
      <c r="AO553" s="200"/>
      <c r="AP553" s="200"/>
      <c r="AQ553" s="200"/>
      <c r="AR553" s="200"/>
      <c r="AS553" s="200"/>
      <c r="AT553" s="200"/>
      <c r="AU553" s="200"/>
      <c r="AV553" s="200"/>
      <c r="AW553" s="200"/>
      <c r="AX553" s="200"/>
      <c r="AY553" s="200"/>
      <c r="AZ553" s="200"/>
      <c r="BA553" s="200"/>
      <c r="BB553" s="200"/>
      <c r="BC553" s="200"/>
      <c r="BD553" s="200"/>
    </row>
    <row r="554" spans="32:56" ht="24" customHeight="1" x14ac:dyDescent="0.25">
      <c r="AF554" s="200"/>
      <c r="AG554" s="200"/>
      <c r="AH554" s="200"/>
      <c r="AI554" s="200"/>
      <c r="AJ554" s="200"/>
      <c r="AK554" s="200"/>
      <c r="AL554" s="200"/>
      <c r="AM554" s="200"/>
      <c r="AN554" s="200"/>
      <c r="AO554" s="200"/>
      <c r="AP554" s="200"/>
      <c r="AQ554" s="200"/>
      <c r="AR554" s="200"/>
      <c r="AS554" s="200"/>
      <c r="AT554" s="200"/>
      <c r="AU554" s="200"/>
      <c r="AV554" s="200"/>
      <c r="AW554" s="200"/>
      <c r="AX554" s="200"/>
      <c r="AY554" s="200"/>
      <c r="AZ554" s="200"/>
      <c r="BA554" s="200"/>
      <c r="BB554" s="200"/>
      <c r="BC554" s="200"/>
      <c r="BD554" s="200"/>
    </row>
    <row r="555" spans="32:56" ht="24" customHeight="1" x14ac:dyDescent="0.25">
      <c r="AF555" s="200"/>
      <c r="AG555" s="200"/>
      <c r="AH555" s="200"/>
      <c r="AI555" s="200"/>
      <c r="AJ555" s="200"/>
      <c r="AK555" s="200"/>
      <c r="AL555" s="200"/>
      <c r="AM555" s="200"/>
      <c r="AN555" s="200"/>
      <c r="AO555" s="200"/>
      <c r="AP555" s="200"/>
      <c r="AQ555" s="200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00"/>
      <c r="BB555" s="200"/>
      <c r="BC555" s="200"/>
      <c r="BD555" s="200"/>
    </row>
    <row r="556" spans="32:56" ht="24" customHeight="1" x14ac:dyDescent="0.25">
      <c r="AF556" s="200"/>
      <c r="AG556" s="200"/>
      <c r="AH556" s="200"/>
      <c r="AI556" s="200"/>
      <c r="AJ556" s="200"/>
      <c r="AK556" s="200"/>
      <c r="AL556" s="200"/>
      <c r="AM556" s="200"/>
      <c r="AN556" s="200"/>
      <c r="AO556" s="200"/>
      <c r="AP556" s="200"/>
      <c r="AQ556" s="200"/>
      <c r="AR556" s="200"/>
      <c r="AS556" s="200"/>
      <c r="AT556" s="200"/>
      <c r="AU556" s="200"/>
      <c r="AV556" s="200"/>
      <c r="AW556" s="200"/>
      <c r="AX556" s="200"/>
      <c r="AY556" s="200"/>
      <c r="AZ556" s="200"/>
      <c r="BA556" s="200"/>
      <c r="BB556" s="200"/>
      <c r="BC556" s="200"/>
      <c r="BD556" s="200"/>
    </row>
    <row r="557" spans="32:56" ht="24" customHeight="1" x14ac:dyDescent="0.25">
      <c r="AF557" s="200"/>
      <c r="AG557" s="200"/>
      <c r="AH557" s="200"/>
      <c r="AI557" s="200"/>
      <c r="AJ557" s="200"/>
      <c r="AK557" s="200"/>
      <c r="AL557" s="200"/>
      <c r="AM557" s="200"/>
      <c r="AN557" s="200"/>
      <c r="AO557" s="200"/>
      <c r="AP557" s="200"/>
      <c r="AQ557" s="200"/>
      <c r="AR557" s="200"/>
      <c r="AS557" s="200"/>
      <c r="AT557" s="200"/>
      <c r="AU557" s="200"/>
      <c r="AV557" s="200"/>
      <c r="AW557" s="200"/>
      <c r="AX557" s="200"/>
      <c r="AY557" s="200"/>
      <c r="AZ557" s="200"/>
      <c r="BA557" s="200"/>
      <c r="BB557" s="200"/>
      <c r="BC557" s="200"/>
      <c r="BD557" s="200"/>
    </row>
    <row r="558" spans="32:56" ht="24" customHeight="1" x14ac:dyDescent="0.25">
      <c r="AF558" s="200"/>
      <c r="AG558" s="200"/>
      <c r="AH558" s="200"/>
      <c r="AI558" s="200"/>
      <c r="AJ558" s="200"/>
      <c r="AK558" s="200"/>
      <c r="AL558" s="200"/>
      <c r="AM558" s="200"/>
      <c r="AN558" s="200"/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00"/>
      <c r="BB558" s="200"/>
      <c r="BC558" s="200"/>
      <c r="BD558" s="200"/>
    </row>
    <row r="559" spans="32:56" ht="24" customHeight="1" x14ac:dyDescent="0.25">
      <c r="AF559" s="200"/>
      <c r="AG559" s="200"/>
      <c r="AH559" s="200"/>
      <c r="AI559" s="200"/>
      <c r="AJ559" s="200"/>
      <c r="AK559" s="200"/>
      <c r="AL559" s="200"/>
      <c r="AM559" s="200"/>
      <c r="AN559" s="200"/>
      <c r="AO559" s="200"/>
      <c r="AP559" s="200"/>
      <c r="AQ559" s="200"/>
      <c r="AR559" s="200"/>
      <c r="AS559" s="200"/>
      <c r="AT559" s="200"/>
      <c r="AU559" s="200"/>
      <c r="AV559" s="200"/>
      <c r="AW559" s="200"/>
      <c r="AX559" s="200"/>
      <c r="AY559" s="200"/>
      <c r="AZ559" s="200"/>
      <c r="BA559" s="200"/>
      <c r="BB559" s="200"/>
      <c r="BC559" s="200"/>
      <c r="BD559" s="200"/>
    </row>
    <row r="560" spans="32:56" ht="24" customHeight="1" x14ac:dyDescent="0.25">
      <c r="AF560" s="200"/>
      <c r="AG560" s="200"/>
      <c r="AH560" s="200"/>
      <c r="AI560" s="200"/>
      <c r="AJ560" s="200"/>
      <c r="AK560" s="200"/>
      <c r="AL560" s="200"/>
      <c r="AM560" s="200"/>
      <c r="AN560" s="200"/>
      <c r="AO560" s="200"/>
      <c r="AP560" s="200"/>
      <c r="AQ560" s="200"/>
      <c r="AR560" s="200"/>
      <c r="AS560" s="200"/>
      <c r="AT560" s="200"/>
      <c r="AU560" s="200"/>
      <c r="AV560" s="200"/>
      <c r="AW560" s="200"/>
      <c r="AX560" s="200"/>
      <c r="AY560" s="200"/>
      <c r="AZ560" s="200"/>
      <c r="BA560" s="200"/>
      <c r="BB560" s="200"/>
      <c r="BC560" s="200"/>
      <c r="BD560" s="200"/>
    </row>
    <row r="561" spans="32:56" ht="24" customHeight="1" x14ac:dyDescent="0.25">
      <c r="AF561" s="200"/>
      <c r="AG561" s="200"/>
      <c r="AH561" s="200"/>
      <c r="AI561" s="200"/>
      <c r="AJ561" s="200"/>
      <c r="AK561" s="200"/>
      <c r="AL561" s="200"/>
      <c r="AM561" s="200"/>
      <c r="AN561" s="200"/>
      <c r="AO561" s="200"/>
      <c r="AP561" s="200"/>
      <c r="AQ561" s="200"/>
      <c r="AR561" s="200"/>
      <c r="AS561" s="200"/>
      <c r="AT561" s="200"/>
      <c r="AU561" s="200"/>
      <c r="AV561" s="200"/>
      <c r="AW561" s="200"/>
      <c r="AX561" s="200"/>
      <c r="AY561" s="200"/>
      <c r="AZ561" s="200"/>
      <c r="BA561" s="200"/>
      <c r="BB561" s="200"/>
      <c r="BC561" s="200"/>
      <c r="BD561" s="200"/>
    </row>
    <row r="562" spans="32:56" ht="24" customHeight="1" x14ac:dyDescent="0.25">
      <c r="AF562" s="200"/>
      <c r="AG562" s="200"/>
      <c r="AH562" s="200"/>
      <c r="AI562" s="200"/>
      <c r="AJ562" s="200"/>
      <c r="AK562" s="200"/>
      <c r="AL562" s="200"/>
      <c r="AM562" s="200"/>
      <c r="AN562" s="200"/>
      <c r="AO562" s="200"/>
      <c r="AP562" s="200"/>
      <c r="AQ562" s="200"/>
      <c r="AR562" s="200"/>
      <c r="AS562" s="200"/>
      <c r="AT562" s="200"/>
      <c r="AU562" s="200"/>
      <c r="AV562" s="200"/>
      <c r="AW562" s="200"/>
      <c r="AX562" s="200"/>
      <c r="AY562" s="200"/>
      <c r="AZ562" s="200"/>
      <c r="BA562" s="200"/>
      <c r="BB562" s="200"/>
      <c r="BC562" s="200"/>
      <c r="BD562" s="200"/>
    </row>
    <row r="563" spans="32:56" ht="24" customHeight="1" x14ac:dyDescent="0.25">
      <c r="AF563" s="200"/>
      <c r="AG563" s="200"/>
      <c r="AH563" s="200"/>
      <c r="AI563" s="200"/>
      <c r="AJ563" s="200"/>
      <c r="AK563" s="200"/>
      <c r="AL563" s="200"/>
      <c r="AM563" s="200"/>
      <c r="AN563" s="200"/>
      <c r="AO563" s="200"/>
      <c r="AP563" s="200"/>
      <c r="AQ563" s="200"/>
      <c r="AR563" s="200"/>
      <c r="AS563" s="200"/>
      <c r="AT563" s="200"/>
      <c r="AU563" s="200"/>
      <c r="AV563" s="200"/>
      <c r="AW563" s="200"/>
      <c r="AX563" s="200"/>
      <c r="AY563" s="200"/>
      <c r="AZ563" s="200"/>
      <c r="BA563" s="200"/>
      <c r="BB563" s="200"/>
      <c r="BC563" s="200"/>
      <c r="BD563" s="200"/>
    </row>
    <row r="564" spans="32:56" ht="24" customHeight="1" x14ac:dyDescent="0.25">
      <c r="AF564" s="200"/>
      <c r="AG564" s="200"/>
      <c r="AH564" s="200"/>
      <c r="AI564" s="200"/>
      <c r="AJ564" s="200"/>
      <c r="AK564" s="200"/>
      <c r="AL564" s="200"/>
      <c r="AM564" s="200"/>
      <c r="AN564" s="200"/>
      <c r="AO564" s="200"/>
      <c r="AP564" s="200"/>
      <c r="AQ564" s="200"/>
      <c r="AR564" s="200"/>
      <c r="AS564" s="200"/>
      <c r="AT564" s="200"/>
      <c r="AU564" s="200"/>
      <c r="AV564" s="200"/>
      <c r="AW564" s="200"/>
      <c r="AX564" s="200"/>
      <c r="AY564" s="200"/>
      <c r="AZ564" s="200"/>
      <c r="BA564" s="200"/>
      <c r="BB564" s="200"/>
      <c r="BC564" s="200"/>
      <c r="BD564" s="200"/>
    </row>
    <row r="565" spans="32:56" ht="24" customHeight="1" x14ac:dyDescent="0.25">
      <c r="AF565" s="200"/>
      <c r="AG565" s="200"/>
      <c r="AH565" s="200"/>
      <c r="AI565" s="200"/>
      <c r="AJ565" s="200"/>
      <c r="AK565" s="200"/>
      <c r="AL565" s="200"/>
      <c r="AM565" s="200"/>
      <c r="AN565" s="200"/>
      <c r="AO565" s="200"/>
      <c r="AP565" s="200"/>
      <c r="AQ565" s="200"/>
      <c r="AR565" s="200"/>
      <c r="AS565" s="200"/>
      <c r="AT565" s="200"/>
      <c r="AU565" s="200"/>
      <c r="AV565" s="200"/>
      <c r="AW565" s="200"/>
      <c r="AX565" s="200"/>
      <c r="AY565" s="200"/>
      <c r="AZ565" s="200"/>
      <c r="BA565" s="200"/>
      <c r="BB565" s="200"/>
      <c r="BC565" s="200"/>
      <c r="BD565" s="200"/>
    </row>
    <row r="566" spans="32:56" ht="24" customHeight="1" x14ac:dyDescent="0.25">
      <c r="AF566" s="200"/>
      <c r="AG566" s="200"/>
      <c r="AH566" s="200"/>
      <c r="AI566" s="200"/>
      <c r="AJ566" s="200"/>
      <c r="AK566" s="200"/>
      <c r="AL566" s="200"/>
      <c r="AM566" s="200"/>
      <c r="AN566" s="200"/>
      <c r="AO566" s="200"/>
      <c r="AP566" s="200"/>
      <c r="AQ566" s="200"/>
      <c r="AR566" s="200"/>
      <c r="AS566" s="200"/>
      <c r="AT566" s="200"/>
      <c r="AU566" s="200"/>
      <c r="AV566" s="200"/>
      <c r="AW566" s="200"/>
      <c r="AX566" s="200"/>
      <c r="AY566" s="200"/>
      <c r="AZ566" s="200"/>
      <c r="BA566" s="200"/>
      <c r="BB566" s="200"/>
      <c r="BC566" s="200"/>
      <c r="BD566" s="200"/>
    </row>
    <row r="567" spans="32:56" ht="24" customHeight="1" x14ac:dyDescent="0.25">
      <c r="AF567" s="200"/>
      <c r="AG567" s="200"/>
      <c r="AH567" s="200"/>
      <c r="AI567" s="200"/>
      <c r="AJ567" s="200"/>
      <c r="AK567" s="200"/>
      <c r="AL567" s="200"/>
      <c r="AM567" s="200"/>
      <c r="AN567" s="200"/>
      <c r="AO567" s="200"/>
      <c r="AP567" s="200"/>
      <c r="AQ567" s="200"/>
      <c r="AR567" s="200"/>
      <c r="AS567" s="200"/>
      <c r="AT567" s="200"/>
      <c r="AU567" s="200"/>
      <c r="AV567" s="200"/>
      <c r="AW567" s="200"/>
      <c r="AX567" s="200"/>
      <c r="AY567" s="200"/>
      <c r="AZ567" s="200"/>
      <c r="BA567" s="200"/>
      <c r="BB567" s="200"/>
      <c r="BC567" s="200"/>
      <c r="BD567" s="200"/>
    </row>
    <row r="568" spans="32:56" ht="24" customHeight="1" x14ac:dyDescent="0.25">
      <c r="AF568" s="200"/>
      <c r="AG568" s="200"/>
      <c r="AH568" s="200"/>
      <c r="AI568" s="200"/>
      <c r="AJ568" s="200"/>
      <c r="AK568" s="200"/>
      <c r="AL568" s="200"/>
      <c r="AM568" s="200"/>
      <c r="AN568" s="200"/>
      <c r="AO568" s="200"/>
      <c r="AP568" s="200"/>
      <c r="AQ568" s="200"/>
      <c r="AR568" s="200"/>
      <c r="AS568" s="200"/>
      <c r="AT568" s="200"/>
      <c r="AU568" s="200"/>
      <c r="AV568" s="200"/>
      <c r="AW568" s="200"/>
      <c r="AX568" s="200"/>
      <c r="AY568" s="200"/>
      <c r="AZ568" s="200"/>
      <c r="BA568" s="200"/>
      <c r="BB568" s="200"/>
      <c r="BC568" s="200"/>
      <c r="BD568" s="200"/>
    </row>
    <row r="569" spans="32:56" ht="24" customHeight="1" x14ac:dyDescent="0.25">
      <c r="AF569" s="200"/>
      <c r="AG569" s="200"/>
      <c r="AH569" s="200"/>
      <c r="AI569" s="200"/>
      <c r="AJ569" s="200"/>
      <c r="AK569" s="200"/>
      <c r="AL569" s="200"/>
      <c r="AM569" s="200"/>
      <c r="AN569" s="200"/>
      <c r="AO569" s="200"/>
      <c r="AP569" s="200"/>
      <c r="AQ569" s="200"/>
      <c r="AR569" s="200"/>
      <c r="AS569" s="200"/>
      <c r="AT569" s="200"/>
      <c r="AU569" s="200"/>
      <c r="AV569" s="200"/>
      <c r="AW569" s="200"/>
      <c r="AX569" s="200"/>
      <c r="AY569" s="200"/>
      <c r="AZ569" s="200"/>
      <c r="BA569" s="200"/>
      <c r="BB569" s="200"/>
      <c r="BC569" s="200"/>
      <c r="BD569" s="200"/>
    </row>
    <row r="570" spans="32:56" ht="24" customHeight="1" x14ac:dyDescent="0.25">
      <c r="AF570" s="200"/>
      <c r="AG570" s="200"/>
      <c r="AH570" s="200"/>
      <c r="AI570" s="200"/>
      <c r="AJ570" s="200"/>
      <c r="AK570" s="200"/>
      <c r="AL570" s="200"/>
      <c r="AM570" s="200"/>
      <c r="AN570" s="200"/>
      <c r="AO570" s="200"/>
      <c r="AP570" s="200"/>
      <c r="AQ570" s="200"/>
      <c r="AR570" s="200"/>
      <c r="AS570" s="200"/>
      <c r="AT570" s="200"/>
      <c r="AU570" s="200"/>
      <c r="AV570" s="200"/>
      <c r="AW570" s="200"/>
      <c r="AX570" s="200"/>
      <c r="AY570" s="200"/>
      <c r="AZ570" s="200"/>
      <c r="BA570" s="200"/>
      <c r="BB570" s="200"/>
      <c r="BC570" s="200"/>
      <c r="BD570" s="200"/>
    </row>
    <row r="571" spans="32:56" ht="24" customHeight="1" x14ac:dyDescent="0.25">
      <c r="AF571" s="200"/>
      <c r="AG571" s="200"/>
      <c r="AH571" s="200"/>
      <c r="AI571" s="200"/>
      <c r="AJ571" s="200"/>
      <c r="AK571" s="200"/>
      <c r="AL571" s="200"/>
      <c r="AM571" s="200"/>
      <c r="AN571" s="200"/>
      <c r="AO571" s="200"/>
      <c r="AP571" s="200"/>
      <c r="AQ571" s="200"/>
      <c r="AR571" s="200"/>
      <c r="AS571" s="200"/>
      <c r="AT571" s="200"/>
      <c r="AU571" s="200"/>
      <c r="AV571" s="200"/>
      <c r="AW571" s="200"/>
      <c r="AX571" s="200"/>
      <c r="AY571" s="200"/>
      <c r="AZ571" s="200"/>
      <c r="BA571" s="200"/>
      <c r="BB571" s="200"/>
      <c r="BC571" s="200"/>
      <c r="BD571" s="200"/>
    </row>
    <row r="572" spans="32:56" ht="24" customHeight="1" x14ac:dyDescent="0.25">
      <c r="AF572" s="200"/>
      <c r="AG572" s="200"/>
      <c r="AH572" s="200"/>
      <c r="AI572" s="200"/>
      <c r="AJ572" s="200"/>
      <c r="AK572" s="200"/>
      <c r="AL572" s="200"/>
      <c r="AM572" s="200"/>
      <c r="AN572" s="200"/>
      <c r="AO572" s="200"/>
      <c r="AP572" s="200"/>
      <c r="AQ572" s="200"/>
      <c r="AR572" s="200"/>
      <c r="AS572" s="200"/>
      <c r="AT572" s="200"/>
      <c r="AU572" s="200"/>
      <c r="AV572" s="200"/>
      <c r="AW572" s="200"/>
      <c r="AX572" s="200"/>
      <c r="AY572" s="200"/>
      <c r="AZ572" s="200"/>
      <c r="BA572" s="200"/>
      <c r="BB572" s="200"/>
      <c r="BC572" s="200"/>
      <c r="BD572" s="200"/>
    </row>
    <row r="573" spans="32:56" ht="24" customHeight="1" x14ac:dyDescent="0.25">
      <c r="AF573" s="200"/>
      <c r="AG573" s="200"/>
      <c r="AH573" s="200"/>
      <c r="AI573" s="200"/>
      <c r="AJ573" s="200"/>
      <c r="AK573" s="200"/>
      <c r="AL573" s="200"/>
      <c r="AM573" s="200"/>
      <c r="AN573" s="200"/>
      <c r="AO573" s="200"/>
      <c r="AP573" s="200"/>
      <c r="AQ573" s="200"/>
      <c r="AR573" s="200"/>
      <c r="AS573" s="200"/>
      <c r="AT573" s="200"/>
      <c r="AU573" s="200"/>
      <c r="AV573" s="200"/>
      <c r="AW573" s="200"/>
      <c r="AX573" s="200"/>
      <c r="AY573" s="200"/>
      <c r="AZ573" s="200"/>
      <c r="BA573" s="200"/>
      <c r="BB573" s="200"/>
      <c r="BC573" s="200"/>
      <c r="BD573" s="200"/>
    </row>
    <row r="574" spans="32:56" ht="24" customHeight="1" x14ac:dyDescent="0.25">
      <c r="AF574" s="200"/>
      <c r="AG574" s="200"/>
      <c r="AH574" s="200"/>
      <c r="AI574" s="200"/>
      <c r="AJ574" s="200"/>
      <c r="AK574" s="200"/>
      <c r="AL574" s="200"/>
      <c r="AM574" s="200"/>
      <c r="AN574" s="200"/>
      <c r="AO574" s="200"/>
      <c r="AP574" s="200"/>
      <c r="AQ574" s="200"/>
      <c r="AR574" s="200"/>
      <c r="AS574" s="200"/>
      <c r="AT574" s="200"/>
      <c r="AU574" s="200"/>
      <c r="AV574" s="200"/>
      <c r="AW574" s="200"/>
      <c r="AX574" s="200"/>
      <c r="AY574" s="200"/>
      <c r="AZ574" s="200"/>
      <c r="BA574" s="200"/>
      <c r="BB574" s="200"/>
      <c r="BC574" s="200"/>
      <c r="BD574" s="200"/>
    </row>
    <row r="575" spans="32:56" ht="24" customHeight="1" x14ac:dyDescent="0.25">
      <c r="AF575" s="200"/>
      <c r="AG575" s="200"/>
      <c r="AH575" s="200"/>
      <c r="AI575" s="200"/>
      <c r="AJ575" s="200"/>
      <c r="AK575" s="200"/>
      <c r="AL575" s="200"/>
      <c r="AM575" s="200"/>
      <c r="AN575" s="200"/>
      <c r="AO575" s="200"/>
      <c r="AP575" s="200"/>
      <c r="AQ575" s="200"/>
      <c r="AR575" s="200"/>
      <c r="AS575" s="200"/>
      <c r="AT575" s="200"/>
      <c r="AU575" s="200"/>
      <c r="AV575" s="200"/>
      <c r="AW575" s="200"/>
      <c r="AX575" s="200"/>
      <c r="AY575" s="200"/>
      <c r="AZ575" s="200"/>
      <c r="BA575" s="200"/>
      <c r="BB575" s="200"/>
      <c r="BC575" s="200"/>
      <c r="BD575" s="200"/>
    </row>
    <row r="576" spans="32:56" ht="24" customHeight="1" x14ac:dyDescent="0.25">
      <c r="AF576" s="200"/>
      <c r="AG576" s="200"/>
      <c r="AH576" s="200"/>
      <c r="AI576" s="200"/>
      <c r="AJ576" s="200"/>
      <c r="AK576" s="200"/>
      <c r="AL576" s="200"/>
      <c r="AM576" s="200"/>
      <c r="AN576" s="200"/>
      <c r="AO576" s="200"/>
      <c r="AP576" s="200"/>
      <c r="AQ576" s="200"/>
      <c r="AR576" s="200"/>
      <c r="AS576" s="200"/>
      <c r="AT576" s="200"/>
      <c r="AU576" s="200"/>
      <c r="AV576" s="200"/>
      <c r="AW576" s="200"/>
      <c r="AX576" s="200"/>
      <c r="AY576" s="200"/>
      <c r="AZ576" s="200"/>
      <c r="BA576" s="200"/>
      <c r="BB576" s="200"/>
      <c r="BC576" s="200"/>
      <c r="BD576" s="200"/>
    </row>
    <row r="577" spans="32:56" ht="24" customHeight="1" x14ac:dyDescent="0.25">
      <c r="AF577" s="200"/>
      <c r="AG577" s="200"/>
      <c r="AH577" s="200"/>
      <c r="AI577" s="200"/>
      <c r="AJ577" s="200"/>
      <c r="AK577" s="200"/>
      <c r="AL577" s="200"/>
      <c r="AM577" s="200"/>
      <c r="AN577" s="200"/>
      <c r="AO577" s="200"/>
      <c r="AP577" s="200"/>
      <c r="AQ577" s="200"/>
      <c r="AR577" s="200"/>
      <c r="AS577" s="200"/>
      <c r="AT577" s="200"/>
      <c r="AU577" s="200"/>
      <c r="AV577" s="200"/>
      <c r="AW577" s="200"/>
      <c r="AX577" s="200"/>
      <c r="AY577" s="200"/>
      <c r="AZ577" s="200"/>
      <c r="BA577" s="200"/>
      <c r="BB577" s="200"/>
      <c r="BC577" s="200"/>
      <c r="BD577" s="200"/>
    </row>
    <row r="578" spans="32:56" ht="24" customHeight="1" x14ac:dyDescent="0.25">
      <c r="AF578" s="200"/>
      <c r="AG578" s="200"/>
      <c r="AH578" s="200"/>
      <c r="AI578" s="200"/>
      <c r="AJ578" s="200"/>
      <c r="AK578" s="200"/>
      <c r="AL578" s="200"/>
      <c r="AM578" s="200"/>
      <c r="AN578" s="200"/>
      <c r="AO578" s="200"/>
      <c r="AP578" s="200"/>
      <c r="AQ578" s="200"/>
      <c r="AR578" s="200"/>
      <c r="AS578" s="200"/>
      <c r="AT578" s="200"/>
      <c r="AU578" s="200"/>
      <c r="AV578" s="200"/>
      <c r="AW578" s="200"/>
      <c r="AX578" s="200"/>
      <c r="AY578" s="200"/>
      <c r="AZ578" s="200"/>
      <c r="BA578" s="200"/>
      <c r="BB578" s="200"/>
      <c r="BC578" s="200"/>
      <c r="BD578" s="200"/>
    </row>
    <row r="579" spans="32:56" ht="24" customHeight="1" x14ac:dyDescent="0.25">
      <c r="AF579" s="200"/>
      <c r="AG579" s="200"/>
      <c r="AH579" s="200"/>
      <c r="AI579" s="200"/>
      <c r="AJ579" s="200"/>
      <c r="AK579" s="200"/>
      <c r="AL579" s="200"/>
      <c r="AM579" s="200"/>
      <c r="AN579" s="200"/>
      <c r="AO579" s="200"/>
      <c r="AP579" s="200"/>
      <c r="AQ579" s="200"/>
      <c r="AR579" s="200"/>
      <c r="AS579" s="200"/>
      <c r="AT579" s="200"/>
      <c r="AU579" s="200"/>
      <c r="AV579" s="200"/>
      <c r="AW579" s="200"/>
      <c r="AX579" s="200"/>
      <c r="AY579" s="200"/>
      <c r="AZ579" s="200"/>
      <c r="BA579" s="200"/>
      <c r="BB579" s="200"/>
      <c r="BC579" s="200"/>
      <c r="BD579" s="200"/>
    </row>
    <row r="580" spans="32:56" ht="24" customHeight="1" x14ac:dyDescent="0.25">
      <c r="AF580" s="200"/>
      <c r="AG580" s="200"/>
      <c r="AH580" s="200"/>
      <c r="AI580" s="200"/>
      <c r="AJ580" s="200"/>
      <c r="AK580" s="200"/>
      <c r="AL580" s="200"/>
      <c r="AM580" s="200"/>
      <c r="AN580" s="200"/>
      <c r="AO580" s="200"/>
      <c r="AP580" s="200"/>
      <c r="AQ580" s="200"/>
      <c r="AR580" s="200"/>
      <c r="AS580" s="200"/>
      <c r="AT580" s="200"/>
      <c r="AU580" s="200"/>
      <c r="AV580" s="200"/>
      <c r="AW580" s="200"/>
      <c r="AX580" s="200"/>
      <c r="AY580" s="200"/>
      <c r="AZ580" s="200"/>
      <c r="BA580" s="200"/>
      <c r="BB580" s="200"/>
      <c r="BC580" s="200"/>
      <c r="BD580" s="200"/>
    </row>
    <row r="581" spans="32:56" ht="24" customHeight="1" x14ac:dyDescent="0.25">
      <c r="AF581" s="200"/>
      <c r="AG581" s="200"/>
      <c r="AH581" s="200"/>
      <c r="AI581" s="200"/>
      <c r="AJ581" s="200"/>
      <c r="AK581" s="200"/>
      <c r="AL581" s="200"/>
      <c r="AM581" s="200"/>
      <c r="AN581" s="200"/>
      <c r="AO581" s="200"/>
      <c r="AP581" s="200"/>
      <c r="AQ581" s="200"/>
      <c r="AR581" s="200"/>
      <c r="AS581" s="200"/>
      <c r="AT581" s="200"/>
      <c r="AU581" s="200"/>
      <c r="AV581" s="200"/>
      <c r="AW581" s="200"/>
      <c r="AX581" s="200"/>
      <c r="AY581" s="200"/>
      <c r="AZ581" s="200"/>
      <c r="BA581" s="200"/>
      <c r="BB581" s="200"/>
      <c r="BC581" s="200"/>
      <c r="BD581" s="200"/>
    </row>
    <row r="582" spans="32:56" ht="24" customHeight="1" x14ac:dyDescent="0.25">
      <c r="AF582" s="200"/>
      <c r="AG582" s="200"/>
      <c r="AH582" s="200"/>
      <c r="AI582" s="200"/>
      <c r="AJ582" s="200"/>
      <c r="AK582" s="200"/>
      <c r="AL582" s="200"/>
      <c r="AM582" s="200"/>
      <c r="AN582" s="200"/>
      <c r="AO582" s="200"/>
      <c r="AP582" s="200"/>
      <c r="AQ582" s="200"/>
      <c r="AR582" s="200"/>
      <c r="AS582" s="200"/>
      <c r="AT582" s="200"/>
      <c r="AU582" s="200"/>
      <c r="AV582" s="200"/>
      <c r="AW582" s="200"/>
      <c r="AX582" s="200"/>
      <c r="AY582" s="200"/>
      <c r="AZ582" s="200"/>
      <c r="BA582" s="200"/>
      <c r="BB582" s="200"/>
      <c r="BC582" s="200"/>
      <c r="BD582" s="200"/>
    </row>
    <row r="583" spans="32:56" ht="24" customHeight="1" x14ac:dyDescent="0.25">
      <c r="AF583" s="200"/>
      <c r="AG583" s="200"/>
      <c r="AH583" s="200"/>
      <c r="AI583" s="200"/>
      <c r="AJ583" s="200"/>
      <c r="AK583" s="200"/>
      <c r="AL583" s="200"/>
      <c r="AM583" s="200"/>
      <c r="AN583" s="200"/>
      <c r="AO583" s="200"/>
      <c r="AP583" s="200"/>
      <c r="AQ583" s="200"/>
      <c r="AR583" s="200"/>
      <c r="AS583" s="200"/>
      <c r="AT583" s="200"/>
      <c r="AU583" s="200"/>
      <c r="AV583" s="200"/>
      <c r="AW583" s="200"/>
      <c r="AX583" s="200"/>
      <c r="AY583" s="200"/>
      <c r="AZ583" s="200"/>
      <c r="BA583" s="200"/>
      <c r="BB583" s="200"/>
      <c r="BC583" s="200"/>
      <c r="BD583" s="200"/>
    </row>
    <row r="584" spans="32:56" ht="24" customHeight="1" x14ac:dyDescent="0.25">
      <c r="AF584" s="200"/>
      <c r="AG584" s="200"/>
      <c r="AH584" s="200"/>
      <c r="AI584" s="200"/>
      <c r="AJ584" s="200"/>
      <c r="AK584" s="200"/>
      <c r="AL584" s="200"/>
      <c r="AM584" s="200"/>
      <c r="AN584" s="200"/>
      <c r="AO584" s="200"/>
      <c r="AP584" s="200"/>
      <c r="AQ584" s="200"/>
      <c r="AR584" s="200"/>
      <c r="AS584" s="200"/>
      <c r="AT584" s="200"/>
      <c r="AU584" s="200"/>
      <c r="AV584" s="200"/>
      <c r="AW584" s="200"/>
      <c r="AX584" s="200"/>
      <c r="AY584" s="200"/>
      <c r="AZ584" s="200"/>
      <c r="BA584" s="200"/>
      <c r="BB584" s="200"/>
      <c r="BC584" s="200"/>
      <c r="BD584" s="200"/>
    </row>
    <row r="585" spans="32:56" ht="24" customHeight="1" x14ac:dyDescent="0.25">
      <c r="AF585" s="200"/>
      <c r="AG585" s="200"/>
      <c r="AH585" s="200"/>
      <c r="AI585" s="200"/>
      <c r="AJ585" s="200"/>
      <c r="AK585" s="200"/>
      <c r="AL585" s="200"/>
      <c r="AM585" s="200"/>
      <c r="AN585" s="200"/>
      <c r="AO585" s="200"/>
      <c r="AP585" s="200"/>
      <c r="AQ585" s="200"/>
      <c r="AR585" s="200"/>
      <c r="AS585" s="200"/>
      <c r="AT585" s="200"/>
      <c r="AU585" s="200"/>
      <c r="AV585" s="200"/>
      <c r="AW585" s="200"/>
      <c r="AX585" s="200"/>
      <c r="AY585" s="200"/>
      <c r="AZ585" s="200"/>
      <c r="BA585" s="200"/>
      <c r="BB585" s="200"/>
      <c r="BC585" s="200"/>
      <c r="BD585" s="200"/>
    </row>
    <row r="586" spans="32:56" ht="24" customHeight="1" x14ac:dyDescent="0.25">
      <c r="AF586" s="200"/>
      <c r="AG586" s="200"/>
      <c r="AH586" s="200"/>
      <c r="AI586" s="200"/>
      <c r="AJ586" s="200"/>
      <c r="AK586" s="200"/>
      <c r="AL586" s="200"/>
      <c r="AM586" s="200"/>
      <c r="AN586" s="200"/>
      <c r="AO586" s="200"/>
      <c r="AP586" s="200"/>
      <c r="AQ586" s="200"/>
      <c r="AR586" s="200"/>
      <c r="AS586" s="200"/>
      <c r="AT586" s="200"/>
      <c r="AU586" s="200"/>
      <c r="AV586" s="200"/>
      <c r="AW586" s="200"/>
      <c r="AX586" s="200"/>
      <c r="AY586" s="200"/>
      <c r="AZ586" s="200"/>
      <c r="BA586" s="200"/>
      <c r="BB586" s="200"/>
      <c r="BC586" s="200"/>
      <c r="BD586" s="200"/>
    </row>
    <row r="587" spans="32:56" ht="24" customHeight="1" x14ac:dyDescent="0.25">
      <c r="AF587" s="200"/>
      <c r="AG587" s="200"/>
      <c r="AH587" s="200"/>
      <c r="AI587" s="200"/>
      <c r="AJ587" s="200"/>
      <c r="AK587" s="200"/>
      <c r="AL587" s="200"/>
      <c r="AM587" s="200"/>
      <c r="AN587" s="200"/>
      <c r="AO587" s="200"/>
      <c r="AP587" s="200"/>
      <c r="AQ587" s="200"/>
      <c r="AR587" s="200"/>
      <c r="AS587" s="200"/>
      <c r="AT587" s="200"/>
      <c r="AU587" s="200"/>
      <c r="AV587" s="200"/>
      <c r="AW587" s="200"/>
      <c r="AX587" s="200"/>
      <c r="AY587" s="200"/>
      <c r="AZ587" s="200"/>
      <c r="BA587" s="200"/>
      <c r="BB587" s="200"/>
      <c r="BC587" s="200"/>
      <c r="BD587" s="200"/>
    </row>
    <row r="588" spans="32:56" ht="24" customHeight="1" x14ac:dyDescent="0.25">
      <c r="AF588" s="200"/>
      <c r="AG588" s="200"/>
      <c r="AH588" s="200"/>
      <c r="AI588" s="200"/>
      <c r="AJ588" s="200"/>
      <c r="AK588" s="200"/>
      <c r="AL588" s="200"/>
      <c r="AM588" s="200"/>
      <c r="AN588" s="200"/>
      <c r="AO588" s="200"/>
      <c r="AP588" s="200"/>
      <c r="AQ588" s="200"/>
      <c r="AR588" s="200"/>
      <c r="AS588" s="200"/>
      <c r="AT588" s="200"/>
      <c r="AU588" s="200"/>
      <c r="AV588" s="200"/>
      <c r="AW588" s="200"/>
      <c r="AX588" s="200"/>
      <c r="AY588" s="200"/>
      <c r="AZ588" s="200"/>
      <c r="BA588" s="200"/>
      <c r="BB588" s="200"/>
      <c r="BC588" s="200"/>
      <c r="BD588" s="200"/>
    </row>
    <row r="589" spans="32:56" ht="24" customHeight="1" x14ac:dyDescent="0.25">
      <c r="AF589" s="200"/>
      <c r="AG589" s="200"/>
      <c r="AH589" s="200"/>
      <c r="AI589" s="200"/>
      <c r="AJ589" s="200"/>
      <c r="AK589" s="200"/>
      <c r="AL589" s="200"/>
      <c r="AM589" s="200"/>
      <c r="AN589" s="200"/>
      <c r="AO589" s="200"/>
      <c r="AP589" s="200"/>
      <c r="AQ589" s="200"/>
      <c r="AR589" s="200"/>
      <c r="AS589" s="200"/>
      <c r="AT589" s="200"/>
      <c r="AU589" s="200"/>
      <c r="AV589" s="200"/>
      <c r="AW589" s="200"/>
      <c r="AX589" s="200"/>
      <c r="AY589" s="200"/>
      <c r="AZ589" s="200"/>
      <c r="BA589" s="200"/>
      <c r="BB589" s="200"/>
      <c r="BC589" s="200"/>
      <c r="BD589" s="200"/>
    </row>
    <row r="590" spans="32:56" ht="24" customHeight="1" x14ac:dyDescent="0.25">
      <c r="AF590" s="200"/>
      <c r="AG590" s="200"/>
      <c r="AH590" s="200"/>
      <c r="AI590" s="200"/>
      <c r="AJ590" s="200"/>
      <c r="AK590" s="200"/>
      <c r="AL590" s="200"/>
      <c r="AM590" s="200"/>
      <c r="AN590" s="200"/>
      <c r="AO590" s="200"/>
      <c r="AP590" s="200"/>
      <c r="AQ590" s="200"/>
      <c r="AR590" s="200"/>
      <c r="AS590" s="200"/>
      <c r="AT590" s="200"/>
      <c r="AU590" s="200"/>
      <c r="AV590" s="200"/>
      <c r="AW590" s="200"/>
      <c r="AX590" s="200"/>
      <c r="AY590" s="200"/>
      <c r="AZ590" s="200"/>
      <c r="BA590" s="200"/>
      <c r="BB590" s="200"/>
      <c r="BC590" s="200"/>
      <c r="BD590" s="200"/>
    </row>
    <row r="591" spans="32:56" ht="24" customHeight="1" x14ac:dyDescent="0.25">
      <c r="AF591" s="200"/>
      <c r="AG591" s="200"/>
      <c r="AH591" s="200"/>
      <c r="AI591" s="200"/>
      <c r="AJ591" s="200"/>
      <c r="AK591" s="200"/>
      <c r="AL591" s="200"/>
      <c r="AM591" s="200"/>
      <c r="AN591" s="200"/>
      <c r="AO591" s="200"/>
      <c r="AP591" s="200"/>
      <c r="AQ591" s="200"/>
      <c r="AR591" s="200"/>
      <c r="AS591" s="200"/>
      <c r="AT591" s="200"/>
      <c r="AU591" s="200"/>
      <c r="AV591" s="200"/>
      <c r="AW591" s="200"/>
      <c r="AX591" s="200"/>
      <c r="AY591" s="200"/>
      <c r="AZ591" s="200"/>
      <c r="BA591" s="200"/>
      <c r="BB591" s="200"/>
      <c r="BC591" s="200"/>
      <c r="BD591" s="200"/>
    </row>
    <row r="592" spans="32:56" ht="24" customHeight="1" x14ac:dyDescent="0.25">
      <c r="AF592" s="200"/>
      <c r="AG592" s="200"/>
      <c r="AH592" s="200"/>
      <c r="AI592" s="200"/>
      <c r="AJ592" s="200"/>
      <c r="AK592" s="200"/>
      <c r="AL592" s="200"/>
      <c r="AM592" s="200"/>
      <c r="AN592" s="200"/>
      <c r="AO592" s="200"/>
      <c r="AP592" s="200"/>
      <c r="AQ592" s="200"/>
      <c r="AR592" s="200"/>
      <c r="AS592" s="200"/>
      <c r="AT592" s="200"/>
      <c r="AU592" s="200"/>
      <c r="AV592" s="200"/>
      <c r="AW592" s="200"/>
      <c r="AX592" s="200"/>
      <c r="AY592" s="200"/>
      <c r="AZ592" s="200"/>
      <c r="BA592" s="200"/>
      <c r="BB592" s="200"/>
      <c r="BC592" s="200"/>
      <c r="BD592" s="200"/>
    </row>
    <row r="593" spans="32:56" ht="24" customHeight="1" x14ac:dyDescent="0.25">
      <c r="AF593" s="200"/>
      <c r="AG593" s="200"/>
      <c r="AH593" s="200"/>
      <c r="AI593" s="200"/>
      <c r="AJ593" s="200"/>
      <c r="AK593" s="200"/>
      <c r="AL593" s="200"/>
      <c r="AM593" s="200"/>
      <c r="AN593" s="200"/>
      <c r="AO593" s="200"/>
      <c r="AP593" s="200"/>
      <c r="AQ593" s="200"/>
      <c r="AR593" s="200"/>
      <c r="AS593" s="200"/>
      <c r="AT593" s="200"/>
      <c r="AU593" s="200"/>
      <c r="AV593" s="200"/>
      <c r="AW593" s="200"/>
      <c r="AX593" s="200"/>
      <c r="AY593" s="200"/>
      <c r="AZ593" s="200"/>
      <c r="BA593" s="200"/>
      <c r="BB593" s="200"/>
      <c r="BC593" s="200"/>
      <c r="BD593" s="200"/>
    </row>
    <row r="594" spans="32:56" ht="24" customHeight="1" x14ac:dyDescent="0.25">
      <c r="AF594" s="200"/>
      <c r="AG594" s="200"/>
      <c r="AH594" s="200"/>
      <c r="AI594" s="200"/>
      <c r="AJ594" s="200"/>
      <c r="AK594" s="200"/>
      <c r="AL594" s="200"/>
      <c r="AM594" s="200"/>
      <c r="AN594" s="200"/>
      <c r="AO594" s="200"/>
      <c r="AP594" s="200"/>
      <c r="AQ594" s="200"/>
      <c r="AR594" s="200"/>
      <c r="AS594" s="200"/>
      <c r="AT594" s="200"/>
      <c r="AU594" s="200"/>
      <c r="AV594" s="200"/>
      <c r="AW594" s="200"/>
      <c r="AX594" s="200"/>
      <c r="AY594" s="200"/>
      <c r="AZ594" s="200"/>
      <c r="BA594" s="200"/>
      <c r="BB594" s="200"/>
      <c r="BC594" s="200"/>
      <c r="BD594" s="200"/>
    </row>
    <row r="595" spans="32:56" ht="24" customHeight="1" x14ac:dyDescent="0.25">
      <c r="AF595" s="200"/>
      <c r="AG595" s="200"/>
      <c r="AH595" s="200"/>
      <c r="AI595" s="200"/>
      <c r="AJ595" s="200"/>
      <c r="AK595" s="200"/>
      <c r="AL595" s="200"/>
      <c r="AM595" s="200"/>
      <c r="AN595" s="200"/>
      <c r="AO595" s="200"/>
      <c r="AP595" s="200"/>
      <c r="AQ595" s="200"/>
      <c r="AR595" s="200"/>
      <c r="AS595" s="200"/>
      <c r="AT595" s="200"/>
      <c r="AU595" s="200"/>
      <c r="AV595" s="200"/>
      <c r="AW595" s="200"/>
      <c r="AX595" s="200"/>
      <c r="AY595" s="200"/>
      <c r="AZ595" s="200"/>
      <c r="BA595" s="200"/>
      <c r="BB595" s="200"/>
      <c r="BC595" s="200"/>
      <c r="BD595" s="200"/>
    </row>
    <row r="596" spans="32:56" ht="24" customHeight="1" x14ac:dyDescent="0.25">
      <c r="AF596" s="200"/>
      <c r="AG596" s="200"/>
      <c r="AH596" s="200"/>
      <c r="AI596" s="200"/>
      <c r="AJ596" s="200"/>
      <c r="AK596" s="200"/>
      <c r="AL596" s="200"/>
      <c r="AM596" s="200"/>
      <c r="AN596" s="200"/>
      <c r="AO596" s="200"/>
      <c r="AP596" s="200"/>
      <c r="AQ596" s="200"/>
      <c r="AR596" s="200"/>
      <c r="AS596" s="200"/>
      <c r="AT596" s="200"/>
      <c r="AU596" s="200"/>
      <c r="AV596" s="200"/>
      <c r="AW596" s="200"/>
      <c r="AX596" s="200"/>
      <c r="AY596" s="200"/>
      <c r="AZ596" s="200"/>
      <c r="BA596" s="200"/>
      <c r="BB596" s="200"/>
      <c r="BC596" s="200"/>
      <c r="BD596" s="200"/>
    </row>
    <row r="597" spans="32:56" ht="24" customHeight="1" x14ac:dyDescent="0.25">
      <c r="AF597" s="200"/>
      <c r="AG597" s="200"/>
      <c r="AH597" s="200"/>
      <c r="AI597" s="200"/>
      <c r="AJ597" s="200"/>
      <c r="AK597" s="200"/>
      <c r="AL597" s="200"/>
      <c r="AM597" s="200"/>
      <c r="AN597" s="200"/>
      <c r="AO597" s="200"/>
      <c r="AP597" s="200"/>
      <c r="AQ597" s="200"/>
      <c r="AR597" s="200"/>
      <c r="AS597" s="200"/>
      <c r="AT597" s="200"/>
      <c r="AU597" s="200"/>
      <c r="AV597" s="200"/>
      <c r="AW597" s="200"/>
      <c r="AX597" s="200"/>
      <c r="AY597" s="200"/>
      <c r="AZ597" s="200"/>
      <c r="BA597" s="200"/>
      <c r="BB597" s="200"/>
      <c r="BC597" s="200"/>
      <c r="BD597" s="200"/>
    </row>
    <row r="598" spans="32:56" ht="24" customHeight="1" x14ac:dyDescent="0.25">
      <c r="AF598" s="200"/>
      <c r="AG598" s="200"/>
      <c r="AH598" s="200"/>
      <c r="AI598" s="200"/>
      <c r="AJ598" s="200"/>
      <c r="AK598" s="200"/>
      <c r="AL598" s="200"/>
      <c r="AM598" s="200"/>
      <c r="AN598" s="200"/>
      <c r="AO598" s="200"/>
      <c r="AP598" s="200"/>
      <c r="AQ598" s="200"/>
      <c r="AR598" s="200"/>
      <c r="AS598" s="200"/>
      <c r="AT598" s="200"/>
      <c r="AU598" s="200"/>
      <c r="AV598" s="200"/>
      <c r="AW598" s="200"/>
      <c r="AX598" s="200"/>
      <c r="AY598" s="200"/>
      <c r="AZ598" s="200"/>
      <c r="BA598" s="200"/>
      <c r="BB598" s="200"/>
      <c r="BC598" s="200"/>
      <c r="BD598" s="200"/>
    </row>
    <row r="599" spans="32:56" ht="24" customHeight="1" x14ac:dyDescent="0.25">
      <c r="AF599" s="200"/>
      <c r="AG599" s="200"/>
      <c r="AH599" s="200"/>
      <c r="AI599" s="200"/>
      <c r="AJ599" s="200"/>
      <c r="AK599" s="200"/>
      <c r="AL599" s="200"/>
      <c r="AM599" s="200"/>
      <c r="AN599" s="200"/>
      <c r="AO599" s="200"/>
      <c r="AP599" s="200"/>
      <c r="AQ599" s="200"/>
      <c r="AR599" s="200"/>
      <c r="AS599" s="200"/>
      <c r="AT599" s="200"/>
      <c r="AU599" s="200"/>
      <c r="AV599" s="200"/>
      <c r="AW599" s="200"/>
      <c r="AX599" s="200"/>
      <c r="AY599" s="200"/>
      <c r="AZ599" s="200"/>
      <c r="BA599" s="200"/>
      <c r="BB599" s="200"/>
      <c r="BC599" s="200"/>
      <c r="BD599" s="200"/>
    </row>
    <row r="600" spans="32:56" ht="24" customHeight="1" x14ac:dyDescent="0.25">
      <c r="AF600" s="200"/>
      <c r="AG600" s="200"/>
      <c r="AH600" s="200"/>
      <c r="AI600" s="200"/>
      <c r="AJ600" s="200"/>
      <c r="AK600" s="200"/>
      <c r="AL600" s="200"/>
      <c r="AM600" s="200"/>
      <c r="AN600" s="200"/>
      <c r="AO600" s="200"/>
      <c r="AP600" s="200"/>
      <c r="AQ600" s="200"/>
      <c r="AR600" s="200"/>
      <c r="AS600" s="200"/>
      <c r="AT600" s="200"/>
      <c r="AU600" s="200"/>
      <c r="AV600" s="200"/>
      <c r="AW600" s="200"/>
      <c r="AX600" s="200"/>
      <c r="AY600" s="200"/>
      <c r="AZ600" s="200"/>
      <c r="BA600" s="200"/>
      <c r="BB600" s="200"/>
      <c r="BC600" s="200"/>
      <c r="BD600" s="200"/>
    </row>
    <row r="601" spans="32:56" ht="24" customHeight="1" x14ac:dyDescent="0.25">
      <c r="AF601" s="200"/>
      <c r="AG601" s="200"/>
      <c r="AH601" s="200"/>
      <c r="AI601" s="200"/>
      <c r="AJ601" s="200"/>
      <c r="AK601" s="200"/>
      <c r="AL601" s="200"/>
      <c r="AM601" s="200"/>
      <c r="AN601" s="200"/>
      <c r="AO601" s="200"/>
      <c r="AP601" s="200"/>
      <c r="AQ601" s="200"/>
      <c r="AR601" s="200"/>
      <c r="AS601" s="200"/>
      <c r="AT601" s="200"/>
      <c r="AU601" s="200"/>
      <c r="AV601" s="200"/>
      <c r="AW601" s="200"/>
      <c r="AX601" s="200"/>
      <c r="AY601" s="200"/>
      <c r="AZ601" s="200"/>
      <c r="BA601" s="200"/>
      <c r="BB601" s="200"/>
      <c r="BC601" s="200"/>
      <c r="BD601" s="200"/>
    </row>
    <row r="602" spans="32:56" ht="24" customHeight="1" x14ac:dyDescent="0.25">
      <c r="AF602" s="200"/>
      <c r="AG602" s="200"/>
      <c r="AH602" s="200"/>
      <c r="AI602" s="200"/>
      <c r="AJ602" s="200"/>
      <c r="AK602" s="200"/>
      <c r="AL602" s="200"/>
      <c r="AM602" s="200"/>
      <c r="AN602" s="200"/>
      <c r="AO602" s="200"/>
      <c r="AP602" s="200"/>
      <c r="AQ602" s="200"/>
      <c r="AR602" s="200"/>
      <c r="AS602" s="200"/>
      <c r="AT602" s="200"/>
      <c r="AU602" s="200"/>
      <c r="AV602" s="200"/>
      <c r="AW602" s="200"/>
      <c r="AX602" s="200"/>
      <c r="AY602" s="200"/>
      <c r="AZ602" s="200"/>
      <c r="BA602" s="200"/>
      <c r="BB602" s="200"/>
      <c r="BC602" s="200"/>
      <c r="BD602" s="200"/>
    </row>
    <row r="603" spans="32:56" ht="24" customHeight="1" x14ac:dyDescent="0.25">
      <c r="AF603" s="200"/>
      <c r="AG603" s="200"/>
      <c r="AH603" s="200"/>
      <c r="AI603" s="200"/>
      <c r="AJ603" s="200"/>
      <c r="AK603" s="200"/>
      <c r="AL603" s="200"/>
      <c r="AM603" s="200"/>
      <c r="AN603" s="200"/>
      <c r="AO603" s="200"/>
      <c r="AP603" s="200"/>
      <c r="AQ603" s="200"/>
      <c r="AR603" s="200"/>
      <c r="AS603" s="200"/>
      <c r="AT603" s="200"/>
      <c r="AU603" s="200"/>
      <c r="AV603" s="200"/>
      <c r="AW603" s="200"/>
      <c r="AX603" s="200"/>
      <c r="AY603" s="200"/>
      <c r="AZ603" s="200"/>
      <c r="BA603" s="200"/>
      <c r="BB603" s="200"/>
      <c r="BC603" s="200"/>
      <c r="BD603" s="200"/>
    </row>
    <row r="604" spans="32:56" ht="24" customHeight="1" x14ac:dyDescent="0.25">
      <c r="AF604" s="200"/>
      <c r="AG604" s="200"/>
      <c r="AH604" s="200"/>
      <c r="AI604" s="200"/>
      <c r="AJ604" s="200"/>
      <c r="AK604" s="200"/>
      <c r="AL604" s="200"/>
      <c r="AM604" s="200"/>
      <c r="AN604" s="200"/>
      <c r="AO604" s="200"/>
      <c r="AP604" s="200"/>
      <c r="AQ604" s="200"/>
      <c r="AR604" s="200"/>
      <c r="AS604" s="200"/>
      <c r="AT604" s="200"/>
      <c r="AU604" s="200"/>
      <c r="AV604" s="200"/>
      <c r="AW604" s="200"/>
      <c r="AX604" s="200"/>
      <c r="AY604" s="200"/>
      <c r="AZ604" s="200"/>
      <c r="BA604" s="200"/>
      <c r="BB604" s="200"/>
      <c r="BC604" s="200"/>
      <c r="BD604" s="200"/>
    </row>
    <row r="605" spans="32:56" ht="24" customHeight="1" x14ac:dyDescent="0.25">
      <c r="AF605" s="200"/>
      <c r="AG605" s="200"/>
      <c r="AH605" s="200"/>
      <c r="AI605" s="200"/>
      <c r="AJ605" s="200"/>
      <c r="AK605" s="200"/>
      <c r="AL605" s="200"/>
      <c r="AM605" s="200"/>
      <c r="AN605" s="200"/>
      <c r="AO605" s="200"/>
      <c r="AP605" s="200"/>
      <c r="AQ605" s="200"/>
      <c r="AR605" s="200"/>
      <c r="AS605" s="200"/>
      <c r="AT605" s="200"/>
      <c r="AU605" s="200"/>
      <c r="AV605" s="200"/>
      <c r="AW605" s="200"/>
      <c r="AX605" s="200"/>
      <c r="AY605" s="200"/>
      <c r="AZ605" s="200"/>
      <c r="BA605" s="200"/>
      <c r="BB605" s="200"/>
      <c r="BC605" s="200"/>
      <c r="BD605" s="200"/>
    </row>
    <row r="606" spans="32:56" ht="24" customHeight="1" x14ac:dyDescent="0.25">
      <c r="AF606" s="200"/>
      <c r="AG606" s="200"/>
      <c r="AH606" s="200"/>
      <c r="AI606" s="200"/>
      <c r="AJ606" s="200"/>
      <c r="AK606" s="200"/>
      <c r="AL606" s="200"/>
      <c r="AM606" s="200"/>
      <c r="AN606" s="200"/>
      <c r="AO606" s="200"/>
      <c r="AP606" s="200"/>
      <c r="AQ606" s="200"/>
      <c r="AR606" s="200"/>
      <c r="AS606" s="200"/>
      <c r="AT606" s="200"/>
      <c r="AU606" s="200"/>
      <c r="AV606" s="200"/>
      <c r="AW606" s="200"/>
      <c r="AX606" s="200"/>
      <c r="AY606" s="200"/>
      <c r="AZ606" s="200"/>
      <c r="BA606" s="200"/>
      <c r="BB606" s="200"/>
      <c r="BC606" s="200"/>
      <c r="BD606" s="200"/>
    </row>
    <row r="607" spans="32:56" ht="24" customHeight="1" x14ac:dyDescent="0.25">
      <c r="AF607" s="200"/>
      <c r="AG607" s="200"/>
      <c r="AH607" s="200"/>
      <c r="AI607" s="200"/>
      <c r="AJ607" s="200"/>
      <c r="AK607" s="200"/>
      <c r="AL607" s="200"/>
      <c r="AM607" s="200"/>
      <c r="AN607" s="200"/>
      <c r="AO607" s="200"/>
      <c r="AP607" s="200"/>
      <c r="AQ607" s="200"/>
      <c r="AR607" s="200"/>
      <c r="AS607" s="200"/>
      <c r="AT607" s="200"/>
      <c r="AU607" s="200"/>
      <c r="AV607" s="200"/>
      <c r="AW607" s="200"/>
      <c r="AX607" s="200"/>
      <c r="AY607" s="200"/>
      <c r="AZ607" s="200"/>
      <c r="BA607" s="200"/>
      <c r="BB607" s="200"/>
      <c r="BC607" s="200"/>
      <c r="BD607" s="200"/>
    </row>
    <row r="608" spans="32:56" ht="24" customHeight="1" x14ac:dyDescent="0.25">
      <c r="AF608" s="200"/>
      <c r="AG608" s="200"/>
      <c r="AH608" s="200"/>
      <c r="AI608" s="200"/>
      <c r="AJ608" s="200"/>
      <c r="AK608" s="200"/>
      <c r="AL608" s="200"/>
      <c r="AM608" s="200"/>
      <c r="AN608" s="200"/>
      <c r="AO608" s="200"/>
      <c r="AP608" s="200"/>
      <c r="AQ608" s="200"/>
      <c r="AR608" s="200"/>
      <c r="AS608" s="200"/>
      <c r="AT608" s="200"/>
      <c r="AU608" s="200"/>
      <c r="AV608" s="200"/>
      <c r="AW608" s="200"/>
      <c r="AX608" s="200"/>
      <c r="AY608" s="200"/>
      <c r="AZ608" s="200"/>
      <c r="BA608" s="200"/>
      <c r="BB608" s="200"/>
      <c r="BC608" s="200"/>
      <c r="BD608" s="200"/>
    </row>
    <row r="609" spans="32:56" ht="24" customHeight="1" x14ac:dyDescent="0.25">
      <c r="AF609" s="200"/>
      <c r="AG609" s="200"/>
      <c r="AH609" s="200"/>
      <c r="AI609" s="200"/>
      <c r="AJ609" s="200"/>
      <c r="AK609" s="200"/>
      <c r="AL609" s="200"/>
      <c r="AM609" s="200"/>
      <c r="AN609" s="200"/>
      <c r="AO609" s="200"/>
      <c r="AP609" s="200"/>
      <c r="AQ609" s="200"/>
      <c r="AR609" s="200"/>
      <c r="AS609" s="200"/>
      <c r="AT609" s="200"/>
      <c r="AU609" s="200"/>
      <c r="AV609" s="200"/>
      <c r="AW609" s="200"/>
      <c r="AX609" s="200"/>
      <c r="AY609" s="200"/>
      <c r="AZ609" s="200"/>
      <c r="BA609" s="200"/>
      <c r="BB609" s="200"/>
      <c r="BC609" s="200"/>
      <c r="BD609" s="200"/>
    </row>
    <row r="610" spans="32:56" ht="24" customHeight="1" x14ac:dyDescent="0.25">
      <c r="AF610" s="200"/>
      <c r="AG610" s="200"/>
      <c r="AH610" s="200"/>
      <c r="AI610" s="200"/>
      <c r="AJ610" s="200"/>
      <c r="AK610" s="200"/>
      <c r="AL610" s="200"/>
      <c r="AM610" s="200"/>
      <c r="AN610" s="200"/>
      <c r="AO610" s="200"/>
      <c r="AP610" s="200"/>
      <c r="AQ610" s="200"/>
      <c r="AR610" s="200"/>
      <c r="AS610" s="200"/>
      <c r="AT610" s="200"/>
      <c r="AU610" s="200"/>
      <c r="AV610" s="200"/>
      <c r="AW610" s="200"/>
      <c r="AX610" s="200"/>
      <c r="AY610" s="200"/>
      <c r="AZ610" s="200"/>
      <c r="BA610" s="200"/>
      <c r="BB610" s="200"/>
      <c r="BC610" s="200"/>
      <c r="BD610" s="200"/>
    </row>
    <row r="611" spans="32:56" ht="24" customHeight="1" x14ac:dyDescent="0.25">
      <c r="AF611" s="200"/>
      <c r="AG611" s="200"/>
      <c r="AH611" s="200"/>
      <c r="AI611" s="200"/>
      <c r="AJ611" s="200"/>
      <c r="AK611" s="200"/>
      <c r="AL611" s="200"/>
      <c r="AM611" s="200"/>
      <c r="AN611" s="200"/>
      <c r="AO611" s="200"/>
      <c r="AP611" s="200"/>
      <c r="AQ611" s="200"/>
      <c r="AR611" s="200"/>
      <c r="AS611" s="200"/>
      <c r="AT611" s="200"/>
      <c r="AU611" s="200"/>
      <c r="AV611" s="200"/>
      <c r="AW611" s="200"/>
      <c r="AX611" s="200"/>
      <c r="AY611" s="200"/>
      <c r="AZ611" s="200"/>
      <c r="BA611" s="200"/>
      <c r="BB611" s="200"/>
      <c r="BC611" s="200"/>
      <c r="BD611" s="200"/>
    </row>
    <row r="612" spans="32:56" ht="24" customHeight="1" x14ac:dyDescent="0.25">
      <c r="AF612" s="200"/>
      <c r="AG612" s="200"/>
      <c r="AH612" s="200"/>
      <c r="AI612" s="200"/>
      <c r="AJ612" s="200"/>
      <c r="AK612" s="200"/>
      <c r="AL612" s="200"/>
      <c r="AM612" s="200"/>
      <c r="AN612" s="200"/>
      <c r="AO612" s="200"/>
      <c r="AP612" s="200"/>
      <c r="AQ612" s="200"/>
      <c r="AR612" s="200"/>
      <c r="AS612" s="200"/>
      <c r="AT612" s="200"/>
      <c r="AU612" s="200"/>
      <c r="AV612" s="200"/>
      <c r="AW612" s="200"/>
      <c r="AX612" s="200"/>
      <c r="AY612" s="200"/>
      <c r="AZ612" s="200"/>
      <c r="BA612" s="200"/>
      <c r="BB612" s="200"/>
      <c r="BC612" s="200"/>
      <c r="BD612" s="200"/>
    </row>
    <row r="613" spans="32:56" ht="24" customHeight="1" x14ac:dyDescent="0.25">
      <c r="AF613" s="200"/>
      <c r="AG613" s="200"/>
      <c r="AH613" s="200"/>
      <c r="AI613" s="200"/>
      <c r="AJ613" s="200"/>
      <c r="AK613" s="200"/>
      <c r="AL613" s="200"/>
      <c r="AM613" s="200"/>
      <c r="AN613" s="200"/>
      <c r="AO613" s="200"/>
      <c r="AP613" s="200"/>
      <c r="AQ613" s="200"/>
      <c r="AR613" s="200"/>
      <c r="AS613" s="200"/>
      <c r="AT613" s="200"/>
      <c r="AU613" s="200"/>
      <c r="AV613" s="200"/>
      <c r="AW613" s="200"/>
      <c r="AX613" s="200"/>
      <c r="AY613" s="200"/>
      <c r="AZ613" s="200"/>
      <c r="BA613" s="200"/>
      <c r="BB613" s="200"/>
      <c r="BC613" s="200"/>
      <c r="BD613" s="200"/>
    </row>
    <row r="614" spans="32:56" ht="24" customHeight="1" x14ac:dyDescent="0.25">
      <c r="AF614" s="200"/>
      <c r="AG614" s="200"/>
      <c r="AH614" s="200"/>
      <c r="AI614" s="200"/>
      <c r="AJ614" s="200"/>
      <c r="AK614" s="200"/>
      <c r="AL614" s="200"/>
      <c r="AM614" s="200"/>
      <c r="AN614" s="200"/>
      <c r="AO614" s="200"/>
      <c r="AP614" s="200"/>
      <c r="AQ614" s="200"/>
      <c r="AR614" s="200"/>
      <c r="AS614" s="200"/>
      <c r="AT614" s="200"/>
      <c r="AU614" s="200"/>
      <c r="AV614" s="200"/>
      <c r="AW614" s="200"/>
      <c r="AX614" s="200"/>
      <c r="AY614" s="200"/>
      <c r="AZ614" s="200"/>
      <c r="BA614" s="200"/>
      <c r="BB614" s="200"/>
      <c r="BC614" s="200"/>
      <c r="BD614" s="200"/>
    </row>
    <row r="615" spans="32:56" ht="24" customHeight="1" x14ac:dyDescent="0.25">
      <c r="AF615" s="200"/>
      <c r="AG615" s="200"/>
      <c r="AH615" s="200"/>
      <c r="AI615" s="200"/>
      <c r="AJ615" s="200"/>
      <c r="AK615" s="200"/>
      <c r="AL615" s="200"/>
      <c r="AM615" s="200"/>
      <c r="AN615" s="200"/>
      <c r="AO615" s="200"/>
      <c r="AP615" s="200"/>
      <c r="AQ615" s="200"/>
      <c r="AR615" s="200"/>
      <c r="AS615" s="200"/>
      <c r="AT615" s="200"/>
      <c r="AU615" s="200"/>
      <c r="AV615" s="200"/>
      <c r="AW615" s="200"/>
      <c r="AX615" s="200"/>
      <c r="AY615" s="200"/>
      <c r="AZ615" s="200"/>
      <c r="BA615" s="200"/>
      <c r="BB615" s="200"/>
      <c r="BC615" s="200"/>
      <c r="BD615" s="200"/>
    </row>
    <row r="616" spans="32:56" ht="24" customHeight="1" x14ac:dyDescent="0.25">
      <c r="AF616" s="200"/>
      <c r="AG616" s="200"/>
      <c r="AH616" s="200"/>
      <c r="AI616" s="200"/>
      <c r="AJ616" s="200"/>
      <c r="AK616" s="200"/>
      <c r="AL616" s="200"/>
      <c r="AM616" s="200"/>
      <c r="AN616" s="200"/>
      <c r="AO616" s="200"/>
      <c r="AP616" s="200"/>
      <c r="AQ616" s="200"/>
      <c r="AR616" s="200"/>
      <c r="AS616" s="200"/>
      <c r="AT616" s="200"/>
      <c r="AU616" s="200"/>
      <c r="AV616" s="200"/>
      <c r="AW616" s="200"/>
      <c r="AX616" s="200"/>
      <c r="AY616" s="200"/>
      <c r="AZ616" s="200"/>
      <c r="BA616" s="200"/>
      <c r="BB616" s="200"/>
      <c r="BC616" s="200"/>
      <c r="BD616" s="200"/>
    </row>
    <row r="617" spans="32:56" ht="24" customHeight="1" x14ac:dyDescent="0.25">
      <c r="AF617" s="200"/>
      <c r="AG617" s="200"/>
      <c r="AH617" s="200"/>
      <c r="AI617" s="200"/>
      <c r="AJ617" s="200"/>
      <c r="AK617" s="200"/>
      <c r="AL617" s="200"/>
      <c r="AM617" s="200"/>
      <c r="AN617" s="200"/>
      <c r="AO617" s="200"/>
      <c r="AP617" s="200"/>
      <c r="AQ617" s="200"/>
      <c r="AR617" s="200"/>
      <c r="AS617" s="200"/>
      <c r="AT617" s="200"/>
      <c r="AU617" s="200"/>
      <c r="AV617" s="200"/>
      <c r="AW617" s="200"/>
      <c r="AX617" s="200"/>
      <c r="AY617" s="200"/>
      <c r="AZ617" s="200"/>
      <c r="BA617" s="200"/>
      <c r="BB617" s="200"/>
      <c r="BC617" s="200"/>
      <c r="BD617" s="200"/>
    </row>
    <row r="618" spans="32:56" ht="24" customHeight="1" x14ac:dyDescent="0.25">
      <c r="AF618" s="200"/>
      <c r="AG618" s="200"/>
      <c r="AH618" s="200"/>
      <c r="AI618" s="200"/>
      <c r="AJ618" s="200"/>
      <c r="AK618" s="200"/>
      <c r="AL618" s="200"/>
      <c r="AM618" s="200"/>
      <c r="AN618" s="200"/>
      <c r="AO618" s="200"/>
      <c r="AP618" s="200"/>
      <c r="AQ618" s="200"/>
      <c r="AR618" s="200"/>
      <c r="AS618" s="200"/>
      <c r="AT618" s="200"/>
      <c r="AU618" s="200"/>
      <c r="AV618" s="200"/>
      <c r="AW618" s="200"/>
      <c r="AX618" s="200"/>
      <c r="AY618" s="200"/>
      <c r="AZ618" s="200"/>
      <c r="BA618" s="200"/>
      <c r="BB618" s="200"/>
      <c r="BC618" s="200"/>
      <c r="BD618" s="200"/>
    </row>
    <row r="619" spans="32:56" ht="24" customHeight="1" x14ac:dyDescent="0.25">
      <c r="AF619" s="200"/>
      <c r="AG619" s="200"/>
      <c r="AH619" s="200"/>
      <c r="AI619" s="200"/>
      <c r="AJ619" s="200"/>
      <c r="AK619" s="200"/>
      <c r="AL619" s="200"/>
      <c r="AM619" s="200"/>
      <c r="AN619" s="200"/>
      <c r="AO619" s="200"/>
      <c r="AP619" s="200"/>
      <c r="AQ619" s="200"/>
      <c r="AR619" s="200"/>
      <c r="AS619" s="200"/>
      <c r="AT619" s="200"/>
      <c r="AU619" s="200"/>
      <c r="AV619" s="200"/>
      <c r="AW619" s="200"/>
      <c r="AX619" s="200"/>
      <c r="AY619" s="200"/>
      <c r="AZ619" s="200"/>
      <c r="BA619" s="200"/>
      <c r="BB619" s="200"/>
      <c r="BC619" s="200"/>
      <c r="BD619" s="200"/>
    </row>
    <row r="620" spans="32:56" ht="24" customHeight="1" x14ac:dyDescent="0.25">
      <c r="AF620" s="200"/>
      <c r="AG620" s="200"/>
      <c r="AH620" s="200"/>
      <c r="AI620" s="200"/>
      <c r="AJ620" s="200"/>
      <c r="AK620" s="200"/>
      <c r="AL620" s="200"/>
      <c r="AM620" s="200"/>
      <c r="AN620" s="200"/>
      <c r="AO620" s="200"/>
      <c r="AP620" s="200"/>
      <c r="AQ620" s="200"/>
      <c r="AR620" s="200"/>
      <c r="AS620" s="200"/>
      <c r="AT620" s="200"/>
      <c r="AU620" s="200"/>
      <c r="AV620" s="200"/>
      <c r="AW620" s="200"/>
      <c r="AX620" s="200"/>
      <c r="AY620" s="200"/>
      <c r="AZ620" s="200"/>
      <c r="BA620" s="200"/>
      <c r="BB620" s="200"/>
      <c r="BC620" s="200"/>
      <c r="BD620" s="200"/>
    </row>
    <row r="621" spans="32:56" ht="24" customHeight="1" x14ac:dyDescent="0.25">
      <c r="AF621" s="200"/>
      <c r="AG621" s="200"/>
      <c r="AH621" s="200"/>
      <c r="AI621" s="200"/>
      <c r="AJ621" s="200"/>
      <c r="AK621" s="200"/>
      <c r="AL621" s="200"/>
      <c r="AM621" s="200"/>
      <c r="AN621" s="200"/>
      <c r="AO621" s="200"/>
      <c r="AP621" s="200"/>
      <c r="AQ621" s="200"/>
      <c r="AR621" s="200"/>
      <c r="AS621" s="200"/>
      <c r="AT621" s="200"/>
      <c r="AU621" s="200"/>
      <c r="AV621" s="200"/>
      <c r="AW621" s="200"/>
      <c r="AX621" s="200"/>
      <c r="AY621" s="200"/>
      <c r="AZ621" s="200"/>
      <c r="BA621" s="200"/>
      <c r="BB621" s="200"/>
      <c r="BC621" s="200"/>
      <c r="BD621" s="200"/>
    </row>
    <row r="622" spans="32:56" ht="24" customHeight="1" x14ac:dyDescent="0.25">
      <c r="AF622" s="200"/>
      <c r="AG622" s="200"/>
      <c r="AH622" s="200"/>
      <c r="AI622" s="200"/>
      <c r="AJ622" s="200"/>
      <c r="AK622" s="200"/>
      <c r="AL622" s="200"/>
      <c r="AM622" s="200"/>
      <c r="AN622" s="200"/>
      <c r="AO622" s="200"/>
      <c r="AP622" s="200"/>
      <c r="AQ622" s="200"/>
      <c r="AR622" s="200"/>
      <c r="AS622" s="200"/>
      <c r="AT622" s="200"/>
      <c r="AU622" s="200"/>
      <c r="AV622" s="200"/>
      <c r="AW622" s="200"/>
      <c r="AX622" s="200"/>
      <c r="AY622" s="200"/>
      <c r="AZ622" s="200"/>
      <c r="BA622" s="200"/>
      <c r="BB622" s="200"/>
      <c r="BC622" s="200"/>
      <c r="BD622" s="200"/>
    </row>
    <row r="623" spans="32:56" ht="24" customHeight="1" x14ac:dyDescent="0.25">
      <c r="AF623" s="200"/>
      <c r="AG623" s="200"/>
      <c r="AH623" s="200"/>
      <c r="AI623" s="200"/>
      <c r="AJ623" s="200"/>
      <c r="AK623" s="200"/>
      <c r="AL623" s="200"/>
      <c r="AM623" s="200"/>
      <c r="AN623" s="200"/>
      <c r="AO623" s="200"/>
      <c r="AP623" s="200"/>
      <c r="AQ623" s="200"/>
      <c r="AR623" s="200"/>
      <c r="AS623" s="200"/>
      <c r="AT623" s="200"/>
      <c r="AU623" s="200"/>
      <c r="AV623" s="200"/>
      <c r="AW623" s="200"/>
      <c r="AX623" s="200"/>
      <c r="AY623" s="200"/>
      <c r="AZ623" s="200"/>
      <c r="BA623" s="200"/>
      <c r="BB623" s="200"/>
      <c r="BC623" s="200"/>
      <c r="BD623" s="200"/>
    </row>
    <row r="624" spans="32:56" ht="24" customHeight="1" x14ac:dyDescent="0.25">
      <c r="AF624" s="200"/>
      <c r="AG624" s="200"/>
      <c r="AH624" s="200"/>
      <c r="AI624" s="200"/>
      <c r="AJ624" s="200"/>
      <c r="AK624" s="200"/>
      <c r="AL624" s="200"/>
      <c r="AM624" s="200"/>
      <c r="AN624" s="200"/>
      <c r="AO624" s="200"/>
      <c r="AP624" s="200"/>
      <c r="AQ624" s="200"/>
      <c r="AR624" s="200"/>
      <c r="AS624" s="200"/>
      <c r="AT624" s="200"/>
      <c r="AU624" s="200"/>
      <c r="AV624" s="200"/>
      <c r="AW624" s="200"/>
      <c r="AX624" s="200"/>
      <c r="AY624" s="200"/>
      <c r="AZ624" s="200"/>
      <c r="BA624" s="200"/>
      <c r="BB624" s="200"/>
      <c r="BC624" s="200"/>
      <c r="BD624" s="200"/>
    </row>
    <row r="625" spans="32:56" ht="24" customHeight="1" x14ac:dyDescent="0.25">
      <c r="AF625" s="200"/>
      <c r="AG625" s="200"/>
      <c r="AH625" s="200"/>
      <c r="AI625" s="200"/>
      <c r="AJ625" s="200"/>
      <c r="AK625" s="200"/>
      <c r="AL625" s="200"/>
      <c r="AM625" s="200"/>
      <c r="AN625" s="200"/>
      <c r="AO625" s="200"/>
      <c r="AP625" s="200"/>
      <c r="AQ625" s="200"/>
      <c r="AR625" s="200"/>
      <c r="AS625" s="200"/>
      <c r="AT625" s="200"/>
      <c r="AU625" s="200"/>
      <c r="AV625" s="200"/>
      <c r="AW625" s="200"/>
      <c r="AX625" s="200"/>
      <c r="AY625" s="200"/>
      <c r="AZ625" s="200"/>
      <c r="BA625" s="200"/>
      <c r="BB625" s="200"/>
      <c r="BC625" s="200"/>
      <c r="BD625" s="200"/>
    </row>
    <row r="626" spans="32:56" ht="24" customHeight="1" x14ac:dyDescent="0.25">
      <c r="AF626" s="200"/>
      <c r="AG626" s="200"/>
      <c r="AH626" s="200"/>
      <c r="AI626" s="200"/>
      <c r="AJ626" s="200"/>
      <c r="AK626" s="200"/>
      <c r="AL626" s="200"/>
      <c r="AM626" s="200"/>
      <c r="AN626" s="200"/>
      <c r="AO626" s="200"/>
      <c r="AP626" s="200"/>
      <c r="AQ626" s="200"/>
      <c r="AR626" s="200"/>
      <c r="AS626" s="200"/>
      <c r="AT626" s="200"/>
      <c r="AU626" s="200"/>
      <c r="AV626" s="200"/>
      <c r="AW626" s="200"/>
      <c r="AX626" s="200"/>
      <c r="AY626" s="200"/>
      <c r="AZ626" s="200"/>
      <c r="BA626" s="200"/>
      <c r="BB626" s="200"/>
      <c r="BC626" s="200"/>
      <c r="BD626" s="200"/>
    </row>
    <row r="627" spans="32:56" ht="24" customHeight="1" x14ac:dyDescent="0.25">
      <c r="AF627" s="200"/>
      <c r="AG627" s="200"/>
      <c r="AH627" s="200"/>
      <c r="AI627" s="200"/>
      <c r="AJ627" s="200"/>
      <c r="AK627" s="200"/>
      <c r="AL627" s="200"/>
      <c r="AM627" s="200"/>
      <c r="AN627" s="200"/>
      <c r="AO627" s="200"/>
      <c r="AP627" s="200"/>
      <c r="AQ627" s="200"/>
      <c r="AR627" s="200"/>
      <c r="AS627" s="200"/>
      <c r="AT627" s="200"/>
      <c r="AU627" s="200"/>
      <c r="AV627" s="200"/>
      <c r="AW627" s="200"/>
      <c r="AX627" s="200"/>
      <c r="AY627" s="200"/>
      <c r="AZ627" s="200"/>
      <c r="BA627" s="200"/>
      <c r="BB627" s="200"/>
      <c r="BC627" s="200"/>
      <c r="BD627" s="200"/>
    </row>
    <row r="628" spans="32:56" ht="24" customHeight="1" x14ac:dyDescent="0.25">
      <c r="AF628" s="200"/>
      <c r="AG628" s="200"/>
      <c r="AH628" s="200"/>
      <c r="AI628" s="200"/>
      <c r="AJ628" s="200"/>
      <c r="AK628" s="200"/>
      <c r="AL628" s="200"/>
      <c r="AM628" s="200"/>
      <c r="AN628" s="200"/>
      <c r="AO628" s="200"/>
      <c r="AP628" s="200"/>
      <c r="AQ628" s="200"/>
      <c r="AR628" s="200"/>
      <c r="AS628" s="200"/>
      <c r="AT628" s="200"/>
      <c r="AU628" s="200"/>
      <c r="AV628" s="200"/>
      <c r="AW628" s="200"/>
      <c r="AX628" s="200"/>
      <c r="AY628" s="200"/>
      <c r="AZ628" s="200"/>
      <c r="BA628" s="200"/>
      <c r="BB628" s="200"/>
      <c r="BC628" s="200"/>
      <c r="BD628" s="200"/>
    </row>
    <row r="629" spans="32:56" ht="24" customHeight="1" x14ac:dyDescent="0.25">
      <c r="AF629" s="200"/>
      <c r="AG629" s="200"/>
      <c r="AH629" s="200"/>
      <c r="AI629" s="200"/>
      <c r="AJ629" s="200"/>
      <c r="AK629" s="200"/>
      <c r="AL629" s="200"/>
      <c r="AM629" s="200"/>
      <c r="AN629" s="200"/>
      <c r="AO629" s="200"/>
      <c r="AP629" s="200"/>
      <c r="AQ629" s="200"/>
      <c r="AR629" s="200"/>
      <c r="AS629" s="200"/>
      <c r="AT629" s="200"/>
      <c r="AU629" s="200"/>
      <c r="AV629" s="200"/>
      <c r="AW629" s="200"/>
      <c r="AX629" s="200"/>
      <c r="AY629" s="200"/>
      <c r="AZ629" s="200"/>
      <c r="BA629" s="200"/>
      <c r="BB629" s="200"/>
      <c r="BC629" s="200"/>
      <c r="BD629" s="200"/>
    </row>
    <row r="630" spans="32:56" ht="24" customHeight="1" x14ac:dyDescent="0.25">
      <c r="AF630" s="200"/>
      <c r="AG630" s="200"/>
      <c r="AH630" s="200"/>
      <c r="AI630" s="200"/>
      <c r="AJ630" s="200"/>
      <c r="AK630" s="200"/>
      <c r="AL630" s="200"/>
      <c r="AM630" s="200"/>
      <c r="AN630" s="200"/>
      <c r="AO630" s="200"/>
      <c r="AP630" s="200"/>
      <c r="AQ630" s="200"/>
      <c r="AR630" s="200"/>
      <c r="AS630" s="200"/>
      <c r="AT630" s="200"/>
      <c r="AU630" s="200"/>
      <c r="AV630" s="200"/>
      <c r="AW630" s="200"/>
      <c r="AX630" s="200"/>
      <c r="AY630" s="200"/>
      <c r="AZ630" s="200"/>
      <c r="BA630" s="200"/>
      <c r="BB630" s="200"/>
      <c r="BC630" s="200"/>
      <c r="BD630" s="200"/>
    </row>
    <row r="631" spans="32:56" ht="24" customHeight="1" x14ac:dyDescent="0.25">
      <c r="AF631" s="200"/>
      <c r="AG631" s="200"/>
      <c r="AH631" s="200"/>
      <c r="AI631" s="200"/>
      <c r="AJ631" s="200"/>
      <c r="AK631" s="200"/>
      <c r="AL631" s="200"/>
      <c r="AM631" s="200"/>
      <c r="AN631" s="200"/>
      <c r="AO631" s="200"/>
      <c r="AP631" s="200"/>
      <c r="AQ631" s="200"/>
      <c r="AR631" s="200"/>
      <c r="AS631" s="200"/>
      <c r="AT631" s="200"/>
      <c r="AU631" s="200"/>
      <c r="AV631" s="200"/>
      <c r="AW631" s="200"/>
      <c r="AX631" s="200"/>
      <c r="AY631" s="200"/>
      <c r="AZ631" s="200"/>
      <c r="BA631" s="200"/>
      <c r="BB631" s="200"/>
      <c r="BC631" s="200"/>
      <c r="BD631" s="200"/>
    </row>
    <row r="632" spans="32:56" ht="24" customHeight="1" x14ac:dyDescent="0.25">
      <c r="AF632" s="200"/>
      <c r="AG632" s="200"/>
      <c r="AH632" s="200"/>
      <c r="AI632" s="200"/>
      <c r="AJ632" s="200"/>
      <c r="AK632" s="200"/>
      <c r="AL632" s="200"/>
      <c r="AM632" s="200"/>
      <c r="AN632" s="200"/>
      <c r="AO632" s="200"/>
      <c r="AP632" s="200"/>
      <c r="AQ632" s="200"/>
      <c r="AR632" s="200"/>
      <c r="AS632" s="200"/>
      <c r="AT632" s="200"/>
      <c r="AU632" s="200"/>
      <c r="AV632" s="200"/>
      <c r="AW632" s="200"/>
      <c r="AX632" s="200"/>
      <c r="AY632" s="200"/>
      <c r="AZ632" s="200"/>
      <c r="BA632" s="200"/>
      <c r="BB632" s="200"/>
      <c r="BC632" s="200"/>
      <c r="BD632" s="200"/>
    </row>
    <row r="633" spans="32:56" ht="24" customHeight="1" x14ac:dyDescent="0.25">
      <c r="AF633" s="200"/>
      <c r="AG633" s="200"/>
      <c r="AH633" s="200"/>
      <c r="AI633" s="200"/>
      <c r="AJ633" s="200"/>
      <c r="AK633" s="200"/>
      <c r="AL633" s="200"/>
      <c r="AM633" s="200"/>
      <c r="AN633" s="200"/>
      <c r="AO633" s="200"/>
      <c r="AP633" s="200"/>
      <c r="AQ633" s="200"/>
      <c r="AR633" s="200"/>
      <c r="AS633" s="200"/>
      <c r="AT633" s="200"/>
      <c r="AU633" s="200"/>
      <c r="AV633" s="200"/>
      <c r="AW633" s="200"/>
      <c r="AX633" s="200"/>
      <c r="AY633" s="200"/>
      <c r="AZ633" s="200"/>
      <c r="BA633" s="200"/>
      <c r="BB633" s="200"/>
      <c r="BC633" s="200"/>
      <c r="BD633" s="200"/>
    </row>
    <row r="634" spans="32:56" ht="24" customHeight="1" x14ac:dyDescent="0.25">
      <c r="AF634" s="200"/>
      <c r="AG634" s="200"/>
      <c r="AH634" s="200"/>
      <c r="AI634" s="200"/>
      <c r="AJ634" s="200"/>
      <c r="AK634" s="200"/>
      <c r="AL634" s="200"/>
      <c r="AM634" s="200"/>
      <c r="AN634" s="200"/>
      <c r="AO634" s="200"/>
      <c r="AP634" s="200"/>
      <c r="AQ634" s="200"/>
      <c r="AR634" s="200"/>
      <c r="AS634" s="200"/>
      <c r="AT634" s="200"/>
      <c r="AU634" s="200"/>
      <c r="AV634" s="200"/>
      <c r="AW634" s="200"/>
      <c r="AX634" s="200"/>
      <c r="AY634" s="200"/>
      <c r="AZ634" s="200"/>
      <c r="BA634" s="200"/>
      <c r="BB634" s="200"/>
      <c r="BC634" s="200"/>
      <c r="BD634" s="200"/>
    </row>
    <row r="635" spans="32:56" ht="24" customHeight="1" x14ac:dyDescent="0.25">
      <c r="AF635" s="200"/>
      <c r="AG635" s="200"/>
      <c r="AH635" s="200"/>
      <c r="AI635" s="200"/>
      <c r="AJ635" s="200"/>
      <c r="AK635" s="200"/>
      <c r="AL635" s="200"/>
      <c r="AM635" s="200"/>
      <c r="AN635" s="200"/>
      <c r="AO635" s="200"/>
      <c r="AP635" s="200"/>
      <c r="AQ635" s="200"/>
      <c r="AR635" s="200"/>
      <c r="AS635" s="200"/>
      <c r="AT635" s="200"/>
      <c r="AU635" s="200"/>
      <c r="AV635" s="200"/>
      <c r="AW635" s="200"/>
      <c r="AX635" s="200"/>
      <c r="AY635" s="200"/>
      <c r="AZ635" s="200"/>
      <c r="BA635" s="200"/>
      <c r="BB635" s="200"/>
      <c r="BC635" s="200"/>
      <c r="BD635" s="200"/>
    </row>
    <row r="636" spans="32:56" ht="24" customHeight="1" x14ac:dyDescent="0.25">
      <c r="AF636" s="200"/>
      <c r="AG636" s="200"/>
      <c r="AH636" s="200"/>
      <c r="AI636" s="200"/>
      <c r="AJ636" s="200"/>
      <c r="AK636" s="200"/>
      <c r="AL636" s="200"/>
      <c r="AM636" s="200"/>
      <c r="AN636" s="200"/>
      <c r="AO636" s="200"/>
      <c r="AP636" s="200"/>
      <c r="AQ636" s="200"/>
      <c r="AR636" s="200"/>
      <c r="AS636" s="200"/>
      <c r="AT636" s="200"/>
      <c r="AU636" s="200"/>
      <c r="AV636" s="200"/>
      <c r="AW636" s="200"/>
      <c r="AX636" s="200"/>
      <c r="AY636" s="200"/>
      <c r="AZ636" s="200"/>
      <c r="BA636" s="200"/>
      <c r="BB636" s="200"/>
      <c r="BC636" s="200"/>
      <c r="BD636" s="200"/>
    </row>
    <row r="637" spans="32:56" ht="24" customHeight="1" x14ac:dyDescent="0.25">
      <c r="AF637" s="200"/>
      <c r="AG637" s="200"/>
      <c r="AH637" s="200"/>
      <c r="AI637" s="200"/>
      <c r="AJ637" s="200"/>
      <c r="AK637" s="200"/>
      <c r="AL637" s="200"/>
      <c r="AM637" s="200"/>
      <c r="AN637" s="200"/>
      <c r="AO637" s="200"/>
      <c r="AP637" s="200"/>
      <c r="AQ637" s="200"/>
      <c r="AR637" s="200"/>
      <c r="AS637" s="200"/>
      <c r="AT637" s="200"/>
      <c r="AU637" s="200"/>
      <c r="AV637" s="200"/>
      <c r="AW637" s="200"/>
      <c r="AX637" s="200"/>
      <c r="AY637" s="200"/>
      <c r="AZ637" s="200"/>
      <c r="BA637" s="200"/>
      <c r="BB637" s="200"/>
      <c r="BC637" s="200"/>
      <c r="BD637" s="200"/>
    </row>
    <row r="638" spans="32:56" ht="24" customHeight="1" x14ac:dyDescent="0.25">
      <c r="AF638" s="200"/>
      <c r="AG638" s="200"/>
      <c r="AH638" s="200"/>
      <c r="AI638" s="200"/>
      <c r="AJ638" s="200"/>
      <c r="AK638" s="200"/>
      <c r="AL638" s="200"/>
      <c r="AM638" s="200"/>
      <c r="AN638" s="200"/>
      <c r="AO638" s="200"/>
      <c r="AP638" s="200"/>
      <c r="AQ638" s="200"/>
      <c r="AR638" s="200"/>
      <c r="AS638" s="200"/>
      <c r="AT638" s="200"/>
      <c r="AU638" s="200"/>
      <c r="AV638" s="200"/>
      <c r="AW638" s="200"/>
      <c r="AX638" s="200"/>
      <c r="AY638" s="200"/>
      <c r="AZ638" s="200"/>
      <c r="BA638" s="200"/>
      <c r="BB638" s="200"/>
      <c r="BC638" s="200"/>
      <c r="BD638" s="200"/>
    </row>
    <row r="639" spans="32:56" ht="24" customHeight="1" x14ac:dyDescent="0.25">
      <c r="AF639" s="200"/>
      <c r="AG639" s="200"/>
      <c r="AH639" s="200"/>
      <c r="AI639" s="200"/>
      <c r="AJ639" s="200"/>
      <c r="AK639" s="200"/>
      <c r="AL639" s="200"/>
      <c r="AM639" s="200"/>
      <c r="AN639" s="200"/>
      <c r="AO639" s="200"/>
      <c r="AP639" s="200"/>
      <c r="AQ639" s="200"/>
      <c r="AR639" s="200"/>
      <c r="AS639" s="200"/>
      <c r="AT639" s="200"/>
      <c r="AU639" s="200"/>
      <c r="AV639" s="200"/>
      <c r="AW639" s="200"/>
      <c r="AX639" s="200"/>
      <c r="AY639" s="200"/>
      <c r="AZ639" s="200"/>
      <c r="BA639" s="200"/>
      <c r="BB639" s="200"/>
      <c r="BC639" s="200"/>
      <c r="BD639" s="200"/>
    </row>
    <row r="640" spans="32:56" ht="24" customHeight="1" x14ac:dyDescent="0.25">
      <c r="AF640" s="200"/>
      <c r="AG640" s="200"/>
      <c r="AH640" s="200"/>
      <c r="AI640" s="200"/>
      <c r="AJ640" s="200"/>
      <c r="AK640" s="200"/>
      <c r="AL640" s="200"/>
      <c r="AM640" s="200"/>
      <c r="AN640" s="200"/>
      <c r="AO640" s="200"/>
      <c r="AP640" s="200"/>
      <c r="AQ640" s="200"/>
      <c r="AR640" s="200"/>
      <c r="AS640" s="200"/>
      <c r="AT640" s="200"/>
      <c r="AU640" s="200"/>
      <c r="AV640" s="200"/>
      <c r="AW640" s="200"/>
      <c r="AX640" s="200"/>
      <c r="AY640" s="200"/>
      <c r="AZ640" s="200"/>
      <c r="BA640" s="200"/>
      <c r="BB640" s="200"/>
      <c r="BC640" s="200"/>
      <c r="BD640" s="200"/>
    </row>
    <row r="641" spans="32:56" ht="24" customHeight="1" x14ac:dyDescent="0.25">
      <c r="AF641" s="200"/>
      <c r="AG641" s="200"/>
      <c r="AH641" s="200"/>
      <c r="AI641" s="200"/>
      <c r="AJ641" s="200"/>
      <c r="AK641" s="200"/>
      <c r="AL641" s="200"/>
      <c r="AM641" s="200"/>
      <c r="AN641" s="200"/>
      <c r="AO641" s="200"/>
      <c r="AP641" s="200"/>
      <c r="AQ641" s="200"/>
      <c r="AR641" s="200"/>
      <c r="AS641" s="200"/>
      <c r="AT641" s="200"/>
      <c r="AU641" s="200"/>
      <c r="AV641" s="200"/>
      <c r="AW641" s="200"/>
      <c r="AX641" s="200"/>
      <c r="AY641" s="200"/>
      <c r="AZ641" s="200"/>
      <c r="BA641" s="200"/>
      <c r="BB641" s="200"/>
      <c r="BC641" s="200"/>
      <c r="BD641" s="200"/>
    </row>
    <row r="642" spans="32:56" ht="24" customHeight="1" x14ac:dyDescent="0.25">
      <c r="AF642" s="200"/>
      <c r="AG642" s="200"/>
      <c r="AH642" s="200"/>
      <c r="AI642" s="200"/>
      <c r="AJ642" s="200"/>
      <c r="AK642" s="200"/>
      <c r="AL642" s="200"/>
      <c r="AM642" s="200"/>
      <c r="AN642" s="200"/>
      <c r="AO642" s="200"/>
      <c r="AP642" s="200"/>
      <c r="AQ642" s="200"/>
      <c r="AR642" s="200"/>
      <c r="AS642" s="200"/>
      <c r="AT642" s="200"/>
      <c r="AU642" s="200"/>
      <c r="AV642" s="200"/>
      <c r="AW642" s="200"/>
      <c r="AX642" s="200"/>
      <c r="AY642" s="200"/>
      <c r="AZ642" s="200"/>
      <c r="BA642" s="200"/>
      <c r="BB642" s="200"/>
      <c r="BC642" s="200"/>
      <c r="BD642" s="200"/>
    </row>
    <row r="643" spans="32:56" ht="24" customHeight="1" x14ac:dyDescent="0.25">
      <c r="AF643" s="200"/>
      <c r="AG643" s="200"/>
      <c r="AH643" s="200"/>
      <c r="AI643" s="200"/>
      <c r="AJ643" s="200"/>
      <c r="AK643" s="200"/>
      <c r="AL643" s="200"/>
      <c r="AM643" s="200"/>
      <c r="AN643" s="200"/>
      <c r="AO643" s="200"/>
      <c r="AP643" s="200"/>
      <c r="AQ643" s="200"/>
      <c r="AR643" s="200"/>
      <c r="AS643" s="200"/>
      <c r="AT643" s="200"/>
      <c r="AU643" s="200"/>
      <c r="AV643" s="200"/>
      <c r="AW643" s="200"/>
      <c r="AX643" s="200"/>
      <c r="AY643" s="200"/>
      <c r="AZ643" s="200"/>
      <c r="BA643" s="200"/>
      <c r="BB643" s="200"/>
      <c r="BC643" s="200"/>
      <c r="BD643" s="200"/>
    </row>
    <row r="644" spans="32:56" ht="24" customHeight="1" x14ac:dyDescent="0.25">
      <c r="AF644" s="200"/>
      <c r="AG644" s="200"/>
      <c r="AH644" s="200"/>
      <c r="AI644" s="200"/>
      <c r="AJ644" s="200"/>
      <c r="AK644" s="200"/>
      <c r="AL644" s="200"/>
      <c r="AM644" s="200"/>
      <c r="AN644" s="200"/>
      <c r="AO644" s="200"/>
      <c r="AP644" s="200"/>
      <c r="AQ644" s="200"/>
      <c r="AR644" s="200"/>
      <c r="AS644" s="200"/>
      <c r="AT644" s="200"/>
      <c r="AU644" s="200"/>
      <c r="AV644" s="200"/>
      <c r="AW644" s="200"/>
      <c r="AX644" s="200"/>
      <c r="AY644" s="200"/>
      <c r="AZ644" s="200"/>
      <c r="BA644" s="200"/>
      <c r="BB644" s="200"/>
      <c r="BC644" s="200"/>
      <c r="BD644" s="200"/>
    </row>
    <row r="645" spans="32:56" ht="24" customHeight="1" x14ac:dyDescent="0.25">
      <c r="AF645" s="200"/>
      <c r="AG645" s="200"/>
      <c r="AH645" s="200"/>
      <c r="AI645" s="200"/>
      <c r="AJ645" s="200"/>
      <c r="AK645" s="200"/>
      <c r="AL645" s="200"/>
      <c r="AM645" s="200"/>
      <c r="AN645" s="200"/>
      <c r="AO645" s="200"/>
      <c r="AP645" s="200"/>
      <c r="AQ645" s="200"/>
      <c r="AR645" s="200"/>
      <c r="AS645" s="200"/>
      <c r="AT645" s="200"/>
      <c r="AU645" s="200"/>
      <c r="AV645" s="200"/>
      <c r="AW645" s="200"/>
      <c r="AX645" s="200"/>
      <c r="AY645" s="200"/>
      <c r="AZ645" s="200"/>
      <c r="BA645" s="200"/>
      <c r="BB645" s="200"/>
      <c r="BC645" s="200"/>
      <c r="BD645" s="200"/>
    </row>
    <row r="646" spans="32:56" ht="24" customHeight="1" x14ac:dyDescent="0.25">
      <c r="AF646" s="200"/>
      <c r="AG646" s="200"/>
      <c r="AH646" s="200"/>
      <c r="AI646" s="200"/>
      <c r="AJ646" s="200"/>
      <c r="AK646" s="200"/>
      <c r="AL646" s="200"/>
      <c r="AM646" s="200"/>
      <c r="AN646" s="200"/>
      <c r="AO646" s="200"/>
      <c r="AP646" s="200"/>
      <c r="AQ646" s="200"/>
      <c r="AR646" s="200"/>
      <c r="AS646" s="200"/>
      <c r="AT646" s="200"/>
      <c r="AU646" s="200"/>
      <c r="AV646" s="200"/>
      <c r="AW646" s="200"/>
      <c r="AX646" s="200"/>
      <c r="AY646" s="200"/>
      <c r="AZ646" s="200"/>
      <c r="BA646" s="200"/>
      <c r="BB646" s="200"/>
      <c r="BC646" s="200"/>
      <c r="BD646" s="200"/>
    </row>
    <row r="647" spans="32:56" ht="24" customHeight="1" x14ac:dyDescent="0.25">
      <c r="AF647" s="200"/>
      <c r="AG647" s="200"/>
      <c r="AH647" s="200"/>
      <c r="AI647" s="200"/>
      <c r="AJ647" s="200"/>
      <c r="AK647" s="200"/>
      <c r="AL647" s="200"/>
      <c r="AM647" s="200"/>
      <c r="AN647" s="200"/>
      <c r="AO647" s="200"/>
      <c r="AP647" s="200"/>
      <c r="AQ647" s="200"/>
      <c r="AR647" s="200"/>
      <c r="AS647" s="200"/>
      <c r="AT647" s="200"/>
      <c r="AU647" s="200"/>
      <c r="AV647" s="200"/>
      <c r="AW647" s="200"/>
      <c r="AX647" s="200"/>
      <c r="AY647" s="200"/>
      <c r="AZ647" s="200"/>
      <c r="BA647" s="200"/>
      <c r="BB647" s="200"/>
      <c r="BC647" s="200"/>
      <c r="BD647" s="200"/>
    </row>
    <row r="648" spans="32:56" ht="24" customHeight="1" x14ac:dyDescent="0.25">
      <c r="AF648" s="200"/>
      <c r="AG648" s="200"/>
      <c r="AH648" s="200"/>
      <c r="AI648" s="200"/>
      <c r="AJ648" s="200"/>
      <c r="AK648" s="200"/>
      <c r="AL648" s="200"/>
      <c r="AM648" s="200"/>
      <c r="AN648" s="200"/>
      <c r="AO648" s="200"/>
      <c r="AP648" s="200"/>
      <c r="AQ648" s="200"/>
      <c r="AR648" s="200"/>
      <c r="AS648" s="200"/>
      <c r="AT648" s="200"/>
      <c r="AU648" s="200"/>
      <c r="AV648" s="200"/>
      <c r="AW648" s="200"/>
      <c r="AX648" s="200"/>
      <c r="AY648" s="200"/>
      <c r="AZ648" s="200"/>
      <c r="BA648" s="200"/>
      <c r="BB648" s="200"/>
      <c r="BC648" s="200"/>
      <c r="BD648" s="200"/>
    </row>
    <row r="649" spans="32:56" ht="24" customHeight="1" x14ac:dyDescent="0.25">
      <c r="AF649" s="200"/>
      <c r="AG649" s="200"/>
      <c r="AH649" s="200"/>
      <c r="AI649" s="200"/>
      <c r="AJ649" s="200"/>
      <c r="AK649" s="200"/>
      <c r="AL649" s="200"/>
      <c r="AM649" s="200"/>
      <c r="AN649" s="200"/>
      <c r="AO649" s="200"/>
      <c r="AP649" s="200"/>
      <c r="AQ649" s="200"/>
      <c r="AR649" s="200"/>
      <c r="AS649" s="200"/>
      <c r="AT649" s="200"/>
      <c r="AU649" s="200"/>
      <c r="AV649" s="200"/>
      <c r="AW649" s="200"/>
      <c r="AX649" s="200"/>
      <c r="AY649" s="200"/>
      <c r="AZ649" s="200"/>
      <c r="BA649" s="200"/>
      <c r="BB649" s="200"/>
      <c r="BC649" s="200"/>
      <c r="BD649" s="200"/>
    </row>
    <row r="650" spans="32:56" ht="24" customHeight="1" x14ac:dyDescent="0.25">
      <c r="AF650" s="200"/>
      <c r="AG650" s="200"/>
      <c r="AH650" s="200"/>
      <c r="AI650" s="200"/>
      <c r="AJ650" s="200"/>
      <c r="AK650" s="200"/>
      <c r="AL650" s="200"/>
      <c r="AM650" s="200"/>
      <c r="AN650" s="200"/>
      <c r="AO650" s="200"/>
      <c r="AP650" s="200"/>
      <c r="AQ650" s="200"/>
      <c r="AR650" s="200"/>
      <c r="AS650" s="200"/>
      <c r="AT650" s="200"/>
      <c r="AU650" s="200"/>
      <c r="AV650" s="200"/>
      <c r="AW650" s="200"/>
      <c r="AX650" s="200"/>
      <c r="AY650" s="200"/>
      <c r="AZ650" s="200"/>
      <c r="BA650" s="200"/>
      <c r="BB650" s="200"/>
      <c r="BC650" s="200"/>
      <c r="BD650" s="200"/>
    </row>
    <row r="651" spans="32:56" ht="24" customHeight="1" x14ac:dyDescent="0.25">
      <c r="AF651" s="200"/>
      <c r="AG651" s="200"/>
      <c r="AH651" s="200"/>
      <c r="AI651" s="200"/>
      <c r="AJ651" s="200"/>
      <c r="AK651" s="200"/>
      <c r="AL651" s="200"/>
      <c r="AM651" s="200"/>
      <c r="AN651" s="200"/>
      <c r="AO651" s="200"/>
      <c r="AP651" s="200"/>
      <c r="AQ651" s="200"/>
      <c r="AR651" s="200"/>
      <c r="AS651" s="200"/>
      <c r="AT651" s="200"/>
      <c r="AU651" s="200"/>
      <c r="AV651" s="200"/>
      <c r="AW651" s="200"/>
      <c r="AX651" s="200"/>
      <c r="AY651" s="200"/>
      <c r="AZ651" s="200"/>
      <c r="BA651" s="200"/>
      <c r="BB651" s="200"/>
      <c r="BC651" s="200"/>
      <c r="BD651" s="200"/>
    </row>
    <row r="652" spans="32:56" ht="24" customHeight="1" x14ac:dyDescent="0.25">
      <c r="AF652" s="200"/>
      <c r="AG652" s="200"/>
      <c r="AH652" s="200"/>
      <c r="AI652" s="200"/>
      <c r="AJ652" s="200"/>
      <c r="AK652" s="200"/>
      <c r="AL652" s="200"/>
      <c r="AM652" s="200"/>
      <c r="AN652" s="200"/>
      <c r="AO652" s="200"/>
      <c r="AP652" s="200"/>
      <c r="AQ652" s="200"/>
      <c r="AR652" s="200"/>
      <c r="AS652" s="200"/>
      <c r="AT652" s="200"/>
      <c r="AU652" s="200"/>
      <c r="AV652" s="200"/>
      <c r="AW652" s="200"/>
      <c r="AX652" s="200"/>
      <c r="AY652" s="200"/>
      <c r="AZ652" s="200"/>
      <c r="BA652" s="200"/>
      <c r="BB652" s="200"/>
      <c r="BC652" s="200"/>
      <c r="BD652" s="200"/>
    </row>
    <row r="653" spans="32:56" ht="24" customHeight="1" x14ac:dyDescent="0.25">
      <c r="AF653" s="200"/>
      <c r="AG653" s="200"/>
      <c r="AH653" s="200"/>
      <c r="AI653" s="200"/>
      <c r="AJ653" s="200"/>
      <c r="AK653" s="200"/>
      <c r="AL653" s="200"/>
      <c r="AM653" s="200"/>
      <c r="AN653" s="200"/>
      <c r="AO653" s="200"/>
      <c r="AP653" s="200"/>
      <c r="AQ653" s="200"/>
      <c r="AR653" s="200"/>
      <c r="AS653" s="200"/>
      <c r="AT653" s="200"/>
      <c r="AU653" s="200"/>
      <c r="AV653" s="200"/>
      <c r="AW653" s="200"/>
      <c r="AX653" s="200"/>
      <c r="AY653" s="200"/>
      <c r="AZ653" s="200"/>
      <c r="BA653" s="200"/>
      <c r="BB653" s="200"/>
      <c r="BC653" s="200"/>
      <c r="BD653" s="200"/>
    </row>
    <row r="654" spans="32:56" ht="24" customHeight="1" x14ac:dyDescent="0.25">
      <c r="AF654" s="200"/>
      <c r="AG654" s="200"/>
      <c r="AH654" s="200"/>
      <c r="AI654" s="200"/>
      <c r="AJ654" s="200"/>
      <c r="AK654" s="200"/>
      <c r="AL654" s="200"/>
      <c r="AM654" s="200"/>
      <c r="AN654" s="200"/>
      <c r="AO654" s="200"/>
      <c r="AP654" s="200"/>
      <c r="AQ654" s="200"/>
      <c r="AR654" s="200"/>
      <c r="AS654" s="200"/>
      <c r="AT654" s="200"/>
      <c r="AU654" s="200"/>
      <c r="AV654" s="200"/>
      <c r="AW654" s="200"/>
      <c r="AX654" s="200"/>
      <c r="AY654" s="200"/>
      <c r="AZ654" s="200"/>
      <c r="BA654" s="200"/>
      <c r="BB654" s="200"/>
      <c r="BC654" s="200"/>
      <c r="BD654" s="200"/>
    </row>
    <row r="655" spans="32:56" ht="24" customHeight="1" x14ac:dyDescent="0.25">
      <c r="AF655" s="200"/>
      <c r="AG655" s="200"/>
      <c r="AH655" s="200"/>
      <c r="AI655" s="200"/>
      <c r="AJ655" s="200"/>
      <c r="AK655" s="200"/>
      <c r="AL655" s="200"/>
      <c r="AM655" s="200"/>
      <c r="AN655" s="200"/>
      <c r="AO655" s="200"/>
      <c r="AP655" s="200"/>
      <c r="AQ655" s="200"/>
      <c r="AR655" s="200"/>
      <c r="AS655" s="200"/>
      <c r="AT655" s="200"/>
      <c r="AU655" s="200"/>
      <c r="AV655" s="200"/>
      <c r="AW655" s="200"/>
      <c r="AX655" s="200"/>
      <c r="AY655" s="200"/>
      <c r="AZ655" s="200"/>
      <c r="BA655" s="200"/>
      <c r="BB655" s="200"/>
      <c r="BC655" s="200"/>
      <c r="BD655" s="200"/>
    </row>
    <row r="656" spans="32:56" ht="24" customHeight="1" x14ac:dyDescent="0.25">
      <c r="AF656" s="200"/>
      <c r="AG656" s="200"/>
      <c r="AH656" s="200"/>
      <c r="AI656" s="200"/>
      <c r="AJ656" s="200"/>
      <c r="AK656" s="200"/>
      <c r="AL656" s="200"/>
      <c r="AM656" s="200"/>
      <c r="AN656" s="200"/>
      <c r="AO656" s="200"/>
      <c r="AP656" s="200"/>
      <c r="AQ656" s="200"/>
      <c r="AR656" s="200"/>
      <c r="AS656" s="200"/>
      <c r="AT656" s="200"/>
      <c r="AU656" s="200"/>
      <c r="AV656" s="200"/>
      <c r="AW656" s="200"/>
      <c r="AX656" s="200"/>
      <c r="AY656" s="200"/>
      <c r="AZ656" s="200"/>
      <c r="BA656" s="200"/>
      <c r="BB656" s="200"/>
      <c r="BC656" s="200"/>
      <c r="BD656" s="200"/>
    </row>
    <row r="657" spans="32:56" ht="24" customHeight="1" x14ac:dyDescent="0.25">
      <c r="AF657" s="200"/>
      <c r="AG657" s="200"/>
      <c r="AH657" s="200"/>
      <c r="AI657" s="200"/>
      <c r="AJ657" s="200"/>
      <c r="AK657" s="200"/>
      <c r="AL657" s="200"/>
      <c r="AM657" s="200"/>
      <c r="AN657" s="200"/>
      <c r="AO657" s="200"/>
      <c r="AP657" s="200"/>
      <c r="AQ657" s="200"/>
      <c r="AR657" s="200"/>
      <c r="AS657" s="200"/>
      <c r="AT657" s="200"/>
      <c r="AU657" s="200"/>
      <c r="AV657" s="200"/>
      <c r="AW657" s="200"/>
      <c r="AX657" s="200"/>
      <c r="AY657" s="200"/>
      <c r="AZ657" s="200"/>
      <c r="BA657" s="200"/>
      <c r="BB657" s="200"/>
      <c r="BC657" s="200"/>
      <c r="BD657" s="200"/>
    </row>
    <row r="658" spans="32:56" ht="24" customHeight="1" x14ac:dyDescent="0.25">
      <c r="AF658" s="200"/>
      <c r="AG658" s="200"/>
      <c r="AH658" s="200"/>
      <c r="AI658" s="200"/>
      <c r="AJ658" s="200"/>
      <c r="AK658" s="200"/>
      <c r="AL658" s="200"/>
      <c r="AM658" s="200"/>
      <c r="AN658" s="200"/>
      <c r="AO658" s="200"/>
      <c r="AP658" s="200"/>
      <c r="AQ658" s="200"/>
      <c r="AR658" s="200"/>
      <c r="AS658" s="200"/>
      <c r="AT658" s="200"/>
      <c r="AU658" s="200"/>
      <c r="AV658" s="200"/>
      <c r="AW658" s="200"/>
      <c r="AX658" s="200"/>
      <c r="AY658" s="200"/>
      <c r="AZ658" s="200"/>
      <c r="BA658" s="200"/>
      <c r="BB658" s="200"/>
      <c r="BC658" s="200"/>
      <c r="BD658" s="200"/>
    </row>
    <row r="659" spans="32:56" ht="24" customHeight="1" x14ac:dyDescent="0.25">
      <c r="AF659" s="200"/>
      <c r="AG659" s="200"/>
      <c r="AH659" s="200"/>
      <c r="AI659" s="200"/>
      <c r="AJ659" s="200"/>
      <c r="AK659" s="200"/>
      <c r="AL659" s="200"/>
      <c r="AM659" s="200"/>
      <c r="AN659" s="200"/>
      <c r="AO659" s="200"/>
      <c r="AP659" s="200"/>
      <c r="AQ659" s="200"/>
      <c r="AR659" s="200"/>
      <c r="AS659" s="200"/>
      <c r="AT659" s="200"/>
      <c r="AU659" s="200"/>
      <c r="AV659" s="200"/>
      <c r="AW659" s="200"/>
      <c r="AX659" s="200"/>
      <c r="AY659" s="200"/>
      <c r="AZ659" s="200"/>
      <c r="BA659" s="200"/>
      <c r="BB659" s="200"/>
      <c r="BC659" s="200"/>
      <c r="BD659" s="200"/>
    </row>
    <row r="660" spans="32:56" ht="24" customHeight="1" x14ac:dyDescent="0.25">
      <c r="AF660" s="200"/>
      <c r="AG660" s="200"/>
      <c r="AH660" s="200"/>
      <c r="AI660" s="200"/>
      <c r="AJ660" s="200"/>
      <c r="AK660" s="200"/>
      <c r="AL660" s="200"/>
      <c r="AM660" s="200"/>
      <c r="AN660" s="200"/>
      <c r="AO660" s="200"/>
      <c r="AP660" s="200"/>
      <c r="AQ660" s="200"/>
      <c r="AR660" s="200"/>
      <c r="AS660" s="200"/>
      <c r="AT660" s="200"/>
      <c r="AU660" s="200"/>
      <c r="AV660" s="200"/>
      <c r="AW660" s="200"/>
      <c r="AX660" s="200"/>
      <c r="AY660" s="200"/>
      <c r="AZ660" s="200"/>
      <c r="BA660" s="200"/>
      <c r="BB660" s="200"/>
      <c r="BC660" s="200"/>
      <c r="BD660" s="200"/>
    </row>
    <row r="661" spans="32:56" ht="24" customHeight="1" x14ac:dyDescent="0.25">
      <c r="AF661" s="200"/>
      <c r="AG661" s="200"/>
      <c r="AH661" s="200"/>
      <c r="AI661" s="200"/>
      <c r="AJ661" s="200"/>
      <c r="AK661" s="200"/>
      <c r="AL661" s="200"/>
      <c r="AM661" s="200"/>
      <c r="AN661" s="200"/>
      <c r="AO661" s="200"/>
      <c r="AP661" s="200"/>
      <c r="AQ661" s="200"/>
      <c r="AR661" s="200"/>
      <c r="AS661" s="200"/>
      <c r="AT661" s="200"/>
      <c r="AU661" s="200"/>
      <c r="AV661" s="200"/>
      <c r="AW661" s="200"/>
      <c r="AX661" s="200"/>
      <c r="AY661" s="200"/>
      <c r="AZ661" s="200"/>
      <c r="BA661" s="200"/>
      <c r="BB661" s="200"/>
      <c r="BC661" s="200"/>
      <c r="BD661" s="200"/>
    </row>
    <row r="662" spans="32:56" ht="24" customHeight="1" x14ac:dyDescent="0.25">
      <c r="AF662" s="200"/>
      <c r="AG662" s="200"/>
      <c r="AH662" s="200"/>
      <c r="AI662" s="200"/>
      <c r="AJ662" s="200"/>
      <c r="AK662" s="200"/>
      <c r="AL662" s="200"/>
      <c r="AM662" s="200"/>
      <c r="AN662" s="200"/>
      <c r="AO662" s="200"/>
      <c r="AP662" s="200"/>
      <c r="AQ662" s="200"/>
      <c r="AR662" s="200"/>
      <c r="AS662" s="200"/>
      <c r="AT662" s="200"/>
      <c r="AU662" s="200"/>
      <c r="AV662" s="200"/>
      <c r="AW662" s="200"/>
      <c r="AX662" s="200"/>
      <c r="AY662" s="200"/>
      <c r="AZ662" s="200"/>
      <c r="BA662" s="200"/>
      <c r="BB662" s="200"/>
      <c r="BC662" s="200"/>
      <c r="BD662" s="200"/>
    </row>
    <row r="663" spans="32:56" ht="24" customHeight="1" x14ac:dyDescent="0.25">
      <c r="AF663" s="200"/>
      <c r="AG663" s="200"/>
      <c r="AH663" s="200"/>
      <c r="AI663" s="200"/>
      <c r="AJ663" s="200"/>
      <c r="AK663" s="200"/>
      <c r="AL663" s="200"/>
      <c r="AM663" s="200"/>
      <c r="AN663" s="200"/>
      <c r="AO663" s="200"/>
      <c r="AP663" s="200"/>
      <c r="AQ663" s="200"/>
      <c r="AR663" s="200"/>
      <c r="AS663" s="200"/>
      <c r="AT663" s="200"/>
      <c r="AU663" s="200"/>
      <c r="AV663" s="200"/>
      <c r="AW663" s="200"/>
      <c r="AX663" s="200"/>
      <c r="AY663" s="200"/>
      <c r="AZ663" s="200"/>
      <c r="BA663" s="200"/>
      <c r="BB663" s="200"/>
      <c r="BC663" s="200"/>
      <c r="BD663" s="200"/>
    </row>
    <row r="664" spans="32:56" ht="24" customHeight="1" x14ac:dyDescent="0.25">
      <c r="AF664" s="200"/>
      <c r="AG664" s="200"/>
      <c r="AH664" s="200"/>
      <c r="AI664" s="200"/>
      <c r="AJ664" s="200"/>
      <c r="AK664" s="200"/>
      <c r="AL664" s="200"/>
      <c r="AM664" s="200"/>
      <c r="AN664" s="200"/>
      <c r="AO664" s="200"/>
      <c r="AP664" s="200"/>
      <c r="AQ664" s="200"/>
      <c r="AR664" s="200"/>
      <c r="AS664" s="200"/>
      <c r="AT664" s="200"/>
      <c r="AU664" s="200"/>
      <c r="AV664" s="200"/>
      <c r="AW664" s="200"/>
      <c r="AX664" s="200"/>
      <c r="AY664" s="200"/>
      <c r="AZ664" s="200"/>
      <c r="BA664" s="200"/>
      <c r="BB664" s="200"/>
      <c r="BC664" s="200"/>
      <c r="BD664" s="200"/>
    </row>
    <row r="665" spans="32:56" ht="24" customHeight="1" x14ac:dyDescent="0.25">
      <c r="AF665" s="200"/>
      <c r="AG665" s="200"/>
      <c r="AH665" s="200"/>
      <c r="AI665" s="200"/>
      <c r="AJ665" s="200"/>
      <c r="AK665" s="200"/>
      <c r="AL665" s="200"/>
      <c r="AM665" s="200"/>
      <c r="AN665" s="200"/>
      <c r="AO665" s="200"/>
      <c r="AP665" s="200"/>
      <c r="AQ665" s="200"/>
      <c r="AR665" s="200"/>
      <c r="AS665" s="200"/>
      <c r="AT665" s="200"/>
      <c r="AU665" s="200"/>
      <c r="AV665" s="200"/>
      <c r="AW665" s="200"/>
      <c r="AX665" s="200"/>
      <c r="AY665" s="200"/>
      <c r="AZ665" s="200"/>
      <c r="BA665" s="200"/>
      <c r="BB665" s="200"/>
      <c r="BC665" s="200"/>
      <c r="BD665" s="200"/>
    </row>
    <row r="666" spans="32:56" ht="24" customHeight="1" x14ac:dyDescent="0.25">
      <c r="AF666" s="200"/>
      <c r="AG666" s="200"/>
      <c r="AH666" s="200"/>
      <c r="AI666" s="200"/>
      <c r="AJ666" s="200"/>
      <c r="AK666" s="200"/>
      <c r="AL666" s="200"/>
      <c r="AM666" s="200"/>
      <c r="AN666" s="200"/>
      <c r="AO666" s="200"/>
      <c r="AP666" s="200"/>
      <c r="AQ666" s="200"/>
      <c r="AR666" s="200"/>
      <c r="AS666" s="200"/>
      <c r="AT666" s="200"/>
      <c r="AU666" s="200"/>
      <c r="AV666" s="200"/>
      <c r="AW666" s="200"/>
      <c r="AX666" s="200"/>
      <c r="AY666" s="200"/>
      <c r="AZ666" s="200"/>
      <c r="BA666" s="200"/>
      <c r="BB666" s="200"/>
      <c r="BC666" s="200"/>
      <c r="BD666" s="200"/>
    </row>
    <row r="667" spans="32:56" ht="24" customHeight="1" x14ac:dyDescent="0.25">
      <c r="AF667" s="200"/>
      <c r="AG667" s="200"/>
      <c r="AH667" s="200"/>
      <c r="AI667" s="200"/>
      <c r="AJ667" s="200"/>
      <c r="AK667" s="200"/>
      <c r="AL667" s="200"/>
      <c r="AM667" s="200"/>
      <c r="AN667" s="200"/>
      <c r="AO667" s="200"/>
      <c r="AP667" s="200"/>
      <c r="AQ667" s="200"/>
      <c r="AR667" s="200"/>
      <c r="AS667" s="200"/>
      <c r="AT667" s="200"/>
      <c r="AU667" s="200"/>
      <c r="AV667" s="200"/>
      <c r="AW667" s="200"/>
      <c r="AX667" s="200"/>
      <c r="AY667" s="200"/>
      <c r="AZ667" s="200"/>
      <c r="BA667" s="200"/>
      <c r="BB667" s="200"/>
      <c r="BC667" s="200"/>
      <c r="BD667" s="200"/>
    </row>
    <row r="668" spans="32:56" ht="24" customHeight="1" x14ac:dyDescent="0.25">
      <c r="AF668" s="200"/>
      <c r="AG668" s="200"/>
      <c r="AH668" s="200"/>
      <c r="AI668" s="200"/>
      <c r="AJ668" s="200"/>
      <c r="AK668" s="200"/>
      <c r="AL668" s="200"/>
      <c r="AM668" s="200"/>
      <c r="AN668" s="200"/>
      <c r="AO668" s="200"/>
      <c r="AP668" s="200"/>
      <c r="AQ668" s="200"/>
      <c r="AR668" s="200"/>
      <c r="AS668" s="200"/>
      <c r="AT668" s="200"/>
      <c r="AU668" s="200"/>
      <c r="AV668" s="200"/>
      <c r="AW668" s="200"/>
      <c r="AX668" s="200"/>
      <c r="AY668" s="200"/>
      <c r="AZ668" s="200"/>
      <c r="BA668" s="200"/>
      <c r="BB668" s="200"/>
      <c r="BC668" s="200"/>
      <c r="BD668" s="200"/>
    </row>
    <row r="669" spans="32:56" ht="24" customHeight="1" x14ac:dyDescent="0.25">
      <c r="AF669" s="200"/>
      <c r="AG669" s="200"/>
      <c r="AH669" s="200"/>
      <c r="AI669" s="200"/>
      <c r="AJ669" s="200"/>
      <c r="AK669" s="200"/>
      <c r="AL669" s="200"/>
      <c r="AM669" s="200"/>
      <c r="AN669" s="200"/>
      <c r="AO669" s="200"/>
      <c r="AP669" s="200"/>
      <c r="AQ669" s="200"/>
      <c r="AR669" s="200"/>
      <c r="AS669" s="200"/>
      <c r="AT669" s="200"/>
      <c r="AU669" s="200"/>
      <c r="AV669" s="200"/>
      <c r="AW669" s="200"/>
      <c r="AX669" s="200"/>
      <c r="AY669" s="200"/>
      <c r="AZ669" s="200"/>
      <c r="BA669" s="200"/>
      <c r="BB669" s="200"/>
      <c r="BC669" s="200"/>
      <c r="BD669" s="200"/>
    </row>
    <row r="670" spans="32:56" ht="24" customHeight="1" x14ac:dyDescent="0.25">
      <c r="AF670" s="200"/>
      <c r="AG670" s="200"/>
      <c r="AH670" s="200"/>
      <c r="AI670" s="200"/>
      <c r="AJ670" s="200"/>
      <c r="AK670" s="200"/>
      <c r="AL670" s="200"/>
      <c r="AM670" s="200"/>
      <c r="AN670" s="200"/>
      <c r="AO670" s="200"/>
      <c r="AP670" s="200"/>
      <c r="AQ670" s="200"/>
      <c r="AR670" s="200"/>
      <c r="AS670" s="200"/>
      <c r="AT670" s="200"/>
      <c r="AU670" s="200"/>
      <c r="AV670" s="200"/>
      <c r="AW670" s="200"/>
      <c r="AX670" s="200"/>
      <c r="AY670" s="200"/>
      <c r="AZ670" s="200"/>
      <c r="BA670" s="200"/>
      <c r="BB670" s="200"/>
      <c r="BC670" s="200"/>
      <c r="BD670" s="200"/>
    </row>
    <row r="671" spans="32:56" ht="24" customHeight="1" x14ac:dyDescent="0.25">
      <c r="AF671" s="200"/>
      <c r="AG671" s="200"/>
      <c r="AH671" s="200"/>
      <c r="AI671" s="200"/>
      <c r="AJ671" s="200"/>
      <c r="AK671" s="200"/>
      <c r="AL671" s="200"/>
      <c r="AM671" s="200"/>
      <c r="AN671" s="200"/>
      <c r="AO671" s="200"/>
      <c r="AP671" s="200"/>
      <c r="AQ671" s="200"/>
      <c r="AR671" s="200"/>
      <c r="AS671" s="200"/>
      <c r="AT671" s="200"/>
      <c r="AU671" s="200"/>
      <c r="AV671" s="200"/>
      <c r="AW671" s="200"/>
      <c r="AX671" s="200"/>
      <c r="AY671" s="200"/>
      <c r="AZ671" s="200"/>
      <c r="BA671" s="200"/>
      <c r="BB671" s="200"/>
      <c r="BC671" s="200"/>
      <c r="BD671" s="200"/>
    </row>
    <row r="672" spans="32:56" ht="24" customHeight="1" x14ac:dyDescent="0.25">
      <c r="AF672" s="200"/>
      <c r="AG672" s="200"/>
      <c r="AH672" s="200"/>
      <c r="AI672" s="200"/>
      <c r="AJ672" s="200"/>
      <c r="AK672" s="200"/>
      <c r="AL672" s="200"/>
      <c r="AM672" s="200"/>
      <c r="AN672" s="200"/>
      <c r="AO672" s="200"/>
      <c r="AP672" s="200"/>
      <c r="AQ672" s="200"/>
      <c r="AR672" s="200"/>
      <c r="AS672" s="200"/>
      <c r="AT672" s="200"/>
      <c r="AU672" s="200"/>
      <c r="AV672" s="200"/>
      <c r="AW672" s="200"/>
      <c r="AX672" s="200"/>
      <c r="AY672" s="200"/>
      <c r="AZ672" s="200"/>
      <c r="BA672" s="200"/>
      <c r="BB672" s="200"/>
      <c r="BC672" s="200"/>
      <c r="BD672" s="200"/>
    </row>
    <row r="673" spans="32:56" ht="24" customHeight="1" x14ac:dyDescent="0.25">
      <c r="AF673" s="200"/>
      <c r="AG673" s="200"/>
      <c r="AH673" s="200"/>
      <c r="AI673" s="200"/>
      <c r="AJ673" s="200"/>
      <c r="AK673" s="200"/>
      <c r="AL673" s="200"/>
      <c r="AM673" s="200"/>
      <c r="AN673" s="200"/>
      <c r="AO673" s="200"/>
      <c r="AP673" s="200"/>
      <c r="AQ673" s="200"/>
      <c r="AR673" s="200"/>
      <c r="AS673" s="200"/>
      <c r="AT673" s="200"/>
      <c r="AU673" s="200"/>
      <c r="AV673" s="200"/>
      <c r="AW673" s="200"/>
      <c r="AX673" s="200"/>
      <c r="AY673" s="200"/>
      <c r="AZ673" s="200"/>
      <c r="BA673" s="200"/>
      <c r="BB673" s="200"/>
      <c r="BC673" s="200"/>
      <c r="BD673" s="200"/>
    </row>
    <row r="674" spans="32:56" ht="24" customHeight="1" x14ac:dyDescent="0.25">
      <c r="AF674" s="200"/>
      <c r="AG674" s="200"/>
      <c r="AH674" s="200"/>
      <c r="AI674" s="200"/>
      <c r="AJ674" s="200"/>
      <c r="AK674" s="200"/>
      <c r="AL674" s="200"/>
      <c r="AM674" s="200"/>
      <c r="AN674" s="200"/>
      <c r="AO674" s="200"/>
      <c r="AP674" s="200"/>
      <c r="AQ674" s="200"/>
      <c r="AR674" s="200"/>
      <c r="AS674" s="200"/>
      <c r="AT674" s="200"/>
      <c r="AU674" s="200"/>
      <c r="AV674" s="200"/>
      <c r="AW674" s="200"/>
      <c r="AX674" s="200"/>
      <c r="AY674" s="200"/>
      <c r="AZ674" s="200"/>
      <c r="BA674" s="200"/>
      <c r="BB674" s="200"/>
      <c r="BC674" s="200"/>
      <c r="BD674" s="200"/>
    </row>
    <row r="675" spans="32:56" ht="24" customHeight="1" x14ac:dyDescent="0.25">
      <c r="AF675" s="200"/>
      <c r="AG675" s="200"/>
      <c r="AH675" s="200"/>
      <c r="AI675" s="200"/>
      <c r="AJ675" s="200"/>
      <c r="AK675" s="200"/>
      <c r="AL675" s="200"/>
      <c r="AM675" s="200"/>
      <c r="AN675" s="200"/>
      <c r="AO675" s="200"/>
      <c r="AP675" s="200"/>
      <c r="AQ675" s="200"/>
      <c r="AR675" s="200"/>
      <c r="AS675" s="200"/>
      <c r="AT675" s="200"/>
      <c r="AU675" s="200"/>
      <c r="AV675" s="200"/>
      <c r="AW675" s="200"/>
      <c r="AX675" s="200"/>
      <c r="AY675" s="200"/>
      <c r="AZ675" s="200"/>
      <c r="BA675" s="200"/>
      <c r="BB675" s="200"/>
      <c r="BC675" s="200"/>
      <c r="BD675" s="200"/>
    </row>
    <row r="676" spans="32:56" ht="24" customHeight="1" x14ac:dyDescent="0.25">
      <c r="AF676" s="200"/>
      <c r="AG676" s="200"/>
      <c r="AH676" s="200"/>
      <c r="AI676" s="200"/>
      <c r="AJ676" s="200"/>
      <c r="AK676" s="200"/>
      <c r="AL676" s="200"/>
      <c r="AM676" s="200"/>
      <c r="AN676" s="200"/>
      <c r="AO676" s="200"/>
      <c r="AP676" s="200"/>
      <c r="AQ676" s="200"/>
      <c r="AR676" s="200"/>
      <c r="AS676" s="200"/>
      <c r="AT676" s="200"/>
      <c r="AU676" s="200"/>
      <c r="AV676" s="200"/>
      <c r="AW676" s="200"/>
      <c r="AX676" s="200"/>
      <c r="AY676" s="200"/>
      <c r="AZ676" s="200"/>
      <c r="BA676" s="200"/>
      <c r="BB676" s="200"/>
      <c r="BC676" s="200"/>
      <c r="BD676" s="200"/>
    </row>
    <row r="677" spans="32:56" ht="24" customHeight="1" x14ac:dyDescent="0.25">
      <c r="AF677" s="200"/>
      <c r="AG677" s="200"/>
      <c r="AH677" s="200"/>
      <c r="AI677" s="200"/>
      <c r="AJ677" s="200"/>
      <c r="AK677" s="200"/>
      <c r="AL677" s="200"/>
      <c r="AM677" s="200"/>
      <c r="AN677" s="200"/>
      <c r="AO677" s="200"/>
      <c r="AP677" s="200"/>
      <c r="AQ677" s="200"/>
      <c r="AR677" s="200"/>
      <c r="AS677" s="200"/>
      <c r="AT677" s="200"/>
      <c r="AU677" s="200"/>
      <c r="AV677" s="200"/>
      <c r="AW677" s="200"/>
      <c r="AX677" s="200"/>
      <c r="AY677" s="200"/>
      <c r="AZ677" s="200"/>
      <c r="BA677" s="200"/>
      <c r="BB677" s="200"/>
      <c r="BC677" s="200"/>
      <c r="BD677" s="200"/>
    </row>
    <row r="678" spans="32:56" ht="24" customHeight="1" x14ac:dyDescent="0.25">
      <c r="AF678" s="200"/>
      <c r="AG678" s="200"/>
      <c r="AH678" s="200"/>
      <c r="AI678" s="200"/>
      <c r="AJ678" s="200"/>
      <c r="AK678" s="200"/>
      <c r="AL678" s="200"/>
      <c r="AM678" s="200"/>
      <c r="AN678" s="200"/>
      <c r="AO678" s="200"/>
      <c r="AP678" s="200"/>
      <c r="AQ678" s="200"/>
      <c r="AR678" s="200"/>
      <c r="AS678" s="200"/>
      <c r="AT678" s="200"/>
      <c r="AU678" s="200"/>
      <c r="AV678" s="200"/>
      <c r="AW678" s="200"/>
      <c r="AX678" s="200"/>
      <c r="AY678" s="200"/>
      <c r="AZ678" s="200"/>
      <c r="BA678" s="200"/>
      <c r="BB678" s="200"/>
      <c r="BC678" s="200"/>
      <c r="BD678" s="200"/>
    </row>
    <row r="679" spans="32:56" ht="24" customHeight="1" x14ac:dyDescent="0.25">
      <c r="AF679" s="200"/>
      <c r="AG679" s="200"/>
      <c r="AH679" s="200"/>
      <c r="AI679" s="200"/>
      <c r="AJ679" s="200"/>
      <c r="AK679" s="200"/>
      <c r="AL679" s="200"/>
      <c r="AM679" s="200"/>
      <c r="AN679" s="200"/>
      <c r="AO679" s="200"/>
      <c r="AP679" s="200"/>
      <c r="AQ679" s="200"/>
      <c r="AR679" s="200"/>
      <c r="AS679" s="200"/>
      <c r="AT679" s="200"/>
      <c r="AU679" s="200"/>
      <c r="AV679" s="200"/>
      <c r="AW679" s="200"/>
      <c r="AX679" s="200"/>
      <c r="AY679" s="200"/>
      <c r="AZ679" s="200"/>
      <c r="BA679" s="200"/>
      <c r="BB679" s="200"/>
      <c r="BC679" s="200"/>
      <c r="BD679" s="200"/>
    </row>
    <row r="680" spans="32:56" ht="24" customHeight="1" x14ac:dyDescent="0.25">
      <c r="AF680" s="200"/>
      <c r="AG680" s="200"/>
      <c r="AH680" s="200"/>
      <c r="AI680" s="200"/>
      <c r="AJ680" s="200"/>
      <c r="AK680" s="200"/>
      <c r="AL680" s="200"/>
      <c r="AM680" s="200"/>
      <c r="AN680" s="200"/>
      <c r="AO680" s="200"/>
      <c r="AP680" s="200"/>
      <c r="AQ680" s="200"/>
      <c r="AR680" s="200"/>
      <c r="AS680" s="200"/>
      <c r="AT680" s="200"/>
      <c r="AU680" s="200"/>
      <c r="AV680" s="200"/>
      <c r="AW680" s="200"/>
      <c r="AX680" s="200"/>
      <c r="AY680" s="200"/>
      <c r="AZ680" s="200"/>
      <c r="BA680" s="200"/>
      <c r="BB680" s="200"/>
      <c r="BC680" s="200"/>
      <c r="BD680" s="200"/>
    </row>
    <row r="681" spans="32:56" ht="24" customHeight="1" x14ac:dyDescent="0.25">
      <c r="AF681" s="200"/>
      <c r="AG681" s="200"/>
      <c r="AH681" s="200"/>
      <c r="AI681" s="200"/>
      <c r="AJ681" s="200"/>
      <c r="AK681" s="200"/>
      <c r="AL681" s="200"/>
      <c r="AM681" s="200"/>
      <c r="AN681" s="200"/>
      <c r="AO681" s="200"/>
      <c r="AP681" s="200"/>
      <c r="AQ681" s="200"/>
      <c r="AR681" s="200"/>
      <c r="AS681" s="200"/>
      <c r="AT681" s="200"/>
      <c r="AU681" s="200"/>
      <c r="AV681" s="200"/>
      <c r="AW681" s="200"/>
      <c r="AX681" s="200"/>
      <c r="AY681" s="200"/>
      <c r="AZ681" s="200"/>
      <c r="BA681" s="200"/>
      <c r="BB681" s="200"/>
      <c r="BC681" s="200"/>
      <c r="BD681" s="200"/>
    </row>
    <row r="682" spans="32:56" ht="24" customHeight="1" x14ac:dyDescent="0.25">
      <c r="AF682" s="200"/>
      <c r="AG682" s="200"/>
      <c r="AH682" s="200"/>
      <c r="AI682" s="200"/>
      <c r="AJ682" s="200"/>
      <c r="AK682" s="200"/>
      <c r="AL682" s="200"/>
      <c r="AM682" s="200"/>
      <c r="AN682" s="200"/>
      <c r="AO682" s="200"/>
      <c r="AP682" s="200"/>
      <c r="AQ682" s="200"/>
      <c r="AR682" s="200"/>
      <c r="AS682" s="200"/>
      <c r="AT682" s="200"/>
      <c r="AU682" s="200"/>
      <c r="AV682" s="200"/>
      <c r="AW682" s="200"/>
      <c r="AX682" s="200"/>
      <c r="AY682" s="200"/>
      <c r="AZ682" s="200"/>
      <c r="BA682" s="200"/>
      <c r="BB682" s="200"/>
      <c r="BC682" s="200"/>
      <c r="BD682" s="200"/>
    </row>
    <row r="683" spans="32:56" ht="24" customHeight="1" x14ac:dyDescent="0.25">
      <c r="AF683" s="200"/>
      <c r="AG683" s="200"/>
      <c r="AH683" s="200"/>
      <c r="AI683" s="200"/>
      <c r="AJ683" s="200"/>
      <c r="AK683" s="200"/>
      <c r="AL683" s="200"/>
      <c r="AM683" s="200"/>
      <c r="AN683" s="200"/>
      <c r="AO683" s="200"/>
      <c r="AP683" s="200"/>
      <c r="AQ683" s="200"/>
      <c r="AR683" s="200"/>
      <c r="AS683" s="200"/>
      <c r="AT683" s="200"/>
      <c r="AU683" s="200"/>
      <c r="AV683" s="200"/>
      <c r="AW683" s="200"/>
      <c r="AX683" s="200"/>
      <c r="AY683" s="200"/>
      <c r="AZ683" s="200"/>
      <c r="BA683" s="200"/>
      <c r="BB683" s="200"/>
      <c r="BC683" s="200"/>
      <c r="BD683" s="200"/>
    </row>
    <row r="684" spans="32:56" ht="24" customHeight="1" x14ac:dyDescent="0.25">
      <c r="AF684" s="200"/>
      <c r="AG684" s="200"/>
      <c r="AH684" s="200"/>
      <c r="AI684" s="200"/>
      <c r="AJ684" s="200"/>
      <c r="AK684" s="200"/>
      <c r="AL684" s="200"/>
      <c r="AM684" s="200"/>
      <c r="AN684" s="200"/>
      <c r="AO684" s="200"/>
      <c r="AP684" s="200"/>
      <c r="AQ684" s="200"/>
      <c r="AR684" s="200"/>
      <c r="AS684" s="200"/>
      <c r="AT684" s="200"/>
      <c r="AU684" s="200"/>
      <c r="AV684" s="200"/>
      <c r="AW684" s="200"/>
      <c r="AX684" s="200"/>
      <c r="AY684" s="200"/>
      <c r="AZ684" s="200"/>
      <c r="BA684" s="200"/>
      <c r="BB684" s="200"/>
      <c r="BC684" s="200"/>
      <c r="BD684" s="200"/>
    </row>
    <row r="685" spans="32:56" ht="24" customHeight="1" x14ac:dyDescent="0.25">
      <c r="AF685" s="200"/>
      <c r="AG685" s="200"/>
      <c r="AH685" s="200"/>
      <c r="AI685" s="200"/>
      <c r="AJ685" s="200"/>
      <c r="AK685" s="200"/>
      <c r="AL685" s="200"/>
      <c r="AM685" s="200"/>
      <c r="AN685" s="200"/>
      <c r="AO685" s="200"/>
      <c r="AP685" s="200"/>
      <c r="AQ685" s="200"/>
      <c r="AR685" s="200"/>
      <c r="AS685" s="200"/>
      <c r="AT685" s="200"/>
      <c r="AU685" s="200"/>
      <c r="AV685" s="200"/>
      <c r="AW685" s="200"/>
      <c r="AX685" s="200"/>
      <c r="AY685" s="200"/>
      <c r="AZ685" s="200"/>
      <c r="BA685" s="200"/>
      <c r="BB685" s="200"/>
      <c r="BC685" s="200"/>
      <c r="BD685" s="200"/>
    </row>
    <row r="686" spans="32:56" ht="24" customHeight="1" x14ac:dyDescent="0.25">
      <c r="AF686" s="200"/>
      <c r="AG686" s="200"/>
      <c r="AH686" s="200"/>
      <c r="AI686" s="200"/>
      <c r="AJ686" s="200"/>
      <c r="AK686" s="200"/>
      <c r="AL686" s="200"/>
      <c r="AM686" s="200"/>
      <c r="AN686" s="200"/>
      <c r="AO686" s="200"/>
      <c r="AP686" s="200"/>
      <c r="AQ686" s="200"/>
      <c r="AR686" s="200"/>
      <c r="AS686" s="200"/>
      <c r="AT686" s="200"/>
      <c r="AU686" s="200"/>
      <c r="AV686" s="200"/>
      <c r="AW686" s="200"/>
      <c r="AX686" s="200"/>
      <c r="AY686" s="200"/>
      <c r="AZ686" s="200"/>
      <c r="BA686" s="200"/>
      <c r="BB686" s="200"/>
      <c r="BC686" s="200"/>
      <c r="BD686" s="200"/>
    </row>
    <row r="687" spans="32:56" ht="24" customHeight="1" x14ac:dyDescent="0.25">
      <c r="AF687" s="200"/>
      <c r="AG687" s="200"/>
      <c r="AH687" s="200"/>
      <c r="AI687" s="200"/>
      <c r="AJ687" s="200"/>
      <c r="AK687" s="200"/>
      <c r="AL687" s="200"/>
      <c r="AM687" s="200"/>
      <c r="AN687" s="200"/>
      <c r="AO687" s="200"/>
      <c r="AP687" s="200"/>
      <c r="AQ687" s="200"/>
      <c r="AR687" s="200"/>
      <c r="AS687" s="200"/>
      <c r="AT687" s="200"/>
      <c r="AU687" s="200"/>
      <c r="AV687" s="200"/>
      <c r="AW687" s="200"/>
      <c r="AX687" s="200"/>
      <c r="AY687" s="200"/>
      <c r="AZ687" s="200"/>
      <c r="BA687" s="200"/>
      <c r="BB687" s="200"/>
      <c r="BC687" s="200"/>
      <c r="BD687" s="200"/>
    </row>
    <row r="688" spans="32:56" ht="24" customHeight="1" x14ac:dyDescent="0.25">
      <c r="AF688" s="200"/>
      <c r="AG688" s="200"/>
      <c r="AH688" s="200"/>
      <c r="AI688" s="200"/>
      <c r="AJ688" s="200"/>
      <c r="AK688" s="200"/>
      <c r="AL688" s="200"/>
      <c r="AM688" s="200"/>
      <c r="AN688" s="200"/>
      <c r="AO688" s="200"/>
      <c r="AP688" s="200"/>
      <c r="AQ688" s="200"/>
      <c r="AR688" s="200"/>
      <c r="AS688" s="200"/>
      <c r="AT688" s="200"/>
      <c r="AU688" s="200"/>
      <c r="AV688" s="200"/>
      <c r="AW688" s="200"/>
      <c r="AX688" s="200"/>
      <c r="AY688" s="200"/>
      <c r="AZ688" s="200"/>
      <c r="BA688" s="200"/>
      <c r="BB688" s="200"/>
      <c r="BC688" s="200"/>
      <c r="BD688" s="200"/>
    </row>
    <row r="689" spans="32:56" ht="24" customHeight="1" x14ac:dyDescent="0.25">
      <c r="AF689" s="200"/>
      <c r="AG689" s="200"/>
      <c r="AH689" s="200"/>
      <c r="AI689" s="200"/>
      <c r="AJ689" s="200"/>
      <c r="AK689" s="200"/>
      <c r="AL689" s="200"/>
      <c r="AM689" s="200"/>
      <c r="AN689" s="200"/>
      <c r="AO689" s="200"/>
      <c r="AP689" s="200"/>
      <c r="AQ689" s="200"/>
      <c r="AR689" s="200"/>
      <c r="AS689" s="200"/>
      <c r="AT689" s="200"/>
      <c r="AU689" s="200"/>
      <c r="AV689" s="200"/>
      <c r="AW689" s="200"/>
      <c r="AX689" s="200"/>
      <c r="AY689" s="200"/>
      <c r="AZ689" s="200"/>
      <c r="BA689" s="200"/>
      <c r="BB689" s="200"/>
      <c r="BC689" s="200"/>
      <c r="BD689" s="200"/>
    </row>
    <row r="690" spans="32:56" ht="24" customHeight="1" x14ac:dyDescent="0.25">
      <c r="AF690" s="200"/>
      <c r="AG690" s="200"/>
      <c r="AH690" s="200"/>
      <c r="AI690" s="200"/>
      <c r="AJ690" s="200"/>
      <c r="AK690" s="200"/>
      <c r="AL690" s="200"/>
      <c r="AM690" s="200"/>
      <c r="AN690" s="200"/>
      <c r="AO690" s="200"/>
      <c r="AP690" s="200"/>
      <c r="AQ690" s="200"/>
      <c r="AR690" s="200"/>
      <c r="AS690" s="200"/>
      <c r="AT690" s="200"/>
      <c r="AU690" s="200"/>
      <c r="AV690" s="200"/>
      <c r="AW690" s="200"/>
      <c r="AX690" s="200"/>
      <c r="AY690" s="200"/>
      <c r="AZ690" s="200"/>
      <c r="BA690" s="200"/>
      <c r="BB690" s="200"/>
      <c r="BC690" s="200"/>
      <c r="BD690" s="200"/>
    </row>
    <row r="691" spans="32:56" ht="24" customHeight="1" x14ac:dyDescent="0.25">
      <c r="AF691" s="200"/>
      <c r="AG691" s="200"/>
      <c r="AH691" s="200"/>
      <c r="AI691" s="200"/>
      <c r="AJ691" s="200"/>
      <c r="AK691" s="200"/>
      <c r="AL691" s="200"/>
      <c r="AM691" s="200"/>
      <c r="AN691" s="200"/>
      <c r="AO691" s="200"/>
      <c r="AP691" s="200"/>
      <c r="AQ691" s="200"/>
      <c r="AR691" s="200"/>
      <c r="AS691" s="200"/>
      <c r="AT691" s="200"/>
      <c r="AU691" s="200"/>
      <c r="AV691" s="200"/>
      <c r="AW691" s="200"/>
      <c r="AX691" s="200"/>
      <c r="AY691" s="200"/>
      <c r="AZ691" s="200"/>
      <c r="BA691" s="200"/>
      <c r="BB691" s="200"/>
      <c r="BC691" s="200"/>
      <c r="BD691" s="200"/>
    </row>
    <row r="692" spans="32:56" ht="24" customHeight="1" x14ac:dyDescent="0.25">
      <c r="AF692" s="200"/>
      <c r="AG692" s="200"/>
      <c r="AH692" s="200"/>
      <c r="AI692" s="200"/>
      <c r="AJ692" s="200"/>
      <c r="AK692" s="200"/>
      <c r="AL692" s="200"/>
      <c r="AM692" s="200"/>
      <c r="AN692" s="200"/>
      <c r="AO692" s="200"/>
      <c r="AP692" s="200"/>
      <c r="AQ692" s="200"/>
      <c r="AR692" s="200"/>
      <c r="AS692" s="200"/>
      <c r="AT692" s="200"/>
      <c r="AU692" s="200"/>
      <c r="AV692" s="200"/>
      <c r="AW692" s="200"/>
      <c r="AX692" s="200"/>
      <c r="AY692" s="200"/>
      <c r="AZ692" s="200"/>
      <c r="BA692" s="200"/>
      <c r="BB692" s="200"/>
      <c r="BC692" s="200"/>
      <c r="BD692" s="200"/>
    </row>
    <row r="693" spans="32:56" ht="24" customHeight="1" x14ac:dyDescent="0.25">
      <c r="AF693" s="200"/>
      <c r="AG693" s="200"/>
      <c r="AH693" s="200"/>
      <c r="AI693" s="200"/>
      <c r="AJ693" s="200"/>
      <c r="AK693" s="200"/>
      <c r="AL693" s="200"/>
      <c r="AM693" s="200"/>
      <c r="AN693" s="200"/>
      <c r="AO693" s="200"/>
      <c r="AP693" s="200"/>
      <c r="AQ693" s="200"/>
      <c r="AR693" s="200"/>
      <c r="AS693" s="200"/>
      <c r="AT693" s="200"/>
      <c r="AU693" s="200"/>
      <c r="AV693" s="200"/>
      <c r="AW693" s="200"/>
      <c r="AX693" s="200"/>
      <c r="AY693" s="200"/>
      <c r="AZ693" s="200"/>
      <c r="BA693" s="200"/>
      <c r="BB693" s="200"/>
      <c r="BC693" s="200"/>
      <c r="BD693" s="200"/>
    </row>
    <row r="694" spans="32:56" ht="24" customHeight="1" x14ac:dyDescent="0.25">
      <c r="AF694" s="200"/>
      <c r="AG694" s="200"/>
      <c r="AH694" s="200"/>
      <c r="AI694" s="200"/>
      <c r="AJ694" s="200"/>
      <c r="AK694" s="200"/>
      <c r="AL694" s="200"/>
      <c r="AM694" s="200"/>
      <c r="AN694" s="200"/>
      <c r="AO694" s="200"/>
      <c r="AP694" s="200"/>
      <c r="AQ694" s="200"/>
      <c r="AR694" s="200"/>
      <c r="AS694" s="200"/>
      <c r="AT694" s="200"/>
      <c r="AU694" s="200"/>
      <c r="AV694" s="200"/>
      <c r="AW694" s="200"/>
      <c r="AX694" s="200"/>
      <c r="AY694" s="200"/>
      <c r="AZ694" s="200"/>
      <c r="BA694" s="200"/>
      <c r="BB694" s="200"/>
      <c r="BC694" s="200"/>
      <c r="BD694" s="200"/>
    </row>
    <row r="695" spans="32:56" ht="24" customHeight="1" x14ac:dyDescent="0.25">
      <c r="AF695" s="200"/>
      <c r="AG695" s="200"/>
      <c r="AH695" s="200"/>
      <c r="AI695" s="200"/>
      <c r="AJ695" s="200"/>
      <c r="AK695" s="200"/>
      <c r="AL695" s="200"/>
      <c r="AM695" s="200"/>
      <c r="AN695" s="200"/>
      <c r="AO695" s="200"/>
      <c r="AP695" s="200"/>
      <c r="AQ695" s="200"/>
      <c r="AR695" s="200"/>
      <c r="AS695" s="200"/>
      <c r="AT695" s="200"/>
      <c r="AU695" s="200"/>
      <c r="AV695" s="200"/>
      <c r="AW695" s="200"/>
      <c r="AX695" s="200"/>
      <c r="AY695" s="200"/>
      <c r="AZ695" s="200"/>
      <c r="BA695" s="200"/>
      <c r="BB695" s="200"/>
      <c r="BC695" s="200"/>
      <c r="BD695" s="200"/>
    </row>
    <row r="696" spans="32:56" ht="24" customHeight="1" x14ac:dyDescent="0.25">
      <c r="AF696" s="200"/>
      <c r="AG696" s="200"/>
      <c r="AH696" s="200"/>
      <c r="AI696" s="200"/>
      <c r="AJ696" s="200"/>
      <c r="AK696" s="200"/>
      <c r="AL696" s="200"/>
      <c r="AM696" s="200"/>
      <c r="AN696" s="200"/>
      <c r="AO696" s="200"/>
      <c r="AP696" s="200"/>
      <c r="AQ696" s="200"/>
      <c r="AR696" s="200"/>
      <c r="AS696" s="200"/>
      <c r="AT696" s="200"/>
      <c r="AU696" s="200"/>
      <c r="AV696" s="200"/>
      <c r="AW696" s="200"/>
      <c r="AX696" s="200"/>
      <c r="AY696" s="200"/>
      <c r="AZ696" s="200"/>
      <c r="BA696" s="200"/>
      <c r="BB696" s="200"/>
      <c r="BC696" s="200"/>
      <c r="BD696" s="200"/>
    </row>
    <row r="697" spans="32:56" ht="24" customHeight="1" x14ac:dyDescent="0.25">
      <c r="AF697" s="200"/>
      <c r="AG697" s="200"/>
      <c r="AH697" s="200"/>
      <c r="AI697" s="200"/>
      <c r="AJ697" s="200"/>
      <c r="AK697" s="200"/>
      <c r="AL697" s="200"/>
      <c r="AM697" s="200"/>
      <c r="AN697" s="200"/>
      <c r="AO697" s="200"/>
      <c r="AP697" s="200"/>
      <c r="AQ697" s="200"/>
      <c r="AR697" s="200"/>
      <c r="AS697" s="200"/>
      <c r="AT697" s="200"/>
      <c r="AU697" s="200"/>
      <c r="AV697" s="200"/>
      <c r="AW697" s="200"/>
      <c r="AX697" s="200"/>
      <c r="AY697" s="200"/>
      <c r="AZ697" s="200"/>
      <c r="BA697" s="200"/>
      <c r="BB697" s="200"/>
      <c r="BC697" s="200"/>
      <c r="BD697" s="200"/>
    </row>
    <row r="698" spans="32:56" ht="24" customHeight="1" x14ac:dyDescent="0.25">
      <c r="AF698" s="200"/>
      <c r="AG698" s="200"/>
      <c r="AH698" s="200"/>
      <c r="AI698" s="200"/>
      <c r="AJ698" s="200"/>
      <c r="AK698" s="200"/>
      <c r="AL698" s="200"/>
      <c r="AM698" s="200"/>
      <c r="AN698" s="200"/>
      <c r="AO698" s="200"/>
      <c r="AP698" s="200"/>
      <c r="AQ698" s="200"/>
      <c r="AR698" s="200"/>
      <c r="AS698" s="200"/>
      <c r="AT698" s="200"/>
      <c r="AU698" s="200"/>
      <c r="AV698" s="200"/>
      <c r="AW698" s="200"/>
      <c r="AX698" s="200"/>
      <c r="AY698" s="200"/>
      <c r="AZ698" s="200"/>
      <c r="BA698" s="200"/>
      <c r="BB698" s="200"/>
      <c r="BC698" s="200"/>
      <c r="BD698" s="200"/>
    </row>
    <row r="699" spans="32:56" ht="24" customHeight="1" x14ac:dyDescent="0.25">
      <c r="AF699" s="200"/>
      <c r="AG699" s="200"/>
      <c r="AH699" s="200"/>
      <c r="AI699" s="200"/>
      <c r="AJ699" s="200"/>
      <c r="AK699" s="200"/>
      <c r="AL699" s="200"/>
      <c r="AM699" s="200"/>
      <c r="AN699" s="200"/>
      <c r="AO699" s="200"/>
      <c r="AP699" s="200"/>
      <c r="AQ699" s="200"/>
      <c r="AR699" s="200"/>
      <c r="AS699" s="200"/>
      <c r="AT699" s="200"/>
      <c r="AU699" s="200"/>
      <c r="AV699" s="200"/>
      <c r="AW699" s="200"/>
      <c r="AX699" s="200"/>
      <c r="AY699" s="200"/>
      <c r="AZ699" s="200"/>
      <c r="BA699" s="200"/>
      <c r="BB699" s="200"/>
      <c r="BC699" s="200"/>
      <c r="BD699" s="200"/>
    </row>
    <row r="700" spans="32:56" ht="24" customHeight="1" x14ac:dyDescent="0.25">
      <c r="AF700" s="200"/>
      <c r="AG700" s="200"/>
      <c r="AH700" s="200"/>
      <c r="AI700" s="200"/>
      <c r="AJ700" s="200"/>
      <c r="AK700" s="200"/>
      <c r="AL700" s="200"/>
      <c r="AM700" s="200"/>
      <c r="AN700" s="200"/>
      <c r="AO700" s="200"/>
      <c r="AP700" s="200"/>
      <c r="AQ700" s="200"/>
      <c r="AR700" s="200"/>
      <c r="AS700" s="200"/>
      <c r="AT700" s="200"/>
      <c r="AU700" s="200"/>
      <c r="AV700" s="200"/>
      <c r="AW700" s="200"/>
      <c r="AX700" s="200"/>
      <c r="AY700" s="200"/>
      <c r="AZ700" s="200"/>
      <c r="BA700" s="200"/>
      <c r="BB700" s="200"/>
      <c r="BC700" s="200"/>
      <c r="BD700" s="200"/>
    </row>
    <row r="701" spans="32:56" ht="24" customHeight="1" x14ac:dyDescent="0.25">
      <c r="AF701" s="200"/>
      <c r="AG701" s="200"/>
      <c r="AH701" s="200"/>
      <c r="AI701" s="200"/>
      <c r="AJ701" s="200"/>
      <c r="AK701" s="200"/>
      <c r="AL701" s="200"/>
      <c r="AM701" s="200"/>
      <c r="AN701" s="200"/>
      <c r="AO701" s="200"/>
      <c r="AP701" s="200"/>
      <c r="AQ701" s="200"/>
      <c r="AR701" s="200"/>
      <c r="AS701" s="200"/>
      <c r="AT701" s="200"/>
      <c r="AU701" s="200"/>
      <c r="AV701" s="200"/>
      <c r="AW701" s="200"/>
      <c r="AX701" s="200"/>
      <c r="AY701" s="200"/>
      <c r="AZ701" s="200"/>
      <c r="BA701" s="200"/>
      <c r="BB701" s="200"/>
      <c r="BC701" s="200"/>
      <c r="BD701" s="200"/>
    </row>
    <row r="702" spans="32:56" ht="24" customHeight="1" x14ac:dyDescent="0.25">
      <c r="AF702" s="200"/>
      <c r="AG702" s="200"/>
      <c r="AH702" s="200"/>
      <c r="AI702" s="200"/>
      <c r="AJ702" s="200"/>
      <c r="AK702" s="200"/>
      <c r="AL702" s="200"/>
      <c r="AM702" s="200"/>
      <c r="AN702" s="200"/>
      <c r="AO702" s="200"/>
      <c r="AP702" s="200"/>
      <c r="AQ702" s="200"/>
      <c r="AR702" s="200"/>
      <c r="AS702" s="200"/>
      <c r="AT702" s="200"/>
      <c r="AU702" s="200"/>
      <c r="AV702" s="200"/>
      <c r="AW702" s="200"/>
      <c r="AX702" s="200"/>
      <c r="AY702" s="200"/>
      <c r="AZ702" s="200"/>
      <c r="BA702" s="200"/>
      <c r="BB702" s="200"/>
      <c r="BC702" s="200"/>
      <c r="BD702" s="200"/>
    </row>
    <row r="703" spans="32:56" ht="24" customHeight="1" x14ac:dyDescent="0.25">
      <c r="AF703" s="200"/>
      <c r="AG703" s="200"/>
      <c r="AH703" s="200"/>
      <c r="AI703" s="200"/>
      <c r="AJ703" s="200"/>
      <c r="AK703" s="200"/>
      <c r="AL703" s="200"/>
      <c r="AM703" s="200"/>
      <c r="AN703" s="200"/>
      <c r="AO703" s="200"/>
      <c r="AP703" s="200"/>
      <c r="AQ703" s="200"/>
      <c r="AR703" s="200"/>
      <c r="AS703" s="200"/>
      <c r="AT703" s="200"/>
      <c r="AU703" s="200"/>
      <c r="AV703" s="200"/>
      <c r="AW703" s="200"/>
      <c r="AX703" s="200"/>
      <c r="AY703" s="200"/>
      <c r="AZ703" s="200"/>
      <c r="BA703" s="200"/>
      <c r="BB703" s="200"/>
      <c r="BC703" s="200"/>
      <c r="BD703" s="200"/>
    </row>
    <row r="704" spans="32:56" ht="24" customHeight="1" x14ac:dyDescent="0.25">
      <c r="AF704" s="200"/>
      <c r="AG704" s="200"/>
      <c r="AH704" s="200"/>
      <c r="AI704" s="200"/>
      <c r="AJ704" s="200"/>
      <c r="AK704" s="200"/>
      <c r="AL704" s="200"/>
      <c r="AM704" s="200"/>
      <c r="AN704" s="200"/>
      <c r="AO704" s="200"/>
      <c r="AP704" s="200"/>
      <c r="AQ704" s="200"/>
      <c r="AR704" s="200"/>
      <c r="AS704" s="200"/>
      <c r="AT704" s="200"/>
      <c r="AU704" s="200"/>
      <c r="AV704" s="200"/>
      <c r="AW704" s="200"/>
      <c r="AX704" s="200"/>
      <c r="AY704" s="200"/>
      <c r="AZ704" s="200"/>
      <c r="BA704" s="200"/>
      <c r="BB704" s="200"/>
      <c r="BC704" s="200"/>
      <c r="BD704" s="200"/>
    </row>
    <row r="705" spans="32:56" ht="24" customHeight="1" x14ac:dyDescent="0.25">
      <c r="AF705" s="200"/>
      <c r="AG705" s="200"/>
      <c r="AH705" s="200"/>
      <c r="AI705" s="200"/>
      <c r="AJ705" s="200"/>
      <c r="AK705" s="200"/>
      <c r="AL705" s="200"/>
      <c r="AM705" s="200"/>
      <c r="AN705" s="200"/>
      <c r="AO705" s="200"/>
      <c r="AP705" s="200"/>
      <c r="AQ705" s="200"/>
      <c r="AR705" s="200"/>
      <c r="AS705" s="200"/>
      <c r="AT705" s="200"/>
      <c r="AU705" s="200"/>
      <c r="AV705" s="200"/>
      <c r="AW705" s="200"/>
      <c r="AX705" s="200"/>
      <c r="AY705" s="200"/>
      <c r="AZ705" s="200"/>
      <c r="BA705" s="200"/>
      <c r="BB705" s="200"/>
      <c r="BC705" s="200"/>
      <c r="BD705" s="200"/>
    </row>
    <row r="706" spans="32:56" ht="24" customHeight="1" x14ac:dyDescent="0.25">
      <c r="AF706" s="200"/>
      <c r="AG706" s="200"/>
      <c r="AH706" s="200"/>
      <c r="AI706" s="200"/>
      <c r="AJ706" s="200"/>
      <c r="AK706" s="200"/>
      <c r="AL706" s="200"/>
      <c r="AM706" s="200"/>
      <c r="AN706" s="200"/>
      <c r="AO706" s="200"/>
      <c r="AP706" s="200"/>
      <c r="AQ706" s="200"/>
      <c r="AR706" s="200"/>
      <c r="AS706" s="200"/>
      <c r="AT706" s="200"/>
      <c r="AU706" s="200"/>
      <c r="AV706" s="200"/>
      <c r="AW706" s="200"/>
      <c r="AX706" s="200"/>
      <c r="AY706" s="200"/>
      <c r="AZ706" s="200"/>
      <c r="BA706" s="200"/>
      <c r="BB706" s="200"/>
      <c r="BC706" s="200"/>
      <c r="BD706" s="200"/>
    </row>
    <row r="707" spans="32:56" ht="24" customHeight="1" x14ac:dyDescent="0.25">
      <c r="AF707" s="200"/>
      <c r="AG707" s="200"/>
      <c r="AH707" s="200"/>
      <c r="AI707" s="200"/>
      <c r="AJ707" s="200"/>
      <c r="AK707" s="200"/>
      <c r="AL707" s="200"/>
      <c r="AM707" s="200"/>
      <c r="AN707" s="200"/>
      <c r="AO707" s="200"/>
      <c r="AP707" s="200"/>
      <c r="AQ707" s="200"/>
      <c r="AR707" s="200"/>
      <c r="AS707" s="200"/>
      <c r="AT707" s="200"/>
      <c r="AU707" s="200"/>
      <c r="AV707" s="200"/>
      <c r="AW707" s="200"/>
      <c r="AX707" s="200"/>
      <c r="AY707" s="200"/>
      <c r="AZ707" s="200"/>
      <c r="BA707" s="200"/>
      <c r="BB707" s="200"/>
      <c r="BC707" s="200"/>
      <c r="BD707" s="200"/>
    </row>
    <row r="708" spans="32:56" ht="24" customHeight="1" x14ac:dyDescent="0.25">
      <c r="AF708" s="200"/>
      <c r="AG708" s="200"/>
      <c r="AH708" s="200"/>
      <c r="AI708" s="200"/>
      <c r="AJ708" s="200"/>
      <c r="AK708" s="200"/>
      <c r="AL708" s="200"/>
      <c r="AM708" s="200"/>
      <c r="AN708" s="200"/>
      <c r="AO708" s="200"/>
      <c r="AP708" s="200"/>
      <c r="AQ708" s="200"/>
      <c r="AR708" s="200"/>
      <c r="AS708" s="200"/>
      <c r="AT708" s="200"/>
      <c r="AU708" s="200"/>
      <c r="AV708" s="200"/>
      <c r="AW708" s="200"/>
      <c r="AX708" s="200"/>
      <c r="AY708" s="200"/>
      <c r="AZ708" s="200"/>
      <c r="BA708" s="200"/>
      <c r="BB708" s="200"/>
      <c r="BC708" s="200"/>
      <c r="BD708" s="200"/>
    </row>
    <row r="709" spans="32:56" ht="24" customHeight="1" x14ac:dyDescent="0.25">
      <c r="AF709" s="200"/>
      <c r="AG709" s="200"/>
      <c r="AH709" s="200"/>
      <c r="AI709" s="200"/>
      <c r="AJ709" s="200"/>
      <c r="AK709" s="200"/>
      <c r="AL709" s="200"/>
      <c r="AM709" s="200"/>
      <c r="AN709" s="200"/>
      <c r="AO709" s="200"/>
      <c r="AP709" s="200"/>
      <c r="AQ709" s="200"/>
      <c r="AR709" s="200"/>
      <c r="AS709" s="200"/>
      <c r="AT709" s="200"/>
      <c r="AU709" s="200"/>
      <c r="AV709" s="200"/>
      <c r="AW709" s="200"/>
      <c r="AX709" s="200"/>
      <c r="AY709" s="200"/>
      <c r="AZ709" s="200"/>
      <c r="BA709" s="200"/>
      <c r="BB709" s="200"/>
      <c r="BC709" s="200"/>
      <c r="BD709" s="200"/>
    </row>
    <row r="710" spans="32:56" ht="24" customHeight="1" x14ac:dyDescent="0.25">
      <c r="AF710" s="200"/>
      <c r="AG710" s="200"/>
      <c r="AH710" s="200"/>
      <c r="AI710" s="200"/>
      <c r="AJ710" s="200"/>
      <c r="AK710" s="200"/>
      <c r="AL710" s="200"/>
      <c r="AM710" s="200"/>
      <c r="AN710" s="200"/>
      <c r="AO710" s="200"/>
      <c r="AP710" s="200"/>
      <c r="AQ710" s="200"/>
      <c r="AR710" s="200"/>
      <c r="AS710" s="200"/>
      <c r="AT710" s="200"/>
      <c r="AU710" s="200"/>
      <c r="AV710" s="200"/>
      <c r="AW710" s="200"/>
      <c r="AX710" s="200"/>
      <c r="AY710" s="200"/>
      <c r="AZ710" s="200"/>
      <c r="BA710" s="200"/>
      <c r="BB710" s="200"/>
      <c r="BC710" s="200"/>
      <c r="BD710" s="200"/>
    </row>
    <row r="711" spans="32:56" ht="24" customHeight="1" x14ac:dyDescent="0.25">
      <c r="AF711" s="200"/>
      <c r="AG711" s="200"/>
      <c r="AH711" s="200"/>
      <c r="AI711" s="200"/>
      <c r="AJ711" s="200"/>
      <c r="AK711" s="200"/>
      <c r="AL711" s="200"/>
      <c r="AM711" s="200"/>
      <c r="AN711" s="200"/>
      <c r="AO711" s="200"/>
      <c r="AP711" s="200"/>
      <c r="AQ711" s="200"/>
      <c r="AR711" s="200"/>
      <c r="AS711" s="200"/>
      <c r="AT711" s="200"/>
      <c r="AU711" s="200"/>
      <c r="AV711" s="200"/>
      <c r="AW711" s="200"/>
      <c r="AX711" s="200"/>
      <c r="AY711" s="200"/>
      <c r="AZ711" s="200"/>
      <c r="BA711" s="200"/>
      <c r="BB711" s="200"/>
      <c r="BC711" s="200"/>
      <c r="BD711" s="200"/>
    </row>
    <row r="712" spans="32:56" ht="24" customHeight="1" x14ac:dyDescent="0.25">
      <c r="AF712" s="200"/>
      <c r="AG712" s="200"/>
      <c r="AH712" s="200"/>
      <c r="AI712" s="200"/>
      <c r="AJ712" s="200"/>
      <c r="AK712" s="200"/>
      <c r="AL712" s="200"/>
      <c r="AM712" s="200"/>
      <c r="AN712" s="200"/>
      <c r="AO712" s="200"/>
      <c r="AP712" s="200"/>
      <c r="AQ712" s="200"/>
      <c r="AR712" s="200"/>
      <c r="AS712" s="200"/>
      <c r="AT712" s="200"/>
      <c r="AU712" s="200"/>
      <c r="AV712" s="200"/>
      <c r="AW712" s="200"/>
      <c r="AX712" s="200"/>
      <c r="AY712" s="200"/>
      <c r="AZ712" s="200"/>
      <c r="BA712" s="200"/>
      <c r="BB712" s="200"/>
      <c r="BC712" s="200"/>
      <c r="BD712" s="200"/>
    </row>
    <row r="713" spans="32:56" ht="24" customHeight="1" x14ac:dyDescent="0.25">
      <c r="AF713" s="200"/>
      <c r="AG713" s="200"/>
      <c r="AH713" s="200"/>
      <c r="AI713" s="200"/>
      <c r="AJ713" s="200"/>
      <c r="AK713" s="200"/>
      <c r="AL713" s="200"/>
      <c r="AM713" s="200"/>
      <c r="AN713" s="200"/>
      <c r="AO713" s="200"/>
      <c r="AP713" s="200"/>
      <c r="AQ713" s="200"/>
      <c r="AR713" s="200"/>
      <c r="AS713" s="200"/>
      <c r="AT713" s="200"/>
      <c r="AU713" s="200"/>
      <c r="AV713" s="200"/>
      <c r="AW713" s="200"/>
      <c r="AX713" s="200"/>
      <c r="AY713" s="200"/>
      <c r="AZ713" s="200"/>
      <c r="BA713" s="200"/>
      <c r="BB713" s="200"/>
      <c r="BC713" s="200"/>
      <c r="BD713" s="200"/>
    </row>
    <row r="714" spans="32:56" ht="24" customHeight="1" x14ac:dyDescent="0.25">
      <c r="AF714" s="200"/>
      <c r="AG714" s="200"/>
      <c r="AH714" s="200"/>
      <c r="AI714" s="200"/>
      <c r="AJ714" s="200"/>
      <c r="AK714" s="200"/>
      <c r="AL714" s="200"/>
      <c r="AM714" s="200"/>
      <c r="AN714" s="200"/>
      <c r="AO714" s="200"/>
      <c r="AP714" s="200"/>
      <c r="AQ714" s="200"/>
      <c r="AR714" s="200"/>
      <c r="AS714" s="200"/>
      <c r="AT714" s="200"/>
      <c r="AU714" s="200"/>
      <c r="AV714" s="200"/>
      <c r="AW714" s="200"/>
      <c r="AX714" s="200"/>
      <c r="AY714" s="200"/>
      <c r="AZ714" s="200"/>
      <c r="BA714" s="200"/>
      <c r="BB714" s="200"/>
      <c r="BC714" s="200"/>
      <c r="BD714" s="200"/>
    </row>
    <row r="715" spans="32:56" ht="24" customHeight="1" x14ac:dyDescent="0.25">
      <c r="AF715" s="200"/>
      <c r="AG715" s="200"/>
      <c r="AH715" s="200"/>
      <c r="AI715" s="200"/>
      <c r="AJ715" s="200"/>
      <c r="AK715" s="200"/>
      <c r="AL715" s="200"/>
      <c r="AM715" s="200"/>
      <c r="AN715" s="200"/>
      <c r="AO715" s="200"/>
      <c r="AP715" s="200"/>
      <c r="AQ715" s="200"/>
      <c r="AR715" s="200"/>
      <c r="AS715" s="200"/>
      <c r="AT715" s="200"/>
      <c r="AU715" s="200"/>
      <c r="AV715" s="200"/>
      <c r="AW715" s="200"/>
      <c r="AX715" s="200"/>
      <c r="AY715" s="200"/>
      <c r="AZ715" s="200"/>
      <c r="BA715" s="200"/>
      <c r="BB715" s="200"/>
      <c r="BC715" s="200"/>
      <c r="BD715" s="200"/>
    </row>
    <row r="716" spans="32:56" ht="24" customHeight="1" x14ac:dyDescent="0.25">
      <c r="AF716" s="200"/>
      <c r="AG716" s="200"/>
      <c r="AH716" s="200"/>
      <c r="AI716" s="200"/>
      <c r="AJ716" s="200"/>
      <c r="AK716" s="200"/>
      <c r="AL716" s="200"/>
      <c r="AM716" s="200"/>
      <c r="AN716" s="200"/>
      <c r="AO716" s="200"/>
      <c r="AP716" s="200"/>
      <c r="AQ716" s="200"/>
      <c r="AR716" s="200"/>
      <c r="AS716" s="200"/>
      <c r="AT716" s="200"/>
      <c r="AU716" s="200"/>
      <c r="AV716" s="200"/>
      <c r="AW716" s="200"/>
      <c r="AX716" s="200"/>
      <c r="AY716" s="200"/>
      <c r="AZ716" s="200"/>
      <c r="BA716" s="200"/>
      <c r="BB716" s="200"/>
      <c r="BC716" s="200"/>
      <c r="BD716" s="200"/>
    </row>
    <row r="717" spans="32:56" ht="24" customHeight="1" x14ac:dyDescent="0.25">
      <c r="AF717" s="200"/>
      <c r="AG717" s="200"/>
      <c r="AH717" s="200"/>
      <c r="AI717" s="200"/>
      <c r="AJ717" s="200"/>
      <c r="AK717" s="200"/>
      <c r="AL717" s="200"/>
      <c r="AM717" s="200"/>
      <c r="AN717" s="200"/>
      <c r="AO717" s="200"/>
      <c r="AP717" s="200"/>
      <c r="AQ717" s="200"/>
      <c r="AR717" s="200"/>
      <c r="AS717" s="200"/>
      <c r="AT717" s="200"/>
      <c r="AU717" s="200"/>
      <c r="AV717" s="200"/>
      <c r="AW717" s="200"/>
      <c r="AX717" s="200"/>
      <c r="AY717" s="200"/>
      <c r="AZ717" s="200"/>
      <c r="BA717" s="200"/>
      <c r="BB717" s="200"/>
      <c r="BC717" s="200"/>
      <c r="BD717" s="200"/>
    </row>
    <row r="718" spans="32:56" ht="24" customHeight="1" x14ac:dyDescent="0.25">
      <c r="AF718" s="200"/>
      <c r="AG718" s="200"/>
      <c r="AH718" s="200"/>
      <c r="AI718" s="200"/>
      <c r="AJ718" s="200"/>
      <c r="AK718" s="200"/>
      <c r="AL718" s="200"/>
      <c r="AM718" s="200"/>
      <c r="AN718" s="200"/>
      <c r="AO718" s="200"/>
      <c r="AP718" s="200"/>
      <c r="AQ718" s="200"/>
      <c r="AR718" s="200"/>
      <c r="AS718" s="200"/>
      <c r="AT718" s="200"/>
      <c r="AU718" s="200"/>
      <c r="AV718" s="200"/>
      <c r="AW718" s="200"/>
      <c r="AX718" s="200"/>
      <c r="AY718" s="200"/>
      <c r="AZ718" s="200"/>
      <c r="BA718" s="200"/>
      <c r="BB718" s="200"/>
      <c r="BC718" s="200"/>
      <c r="BD718" s="200"/>
    </row>
    <row r="719" spans="32:56" ht="24" customHeight="1" x14ac:dyDescent="0.25">
      <c r="AF719" s="200"/>
      <c r="AG719" s="200"/>
      <c r="AH719" s="200"/>
      <c r="AI719" s="200"/>
      <c r="AJ719" s="200"/>
      <c r="AK719" s="200"/>
      <c r="AL719" s="200"/>
      <c r="AM719" s="200"/>
      <c r="AN719" s="200"/>
      <c r="AO719" s="200"/>
      <c r="AP719" s="200"/>
      <c r="AQ719" s="200"/>
      <c r="AR719" s="200"/>
      <c r="AS719" s="200"/>
      <c r="AT719" s="200"/>
      <c r="AU719" s="200"/>
      <c r="AV719" s="200"/>
      <c r="AW719" s="200"/>
      <c r="AX719" s="200"/>
      <c r="AY719" s="200"/>
      <c r="AZ719" s="200"/>
      <c r="BA719" s="200"/>
      <c r="BB719" s="200"/>
      <c r="BC719" s="200"/>
      <c r="BD719" s="200"/>
    </row>
    <row r="720" spans="32:56" ht="24" customHeight="1" x14ac:dyDescent="0.25">
      <c r="AF720" s="200"/>
      <c r="AG720" s="200"/>
      <c r="AH720" s="200"/>
      <c r="AI720" s="200"/>
      <c r="AJ720" s="200"/>
      <c r="AK720" s="200"/>
      <c r="AL720" s="200"/>
      <c r="AM720" s="200"/>
      <c r="AN720" s="200"/>
      <c r="AO720" s="200"/>
      <c r="AP720" s="200"/>
      <c r="AQ720" s="200"/>
      <c r="AR720" s="200"/>
      <c r="AS720" s="200"/>
      <c r="AT720" s="200"/>
      <c r="AU720" s="200"/>
      <c r="AV720" s="200"/>
      <c r="AW720" s="200"/>
      <c r="AX720" s="200"/>
      <c r="AY720" s="200"/>
      <c r="AZ720" s="200"/>
      <c r="BA720" s="200"/>
      <c r="BB720" s="200"/>
      <c r="BC720" s="200"/>
      <c r="BD720" s="200"/>
    </row>
    <row r="721" spans="32:56" ht="24" customHeight="1" x14ac:dyDescent="0.25">
      <c r="AF721" s="200"/>
      <c r="AG721" s="200"/>
      <c r="AH721" s="200"/>
      <c r="AI721" s="200"/>
      <c r="AJ721" s="200"/>
      <c r="AK721" s="200"/>
      <c r="AL721" s="200"/>
      <c r="AM721" s="200"/>
      <c r="AN721" s="200"/>
      <c r="AO721" s="200"/>
      <c r="AP721" s="200"/>
      <c r="AQ721" s="200"/>
      <c r="AR721" s="200"/>
      <c r="AS721" s="200"/>
      <c r="AT721" s="200"/>
      <c r="AU721" s="200"/>
      <c r="AV721" s="200"/>
      <c r="AW721" s="200"/>
      <c r="AX721" s="200"/>
      <c r="AY721" s="200"/>
      <c r="AZ721" s="200"/>
      <c r="BA721" s="200"/>
      <c r="BB721" s="200"/>
      <c r="BC721" s="200"/>
      <c r="BD721" s="200"/>
    </row>
    <row r="722" spans="32:56" ht="24" customHeight="1" x14ac:dyDescent="0.25">
      <c r="AF722" s="200"/>
      <c r="AG722" s="200"/>
      <c r="AH722" s="200"/>
      <c r="AI722" s="200"/>
      <c r="AJ722" s="200"/>
      <c r="AK722" s="200"/>
      <c r="AL722" s="200"/>
      <c r="AM722" s="200"/>
      <c r="AN722" s="200"/>
      <c r="AO722" s="200"/>
      <c r="AP722" s="200"/>
      <c r="AQ722" s="200"/>
      <c r="AR722" s="200"/>
      <c r="AS722" s="200"/>
      <c r="AT722" s="200"/>
      <c r="AU722" s="200"/>
      <c r="AV722" s="200"/>
      <c r="AW722" s="200"/>
      <c r="AX722" s="200"/>
      <c r="AY722" s="200"/>
      <c r="AZ722" s="200"/>
      <c r="BA722" s="200"/>
      <c r="BB722" s="200"/>
      <c r="BC722" s="200"/>
      <c r="BD722" s="200"/>
    </row>
    <row r="723" spans="32:56" ht="24" customHeight="1" x14ac:dyDescent="0.25">
      <c r="AF723" s="200"/>
      <c r="AG723" s="200"/>
      <c r="AH723" s="200"/>
      <c r="AI723" s="200"/>
      <c r="AJ723" s="200"/>
      <c r="AK723" s="200"/>
      <c r="AL723" s="200"/>
      <c r="AM723" s="200"/>
      <c r="AN723" s="200"/>
      <c r="AO723" s="200"/>
      <c r="AP723" s="200"/>
      <c r="AQ723" s="200"/>
      <c r="AR723" s="200"/>
      <c r="AS723" s="200"/>
      <c r="AT723" s="200"/>
      <c r="AU723" s="200"/>
      <c r="AV723" s="200"/>
      <c r="AW723" s="200"/>
      <c r="AX723" s="200"/>
      <c r="AY723" s="200"/>
      <c r="AZ723" s="200"/>
      <c r="BA723" s="200"/>
      <c r="BB723" s="200"/>
      <c r="BC723" s="200"/>
      <c r="BD723" s="200"/>
    </row>
    <row r="724" spans="32:56" ht="24" customHeight="1" x14ac:dyDescent="0.25">
      <c r="AF724" s="200"/>
      <c r="AG724" s="200"/>
      <c r="AH724" s="200"/>
      <c r="AI724" s="200"/>
      <c r="AJ724" s="200"/>
      <c r="AK724" s="200"/>
      <c r="AL724" s="200"/>
      <c r="AM724" s="200"/>
      <c r="AN724" s="200"/>
      <c r="AO724" s="200"/>
      <c r="AP724" s="200"/>
      <c r="AQ724" s="200"/>
      <c r="AR724" s="200"/>
      <c r="AS724" s="200"/>
      <c r="AT724" s="200"/>
      <c r="AU724" s="200"/>
      <c r="AV724" s="200"/>
      <c r="AW724" s="200"/>
      <c r="AX724" s="200"/>
      <c r="AY724" s="200"/>
      <c r="AZ724" s="200"/>
      <c r="BA724" s="200"/>
      <c r="BB724" s="200"/>
      <c r="BC724" s="200"/>
      <c r="BD724" s="200"/>
    </row>
    <row r="725" spans="32:56" ht="24" customHeight="1" x14ac:dyDescent="0.25">
      <c r="AF725" s="200"/>
      <c r="AG725" s="200"/>
      <c r="AH725" s="200"/>
      <c r="AI725" s="200"/>
      <c r="AJ725" s="200"/>
      <c r="AK725" s="200"/>
      <c r="AL725" s="200"/>
      <c r="AM725" s="200"/>
      <c r="AN725" s="200"/>
      <c r="AO725" s="200"/>
      <c r="AP725" s="200"/>
      <c r="AQ725" s="200"/>
      <c r="AR725" s="200"/>
      <c r="AS725" s="200"/>
      <c r="AT725" s="200"/>
      <c r="AU725" s="200"/>
      <c r="AV725" s="200"/>
      <c r="AW725" s="200"/>
      <c r="AX725" s="200"/>
      <c r="AY725" s="200"/>
      <c r="AZ725" s="200"/>
      <c r="BA725" s="200"/>
      <c r="BB725" s="200"/>
      <c r="BC725" s="200"/>
      <c r="BD725" s="200"/>
    </row>
    <row r="726" spans="32:56" ht="24" customHeight="1" x14ac:dyDescent="0.25">
      <c r="AF726" s="200"/>
      <c r="AG726" s="200"/>
      <c r="AH726" s="200"/>
      <c r="AI726" s="200"/>
      <c r="AJ726" s="200"/>
      <c r="AK726" s="200"/>
      <c r="AL726" s="200"/>
      <c r="AM726" s="200"/>
      <c r="AN726" s="200"/>
      <c r="AO726" s="200"/>
      <c r="AP726" s="200"/>
      <c r="AQ726" s="200"/>
      <c r="AR726" s="200"/>
      <c r="AS726" s="200"/>
      <c r="AT726" s="200"/>
      <c r="AU726" s="200"/>
      <c r="AV726" s="200"/>
      <c r="AW726" s="200"/>
      <c r="AX726" s="200"/>
      <c r="AY726" s="200"/>
      <c r="AZ726" s="200"/>
      <c r="BA726" s="200"/>
      <c r="BB726" s="200"/>
      <c r="BC726" s="200"/>
      <c r="BD726" s="200"/>
    </row>
    <row r="727" spans="32:56" ht="24" customHeight="1" x14ac:dyDescent="0.25">
      <c r="AF727" s="200"/>
      <c r="AG727" s="200"/>
      <c r="AH727" s="200"/>
      <c r="AI727" s="200"/>
      <c r="AJ727" s="200"/>
      <c r="AK727" s="200"/>
      <c r="AL727" s="200"/>
      <c r="AM727" s="200"/>
      <c r="AN727" s="200"/>
      <c r="AO727" s="200"/>
      <c r="AP727" s="200"/>
      <c r="AQ727" s="200"/>
      <c r="AR727" s="200"/>
      <c r="AS727" s="200"/>
      <c r="AT727" s="200"/>
      <c r="AU727" s="200"/>
      <c r="AV727" s="200"/>
      <c r="AW727" s="200"/>
      <c r="AX727" s="200"/>
      <c r="AY727" s="200"/>
      <c r="AZ727" s="200"/>
      <c r="BA727" s="200"/>
      <c r="BB727" s="200"/>
      <c r="BC727" s="200"/>
      <c r="BD727" s="200"/>
    </row>
    <row r="728" spans="32:56" ht="24" customHeight="1" x14ac:dyDescent="0.25">
      <c r="AF728" s="200"/>
      <c r="AG728" s="200"/>
      <c r="AH728" s="200"/>
      <c r="AI728" s="200"/>
      <c r="AJ728" s="200"/>
      <c r="AK728" s="200"/>
      <c r="AL728" s="200"/>
      <c r="AM728" s="200"/>
      <c r="AN728" s="200"/>
      <c r="AO728" s="200"/>
      <c r="AP728" s="200"/>
      <c r="AQ728" s="200"/>
      <c r="AR728" s="200"/>
      <c r="AS728" s="200"/>
      <c r="AT728" s="200"/>
      <c r="AU728" s="200"/>
      <c r="AV728" s="200"/>
      <c r="AW728" s="200"/>
      <c r="AX728" s="200"/>
      <c r="AY728" s="200"/>
      <c r="AZ728" s="200"/>
      <c r="BA728" s="200"/>
      <c r="BB728" s="200"/>
      <c r="BC728" s="200"/>
      <c r="BD728" s="200"/>
    </row>
    <row r="729" spans="32:56" ht="24" customHeight="1" x14ac:dyDescent="0.25">
      <c r="AF729" s="200"/>
      <c r="AG729" s="200"/>
      <c r="AH729" s="200"/>
      <c r="AI729" s="200"/>
      <c r="AJ729" s="200"/>
      <c r="AK729" s="200"/>
      <c r="AL729" s="200"/>
      <c r="AM729" s="200"/>
      <c r="AN729" s="200"/>
      <c r="AO729" s="200"/>
      <c r="AP729" s="200"/>
      <c r="AQ729" s="200"/>
      <c r="AR729" s="200"/>
      <c r="AS729" s="200"/>
      <c r="AT729" s="200"/>
      <c r="AU729" s="200"/>
      <c r="AV729" s="200"/>
      <c r="AW729" s="200"/>
      <c r="AX729" s="200"/>
      <c r="AY729" s="200"/>
      <c r="AZ729" s="200"/>
      <c r="BA729" s="200"/>
      <c r="BB729" s="200"/>
      <c r="BC729" s="200"/>
      <c r="BD729" s="200"/>
    </row>
    <row r="730" spans="32:56" ht="24" customHeight="1" x14ac:dyDescent="0.25">
      <c r="AF730" s="200"/>
      <c r="AG730" s="200"/>
      <c r="AH730" s="200"/>
      <c r="AI730" s="200"/>
      <c r="AJ730" s="200"/>
      <c r="AK730" s="200"/>
      <c r="AL730" s="200"/>
      <c r="AM730" s="200"/>
      <c r="AN730" s="200"/>
      <c r="AO730" s="200"/>
      <c r="AP730" s="200"/>
      <c r="AQ730" s="200"/>
      <c r="AR730" s="200"/>
      <c r="AS730" s="200"/>
      <c r="AT730" s="200"/>
      <c r="AU730" s="200"/>
      <c r="AV730" s="200"/>
      <c r="AW730" s="200"/>
      <c r="AX730" s="200"/>
      <c r="AY730" s="200"/>
      <c r="AZ730" s="200"/>
      <c r="BA730" s="200"/>
      <c r="BB730" s="200"/>
      <c r="BC730" s="200"/>
      <c r="BD730" s="200"/>
    </row>
    <row r="731" spans="32:56" ht="24" customHeight="1" x14ac:dyDescent="0.25">
      <c r="AF731" s="200"/>
      <c r="AG731" s="200"/>
      <c r="AH731" s="200"/>
      <c r="AI731" s="200"/>
      <c r="AJ731" s="200"/>
      <c r="AK731" s="200"/>
      <c r="AL731" s="200"/>
      <c r="AM731" s="200"/>
      <c r="AN731" s="200"/>
      <c r="AO731" s="200"/>
      <c r="AP731" s="200"/>
      <c r="AQ731" s="200"/>
      <c r="AR731" s="200"/>
      <c r="AS731" s="200"/>
      <c r="AT731" s="200"/>
      <c r="AU731" s="200"/>
      <c r="AV731" s="200"/>
      <c r="AW731" s="200"/>
      <c r="AX731" s="200"/>
      <c r="AY731" s="200"/>
      <c r="AZ731" s="200"/>
      <c r="BA731" s="200"/>
      <c r="BB731" s="200"/>
      <c r="BC731" s="200"/>
      <c r="BD731" s="200"/>
    </row>
    <row r="732" spans="32:56" ht="24" customHeight="1" x14ac:dyDescent="0.25">
      <c r="AF732" s="200"/>
      <c r="AG732" s="200"/>
      <c r="AH732" s="200"/>
      <c r="AI732" s="200"/>
      <c r="AJ732" s="200"/>
      <c r="AK732" s="200"/>
      <c r="AL732" s="200"/>
      <c r="AM732" s="200"/>
      <c r="AN732" s="200"/>
      <c r="AO732" s="200"/>
      <c r="AP732" s="200"/>
      <c r="AQ732" s="200"/>
      <c r="AR732" s="200"/>
      <c r="AS732" s="200"/>
      <c r="AT732" s="200"/>
      <c r="AU732" s="200"/>
      <c r="AV732" s="200"/>
      <c r="AW732" s="200"/>
      <c r="AX732" s="200"/>
      <c r="AY732" s="200"/>
      <c r="AZ732" s="200"/>
      <c r="BA732" s="200"/>
      <c r="BB732" s="200"/>
      <c r="BC732" s="200"/>
      <c r="BD732" s="200"/>
    </row>
    <row r="733" spans="32:56" ht="24" customHeight="1" x14ac:dyDescent="0.25">
      <c r="AF733" s="200"/>
      <c r="AG733" s="200"/>
      <c r="AH733" s="200"/>
      <c r="AI733" s="200"/>
      <c r="AJ733" s="200"/>
      <c r="AK733" s="200"/>
      <c r="AL733" s="200"/>
      <c r="AM733" s="200"/>
      <c r="AN733" s="200"/>
      <c r="AO733" s="200"/>
      <c r="AP733" s="200"/>
      <c r="AQ733" s="200"/>
      <c r="AR733" s="200"/>
      <c r="AS733" s="200"/>
      <c r="AT733" s="200"/>
      <c r="AU733" s="200"/>
      <c r="AV733" s="200"/>
      <c r="AW733" s="200"/>
      <c r="AX733" s="200"/>
      <c r="AY733" s="200"/>
      <c r="AZ733" s="200"/>
      <c r="BA733" s="200"/>
      <c r="BB733" s="200"/>
      <c r="BC733" s="200"/>
      <c r="BD733" s="200"/>
    </row>
    <row r="734" spans="32:56" ht="24" customHeight="1" x14ac:dyDescent="0.25">
      <c r="AF734" s="200"/>
      <c r="AG734" s="200"/>
      <c r="AH734" s="200"/>
      <c r="AI734" s="200"/>
      <c r="AJ734" s="200"/>
      <c r="AK734" s="200"/>
      <c r="AL734" s="200"/>
      <c r="AM734" s="200"/>
      <c r="AN734" s="200"/>
      <c r="AO734" s="200"/>
      <c r="AP734" s="200"/>
      <c r="AQ734" s="200"/>
      <c r="AR734" s="200"/>
      <c r="AS734" s="200"/>
      <c r="AT734" s="200"/>
      <c r="AU734" s="200"/>
      <c r="AV734" s="200"/>
      <c r="AW734" s="200"/>
      <c r="AX734" s="200"/>
      <c r="AY734" s="200"/>
      <c r="AZ734" s="200"/>
      <c r="BA734" s="200"/>
      <c r="BB734" s="200"/>
      <c r="BC734" s="200"/>
      <c r="BD734" s="200"/>
    </row>
    <row r="735" spans="32:56" ht="24" customHeight="1" x14ac:dyDescent="0.25">
      <c r="AF735" s="200"/>
      <c r="AG735" s="200"/>
      <c r="AH735" s="200"/>
      <c r="AI735" s="200"/>
      <c r="AJ735" s="200"/>
      <c r="AK735" s="200"/>
      <c r="AL735" s="200"/>
      <c r="AM735" s="200"/>
      <c r="AN735" s="200"/>
      <c r="AO735" s="200"/>
      <c r="AP735" s="200"/>
      <c r="AQ735" s="200"/>
      <c r="AR735" s="200"/>
      <c r="AS735" s="200"/>
      <c r="AT735" s="200"/>
      <c r="AU735" s="200"/>
      <c r="AV735" s="200"/>
      <c r="AW735" s="200"/>
      <c r="AX735" s="200"/>
      <c r="AY735" s="200"/>
      <c r="AZ735" s="200"/>
      <c r="BA735" s="200"/>
      <c r="BB735" s="200"/>
      <c r="BC735" s="200"/>
      <c r="BD735" s="200"/>
    </row>
    <row r="736" spans="32:56" ht="24" customHeight="1" x14ac:dyDescent="0.25">
      <c r="AF736" s="200"/>
      <c r="AG736" s="200"/>
      <c r="AH736" s="200"/>
      <c r="AI736" s="200"/>
      <c r="AJ736" s="200"/>
      <c r="AK736" s="200"/>
      <c r="AL736" s="200"/>
      <c r="AM736" s="200"/>
      <c r="AN736" s="200"/>
      <c r="AO736" s="200"/>
      <c r="AP736" s="200"/>
      <c r="AQ736" s="200"/>
      <c r="AR736" s="200"/>
      <c r="AS736" s="200"/>
      <c r="AT736" s="200"/>
      <c r="AU736" s="200"/>
      <c r="AV736" s="200"/>
      <c r="AW736" s="200"/>
      <c r="AX736" s="200"/>
      <c r="AY736" s="200"/>
      <c r="AZ736" s="200"/>
      <c r="BA736" s="200"/>
      <c r="BB736" s="200"/>
      <c r="BC736" s="200"/>
      <c r="BD736" s="200"/>
    </row>
    <row r="737" spans="32:56" ht="24" customHeight="1" x14ac:dyDescent="0.25">
      <c r="AF737" s="200"/>
      <c r="AG737" s="200"/>
      <c r="AH737" s="200"/>
      <c r="AI737" s="200"/>
      <c r="AJ737" s="200"/>
      <c r="AK737" s="200"/>
      <c r="AL737" s="200"/>
      <c r="AM737" s="200"/>
      <c r="AN737" s="200"/>
      <c r="AO737" s="200"/>
      <c r="AP737" s="200"/>
      <c r="AQ737" s="200"/>
      <c r="AR737" s="200"/>
      <c r="AS737" s="200"/>
      <c r="AT737" s="200"/>
      <c r="AU737" s="200"/>
      <c r="AV737" s="200"/>
      <c r="AW737" s="200"/>
      <c r="AX737" s="200"/>
      <c r="AY737" s="200"/>
      <c r="AZ737" s="200"/>
      <c r="BA737" s="200"/>
      <c r="BB737" s="200"/>
      <c r="BC737" s="200"/>
      <c r="BD737" s="200"/>
    </row>
    <row r="738" spans="32:56" ht="24" customHeight="1" x14ac:dyDescent="0.25">
      <c r="AF738" s="200"/>
      <c r="AG738" s="200"/>
      <c r="AH738" s="200"/>
      <c r="AI738" s="200"/>
      <c r="AJ738" s="200"/>
      <c r="AK738" s="200"/>
      <c r="AL738" s="200"/>
      <c r="AM738" s="200"/>
      <c r="AN738" s="200"/>
      <c r="AO738" s="200"/>
      <c r="AP738" s="200"/>
      <c r="AQ738" s="200"/>
      <c r="AR738" s="200"/>
      <c r="AS738" s="200"/>
      <c r="AT738" s="200"/>
      <c r="AU738" s="200"/>
      <c r="AV738" s="200"/>
      <c r="AW738" s="200"/>
      <c r="AX738" s="200"/>
      <c r="AY738" s="200"/>
      <c r="AZ738" s="200"/>
      <c r="BA738" s="200"/>
      <c r="BB738" s="200"/>
      <c r="BC738" s="200"/>
      <c r="BD738" s="200"/>
    </row>
    <row r="739" spans="32:56" ht="24" customHeight="1" x14ac:dyDescent="0.25">
      <c r="AF739" s="200"/>
      <c r="AG739" s="200"/>
      <c r="AH739" s="200"/>
      <c r="AI739" s="200"/>
      <c r="AJ739" s="200"/>
      <c r="AK739" s="200"/>
      <c r="AL739" s="200"/>
      <c r="AM739" s="200"/>
      <c r="AN739" s="200"/>
      <c r="AO739" s="200"/>
      <c r="AP739" s="200"/>
      <c r="AQ739" s="200"/>
      <c r="AR739" s="200"/>
      <c r="AS739" s="200"/>
      <c r="AT739" s="200"/>
      <c r="AU739" s="200"/>
      <c r="AV739" s="200"/>
      <c r="AW739" s="200"/>
      <c r="AX739" s="200"/>
      <c r="AY739" s="200"/>
      <c r="AZ739" s="200"/>
      <c r="BA739" s="200"/>
      <c r="BB739" s="200"/>
      <c r="BC739" s="200"/>
      <c r="BD739" s="200"/>
    </row>
    <row r="740" spans="32:56" ht="24" customHeight="1" x14ac:dyDescent="0.25">
      <c r="AF740" s="200"/>
      <c r="AG740" s="200"/>
      <c r="AH740" s="200"/>
      <c r="AI740" s="200"/>
      <c r="AJ740" s="200"/>
      <c r="AK740" s="200"/>
      <c r="AL740" s="200"/>
      <c r="AM740" s="200"/>
      <c r="AN740" s="200"/>
      <c r="AO740" s="200"/>
      <c r="AP740" s="200"/>
      <c r="AQ740" s="200"/>
      <c r="AR740" s="200"/>
      <c r="AS740" s="200"/>
      <c r="AT740" s="200"/>
      <c r="AU740" s="200"/>
      <c r="AV740" s="200"/>
      <c r="AW740" s="200"/>
      <c r="AX740" s="200"/>
      <c r="AY740" s="200"/>
      <c r="AZ740" s="200"/>
      <c r="BA740" s="200"/>
      <c r="BB740" s="200"/>
      <c r="BC740" s="200"/>
      <c r="BD740" s="200"/>
    </row>
    <row r="741" spans="32:56" ht="24" customHeight="1" x14ac:dyDescent="0.25">
      <c r="AF741" s="200"/>
      <c r="AG741" s="200"/>
      <c r="AH741" s="200"/>
      <c r="AI741" s="200"/>
      <c r="AJ741" s="200"/>
      <c r="AK741" s="200"/>
      <c r="AL741" s="200"/>
      <c r="AM741" s="200"/>
      <c r="AN741" s="200"/>
      <c r="AO741" s="200"/>
      <c r="AP741" s="200"/>
      <c r="AQ741" s="200"/>
      <c r="AR741" s="200"/>
      <c r="AS741" s="200"/>
      <c r="AT741" s="200"/>
      <c r="AU741" s="200"/>
      <c r="AV741" s="200"/>
      <c r="AW741" s="200"/>
      <c r="AX741" s="200"/>
      <c r="AY741" s="200"/>
      <c r="AZ741" s="200"/>
      <c r="BA741" s="200"/>
      <c r="BB741" s="200"/>
      <c r="BC741" s="200"/>
      <c r="BD741" s="200"/>
    </row>
    <row r="742" spans="32:56" ht="24" customHeight="1" x14ac:dyDescent="0.25">
      <c r="AF742" s="200"/>
      <c r="AG742" s="200"/>
      <c r="AH742" s="200"/>
      <c r="AI742" s="200"/>
      <c r="AJ742" s="200"/>
      <c r="AK742" s="200"/>
      <c r="AL742" s="200"/>
      <c r="AM742" s="200"/>
      <c r="AN742" s="200"/>
      <c r="AO742" s="200"/>
      <c r="AP742" s="200"/>
      <c r="AQ742" s="200"/>
      <c r="AR742" s="200"/>
      <c r="AS742" s="200"/>
      <c r="AT742" s="200"/>
      <c r="AU742" s="200"/>
      <c r="AV742" s="200"/>
      <c r="AW742" s="200"/>
      <c r="AX742" s="200"/>
      <c r="AY742" s="200"/>
      <c r="AZ742" s="200"/>
      <c r="BA742" s="200"/>
      <c r="BB742" s="200"/>
      <c r="BC742" s="200"/>
      <c r="BD742" s="200"/>
    </row>
    <row r="743" spans="32:56" ht="24" customHeight="1" x14ac:dyDescent="0.25">
      <c r="AF743" s="200"/>
      <c r="AG743" s="200"/>
      <c r="AH743" s="200"/>
      <c r="AI743" s="200"/>
      <c r="AJ743" s="200"/>
      <c r="AK743" s="200"/>
      <c r="AL743" s="200"/>
      <c r="AM743" s="200"/>
      <c r="AN743" s="200"/>
      <c r="AO743" s="200"/>
      <c r="AP743" s="200"/>
      <c r="AQ743" s="200"/>
      <c r="AR743" s="200"/>
      <c r="AS743" s="200"/>
      <c r="AT743" s="200"/>
      <c r="AU743" s="200"/>
      <c r="AV743" s="200"/>
      <c r="AW743" s="200"/>
      <c r="AX743" s="200"/>
      <c r="AY743" s="200"/>
      <c r="AZ743" s="200"/>
      <c r="BA743" s="200"/>
      <c r="BB743" s="200"/>
      <c r="BC743" s="200"/>
      <c r="BD743" s="200"/>
    </row>
    <row r="744" spans="32:56" ht="24" customHeight="1" x14ac:dyDescent="0.25">
      <c r="AF744" s="200"/>
      <c r="AG744" s="200"/>
      <c r="AH744" s="200"/>
      <c r="AI744" s="200"/>
      <c r="AJ744" s="200"/>
      <c r="AK744" s="200"/>
      <c r="AL744" s="200"/>
      <c r="AM744" s="200"/>
      <c r="AN744" s="200"/>
      <c r="AO744" s="200"/>
      <c r="AP744" s="200"/>
      <c r="AQ744" s="200"/>
      <c r="AR744" s="200"/>
      <c r="AS744" s="200"/>
      <c r="AT744" s="200"/>
      <c r="AU744" s="200"/>
      <c r="AV744" s="200"/>
      <c r="AW744" s="200"/>
      <c r="AX744" s="200"/>
      <c r="AY744" s="200"/>
      <c r="AZ744" s="200"/>
      <c r="BA744" s="200"/>
      <c r="BB744" s="200"/>
      <c r="BC744" s="200"/>
      <c r="BD744" s="200"/>
    </row>
    <row r="745" spans="32:56" ht="24" customHeight="1" x14ac:dyDescent="0.25">
      <c r="AF745" s="200"/>
      <c r="AG745" s="200"/>
      <c r="AH745" s="200"/>
      <c r="AI745" s="200"/>
      <c r="AJ745" s="200"/>
      <c r="AK745" s="200"/>
      <c r="AL745" s="200"/>
      <c r="AM745" s="200"/>
      <c r="AN745" s="200"/>
      <c r="AO745" s="200"/>
      <c r="AP745" s="200"/>
      <c r="AQ745" s="200"/>
      <c r="AR745" s="200"/>
      <c r="AS745" s="200"/>
      <c r="AT745" s="200"/>
      <c r="AU745" s="200"/>
      <c r="AV745" s="200"/>
      <c r="AW745" s="200"/>
      <c r="AX745" s="200"/>
      <c r="AY745" s="200"/>
      <c r="AZ745" s="200"/>
      <c r="BA745" s="200"/>
      <c r="BB745" s="200"/>
      <c r="BC745" s="200"/>
      <c r="BD745" s="200"/>
    </row>
    <row r="746" spans="32:56" ht="24" customHeight="1" x14ac:dyDescent="0.25">
      <c r="AF746" s="200"/>
      <c r="AG746" s="200"/>
      <c r="AH746" s="200"/>
      <c r="AI746" s="200"/>
      <c r="AJ746" s="200"/>
      <c r="AK746" s="200"/>
      <c r="AL746" s="200"/>
      <c r="AM746" s="200"/>
      <c r="AN746" s="200"/>
      <c r="AO746" s="200"/>
      <c r="AP746" s="200"/>
      <c r="AQ746" s="200"/>
      <c r="AR746" s="200"/>
      <c r="AS746" s="200"/>
      <c r="AT746" s="200"/>
      <c r="AU746" s="200"/>
      <c r="AV746" s="200"/>
      <c r="AW746" s="200"/>
      <c r="AX746" s="200"/>
      <c r="AY746" s="200"/>
      <c r="AZ746" s="200"/>
      <c r="BA746" s="200"/>
      <c r="BB746" s="200"/>
      <c r="BC746" s="200"/>
      <c r="BD746" s="200"/>
    </row>
    <row r="747" spans="32:56" ht="24" customHeight="1" x14ac:dyDescent="0.25">
      <c r="AF747" s="200"/>
      <c r="AG747" s="200"/>
      <c r="AH747" s="200"/>
      <c r="AI747" s="200"/>
      <c r="AJ747" s="200"/>
      <c r="AK747" s="200"/>
      <c r="AL747" s="200"/>
      <c r="AM747" s="200"/>
      <c r="AN747" s="200"/>
      <c r="AO747" s="200"/>
      <c r="AP747" s="200"/>
      <c r="AQ747" s="200"/>
      <c r="AR747" s="200"/>
      <c r="AS747" s="200"/>
      <c r="AT747" s="200"/>
      <c r="AU747" s="200"/>
      <c r="AV747" s="200"/>
      <c r="AW747" s="200"/>
      <c r="AX747" s="200"/>
      <c r="AY747" s="200"/>
      <c r="AZ747" s="200"/>
      <c r="BA747" s="200"/>
      <c r="BB747" s="200"/>
      <c r="BC747" s="200"/>
      <c r="BD747" s="200"/>
    </row>
    <row r="748" spans="32:56" ht="24" customHeight="1" x14ac:dyDescent="0.25">
      <c r="AF748" s="200"/>
      <c r="AG748" s="200"/>
      <c r="AH748" s="200"/>
      <c r="AI748" s="200"/>
      <c r="AJ748" s="200"/>
      <c r="AK748" s="200"/>
      <c r="AL748" s="200"/>
      <c r="AM748" s="200"/>
      <c r="AN748" s="200"/>
      <c r="AO748" s="200"/>
      <c r="AP748" s="200"/>
      <c r="AQ748" s="200"/>
      <c r="AR748" s="200"/>
      <c r="AS748" s="200"/>
      <c r="AT748" s="200"/>
      <c r="AU748" s="200"/>
      <c r="AV748" s="200"/>
      <c r="AW748" s="200"/>
      <c r="AX748" s="200"/>
      <c r="AY748" s="200"/>
      <c r="AZ748" s="200"/>
      <c r="BA748" s="200"/>
      <c r="BB748" s="200"/>
      <c r="BC748" s="200"/>
      <c r="BD748" s="200"/>
    </row>
    <row r="749" spans="32:56" ht="24" customHeight="1" x14ac:dyDescent="0.25">
      <c r="AF749" s="200"/>
      <c r="AG749" s="200"/>
      <c r="AH749" s="200"/>
      <c r="AI749" s="200"/>
      <c r="AJ749" s="200"/>
      <c r="AK749" s="200"/>
      <c r="AL749" s="200"/>
      <c r="AM749" s="200"/>
      <c r="AN749" s="200"/>
      <c r="AO749" s="200"/>
      <c r="AP749" s="200"/>
      <c r="AQ749" s="200"/>
      <c r="AR749" s="200"/>
      <c r="AS749" s="200"/>
      <c r="AT749" s="200"/>
      <c r="AU749" s="200"/>
      <c r="AV749" s="200"/>
      <c r="AW749" s="200"/>
      <c r="AX749" s="200"/>
      <c r="AY749" s="200"/>
      <c r="AZ749" s="200"/>
      <c r="BA749" s="200"/>
      <c r="BB749" s="200"/>
      <c r="BC749" s="200"/>
      <c r="BD749" s="200"/>
    </row>
    <row r="750" spans="32:56" ht="24" customHeight="1" x14ac:dyDescent="0.25">
      <c r="AF750" s="200"/>
      <c r="AG750" s="200"/>
      <c r="AH750" s="200"/>
      <c r="AI750" s="200"/>
      <c r="AJ750" s="200"/>
      <c r="AK750" s="200"/>
      <c r="AL750" s="200"/>
      <c r="AM750" s="200"/>
      <c r="AN750" s="200"/>
      <c r="AO750" s="200"/>
      <c r="AP750" s="200"/>
      <c r="AQ750" s="200"/>
      <c r="AR750" s="200"/>
      <c r="AS750" s="200"/>
      <c r="AT750" s="200"/>
      <c r="AU750" s="200"/>
      <c r="AV750" s="200"/>
      <c r="AW750" s="200"/>
      <c r="AX750" s="200"/>
      <c r="AY750" s="200"/>
      <c r="AZ750" s="200"/>
      <c r="BA750" s="200"/>
      <c r="BB750" s="200"/>
      <c r="BC750" s="200"/>
      <c r="BD750" s="200"/>
    </row>
    <row r="751" spans="32:56" ht="24" customHeight="1" x14ac:dyDescent="0.25">
      <c r="AF751" s="200"/>
      <c r="AG751" s="200"/>
      <c r="AH751" s="200"/>
      <c r="AI751" s="200"/>
      <c r="AJ751" s="200"/>
      <c r="AK751" s="200"/>
      <c r="AL751" s="200"/>
      <c r="AM751" s="200"/>
      <c r="AN751" s="200"/>
      <c r="AO751" s="200"/>
      <c r="AP751" s="200"/>
      <c r="AQ751" s="200"/>
      <c r="AR751" s="200"/>
      <c r="AS751" s="200"/>
      <c r="AT751" s="200"/>
      <c r="AU751" s="200"/>
      <c r="AV751" s="200"/>
      <c r="AW751" s="200"/>
      <c r="AX751" s="200"/>
      <c r="AY751" s="200"/>
      <c r="AZ751" s="200"/>
      <c r="BA751" s="200"/>
      <c r="BB751" s="200"/>
      <c r="BC751" s="200"/>
      <c r="BD751" s="200"/>
    </row>
    <row r="752" spans="32:56" ht="24" customHeight="1" x14ac:dyDescent="0.25">
      <c r="AF752" s="200"/>
      <c r="AG752" s="200"/>
      <c r="AH752" s="200"/>
      <c r="AI752" s="200"/>
      <c r="AJ752" s="200"/>
      <c r="AK752" s="200"/>
      <c r="AL752" s="200"/>
      <c r="AM752" s="200"/>
      <c r="AN752" s="200"/>
      <c r="AO752" s="200"/>
      <c r="AP752" s="200"/>
      <c r="AQ752" s="200"/>
      <c r="AR752" s="200"/>
      <c r="AS752" s="200"/>
      <c r="AT752" s="200"/>
      <c r="AU752" s="200"/>
      <c r="AV752" s="200"/>
      <c r="AW752" s="200"/>
      <c r="AX752" s="200"/>
      <c r="AY752" s="200"/>
      <c r="AZ752" s="200"/>
      <c r="BA752" s="200"/>
      <c r="BB752" s="200"/>
      <c r="BC752" s="200"/>
      <c r="BD752" s="200"/>
    </row>
    <row r="753" spans="32:56" ht="24" customHeight="1" x14ac:dyDescent="0.25">
      <c r="AF753" s="200"/>
      <c r="AG753" s="200"/>
      <c r="AH753" s="200"/>
      <c r="AI753" s="200"/>
      <c r="AJ753" s="200"/>
      <c r="AK753" s="200"/>
      <c r="AL753" s="200"/>
      <c r="AM753" s="200"/>
      <c r="AN753" s="200"/>
      <c r="AO753" s="200"/>
      <c r="AP753" s="200"/>
      <c r="AQ753" s="200"/>
      <c r="AR753" s="200"/>
      <c r="AS753" s="200"/>
      <c r="AT753" s="200"/>
      <c r="AU753" s="200"/>
      <c r="AV753" s="200"/>
      <c r="AW753" s="200"/>
      <c r="AX753" s="200"/>
      <c r="AY753" s="200"/>
      <c r="AZ753" s="200"/>
      <c r="BA753" s="200"/>
      <c r="BB753" s="200"/>
      <c r="BC753" s="200"/>
      <c r="BD753" s="200"/>
    </row>
    <row r="754" spans="32:56" ht="24" customHeight="1" x14ac:dyDescent="0.25">
      <c r="AF754" s="200"/>
      <c r="AG754" s="200"/>
      <c r="AH754" s="200"/>
      <c r="AI754" s="200"/>
      <c r="AJ754" s="200"/>
      <c r="AK754" s="200"/>
      <c r="AL754" s="200"/>
      <c r="AM754" s="200"/>
      <c r="AN754" s="200"/>
      <c r="AO754" s="200"/>
      <c r="AP754" s="200"/>
      <c r="AQ754" s="200"/>
      <c r="AR754" s="200"/>
      <c r="AS754" s="200"/>
      <c r="AT754" s="200"/>
      <c r="AU754" s="200"/>
      <c r="AV754" s="200"/>
      <c r="AW754" s="200"/>
      <c r="AX754" s="200"/>
      <c r="AY754" s="200"/>
      <c r="AZ754" s="200"/>
      <c r="BA754" s="200"/>
      <c r="BB754" s="200"/>
      <c r="BC754" s="200"/>
      <c r="BD754" s="200"/>
    </row>
    <row r="755" spans="32:56" ht="24" customHeight="1" x14ac:dyDescent="0.25">
      <c r="AF755" s="200"/>
      <c r="AG755" s="200"/>
      <c r="AH755" s="200"/>
      <c r="AI755" s="200"/>
      <c r="AJ755" s="200"/>
      <c r="AK755" s="200"/>
      <c r="AL755" s="200"/>
      <c r="AM755" s="200"/>
      <c r="AN755" s="200"/>
      <c r="AO755" s="200"/>
      <c r="AP755" s="200"/>
      <c r="AQ755" s="200"/>
      <c r="AR755" s="200"/>
      <c r="AS755" s="200"/>
      <c r="AT755" s="200"/>
      <c r="AU755" s="200"/>
      <c r="AV755" s="200"/>
      <c r="AW755" s="200"/>
      <c r="AX755" s="200"/>
      <c r="AY755" s="200"/>
      <c r="AZ755" s="200"/>
      <c r="BA755" s="200"/>
      <c r="BB755" s="200"/>
      <c r="BC755" s="200"/>
      <c r="BD755" s="200"/>
    </row>
    <row r="756" spans="32:56" ht="24" customHeight="1" x14ac:dyDescent="0.25">
      <c r="AF756" s="200"/>
      <c r="AG756" s="200"/>
      <c r="AH756" s="200"/>
      <c r="AI756" s="200"/>
      <c r="AJ756" s="200"/>
      <c r="AK756" s="200"/>
      <c r="AL756" s="200"/>
      <c r="AM756" s="200"/>
      <c r="AN756" s="200"/>
      <c r="AO756" s="200"/>
      <c r="AP756" s="200"/>
      <c r="AQ756" s="200"/>
      <c r="AR756" s="200"/>
      <c r="AS756" s="200"/>
      <c r="AT756" s="200"/>
      <c r="AU756" s="200"/>
      <c r="AV756" s="200"/>
      <c r="AW756" s="200"/>
      <c r="AX756" s="200"/>
      <c r="AY756" s="200"/>
      <c r="AZ756" s="200"/>
      <c r="BA756" s="200"/>
      <c r="BB756" s="200"/>
      <c r="BC756" s="200"/>
      <c r="BD756" s="200"/>
    </row>
    <row r="757" spans="32:56" ht="24" customHeight="1" x14ac:dyDescent="0.25">
      <c r="AF757" s="200"/>
      <c r="AG757" s="200"/>
      <c r="AH757" s="200"/>
      <c r="AI757" s="200"/>
      <c r="AJ757" s="200"/>
      <c r="AK757" s="200"/>
      <c r="AL757" s="200"/>
      <c r="AM757" s="200"/>
      <c r="AN757" s="200"/>
      <c r="AO757" s="200"/>
      <c r="AP757" s="200"/>
      <c r="AQ757" s="200"/>
      <c r="AR757" s="200"/>
      <c r="AS757" s="200"/>
      <c r="AT757" s="200"/>
      <c r="AU757" s="200"/>
      <c r="AV757" s="200"/>
      <c r="AW757" s="200"/>
      <c r="AX757" s="200"/>
      <c r="AY757" s="200"/>
      <c r="AZ757" s="200"/>
      <c r="BA757" s="200"/>
      <c r="BB757" s="200"/>
      <c r="BC757" s="200"/>
      <c r="BD757" s="200"/>
    </row>
    <row r="758" spans="32:56" ht="24" customHeight="1" x14ac:dyDescent="0.25">
      <c r="AF758" s="200"/>
      <c r="AG758" s="200"/>
      <c r="AH758" s="200"/>
      <c r="AI758" s="200"/>
      <c r="AJ758" s="200"/>
      <c r="AK758" s="200"/>
      <c r="AL758" s="200"/>
      <c r="AM758" s="200"/>
      <c r="AN758" s="200"/>
      <c r="AO758" s="200"/>
      <c r="AP758" s="200"/>
      <c r="AQ758" s="200"/>
      <c r="AR758" s="200"/>
      <c r="AS758" s="200"/>
      <c r="AT758" s="200"/>
      <c r="AU758" s="200"/>
      <c r="AV758" s="200"/>
      <c r="AW758" s="200"/>
      <c r="AX758" s="200"/>
      <c r="AY758" s="200"/>
      <c r="AZ758" s="200"/>
      <c r="BA758" s="200"/>
      <c r="BB758" s="200"/>
      <c r="BC758" s="200"/>
      <c r="BD758" s="200"/>
    </row>
    <row r="759" spans="32:56" ht="24" customHeight="1" x14ac:dyDescent="0.25">
      <c r="AF759" s="200"/>
      <c r="AG759" s="200"/>
      <c r="AH759" s="200"/>
      <c r="AI759" s="200"/>
      <c r="AJ759" s="200"/>
      <c r="AK759" s="200"/>
      <c r="AL759" s="200"/>
      <c r="AM759" s="200"/>
      <c r="AN759" s="200"/>
      <c r="AO759" s="200"/>
      <c r="AP759" s="200"/>
      <c r="AQ759" s="200"/>
      <c r="AR759" s="200"/>
      <c r="AS759" s="200"/>
      <c r="AT759" s="200"/>
      <c r="AU759" s="200"/>
      <c r="AV759" s="200"/>
      <c r="AW759" s="200"/>
      <c r="AX759" s="200"/>
      <c r="AY759" s="200"/>
      <c r="AZ759" s="200"/>
      <c r="BA759" s="200"/>
      <c r="BB759" s="200"/>
      <c r="BC759" s="200"/>
      <c r="BD759" s="200"/>
    </row>
    <row r="760" spans="32:56" ht="24" customHeight="1" x14ac:dyDescent="0.25">
      <c r="AF760" s="200"/>
      <c r="AG760" s="200"/>
      <c r="AH760" s="200"/>
      <c r="AI760" s="200"/>
      <c r="AJ760" s="200"/>
      <c r="AK760" s="200"/>
      <c r="AL760" s="200"/>
      <c r="AM760" s="200"/>
      <c r="AN760" s="200"/>
      <c r="AO760" s="200"/>
      <c r="AP760" s="200"/>
      <c r="AQ760" s="200"/>
      <c r="AR760" s="200"/>
      <c r="AS760" s="200"/>
      <c r="AT760" s="200"/>
      <c r="AU760" s="200"/>
      <c r="AV760" s="200"/>
      <c r="AW760" s="200"/>
      <c r="AX760" s="200"/>
      <c r="AY760" s="200"/>
      <c r="AZ760" s="200"/>
      <c r="BA760" s="200"/>
      <c r="BB760" s="200"/>
      <c r="BC760" s="200"/>
      <c r="BD760" s="200"/>
    </row>
    <row r="761" spans="32:56" ht="24" customHeight="1" x14ac:dyDescent="0.25">
      <c r="AF761" s="200"/>
      <c r="AG761" s="200"/>
      <c r="AH761" s="200"/>
      <c r="AI761" s="200"/>
      <c r="AJ761" s="200"/>
      <c r="AK761" s="200"/>
      <c r="AL761" s="200"/>
      <c r="AM761" s="200"/>
      <c r="AN761" s="200"/>
      <c r="AO761" s="200"/>
      <c r="AP761" s="200"/>
      <c r="AQ761" s="200"/>
      <c r="AR761" s="200"/>
      <c r="AS761" s="200"/>
      <c r="AT761" s="200"/>
      <c r="AU761" s="200"/>
      <c r="AV761" s="200"/>
      <c r="AW761" s="200"/>
      <c r="AX761" s="200"/>
      <c r="AY761" s="200"/>
      <c r="AZ761" s="200"/>
      <c r="BA761" s="200"/>
      <c r="BB761" s="200"/>
      <c r="BC761" s="200"/>
      <c r="BD761" s="200"/>
    </row>
    <row r="762" spans="32:56" ht="24" customHeight="1" x14ac:dyDescent="0.25">
      <c r="AF762" s="200"/>
      <c r="AG762" s="200"/>
      <c r="AH762" s="200"/>
      <c r="AI762" s="200"/>
      <c r="AJ762" s="200"/>
      <c r="AK762" s="200"/>
      <c r="AL762" s="200"/>
      <c r="AM762" s="200"/>
      <c r="AN762" s="200"/>
      <c r="AO762" s="200"/>
      <c r="AP762" s="200"/>
      <c r="AQ762" s="200"/>
      <c r="AR762" s="200"/>
      <c r="AS762" s="200"/>
      <c r="AT762" s="200"/>
      <c r="AU762" s="200"/>
      <c r="AV762" s="200"/>
      <c r="AW762" s="200"/>
      <c r="AX762" s="200"/>
      <c r="AY762" s="200"/>
      <c r="AZ762" s="200"/>
      <c r="BA762" s="200"/>
      <c r="BB762" s="200"/>
      <c r="BC762" s="200"/>
      <c r="BD762" s="200"/>
    </row>
    <row r="763" spans="32:56" ht="24" customHeight="1" x14ac:dyDescent="0.25">
      <c r="AF763" s="200"/>
      <c r="AG763" s="200"/>
      <c r="AH763" s="200"/>
      <c r="AI763" s="200"/>
      <c r="AJ763" s="200"/>
      <c r="AK763" s="200"/>
      <c r="AL763" s="200"/>
      <c r="AM763" s="200"/>
      <c r="AN763" s="200"/>
      <c r="AO763" s="200"/>
      <c r="AP763" s="200"/>
      <c r="AQ763" s="200"/>
      <c r="AR763" s="200"/>
      <c r="AS763" s="200"/>
      <c r="AT763" s="200"/>
      <c r="AU763" s="200"/>
      <c r="AV763" s="200"/>
      <c r="AW763" s="200"/>
      <c r="AX763" s="200"/>
      <c r="AY763" s="200"/>
      <c r="AZ763" s="200"/>
      <c r="BA763" s="200"/>
      <c r="BB763" s="200"/>
      <c r="BC763" s="200"/>
      <c r="BD763" s="200"/>
    </row>
    <row r="764" spans="32:56" ht="24" customHeight="1" x14ac:dyDescent="0.25">
      <c r="AF764" s="200"/>
      <c r="AG764" s="200"/>
      <c r="AH764" s="200"/>
      <c r="AI764" s="200"/>
      <c r="AJ764" s="200"/>
      <c r="AK764" s="200"/>
      <c r="AL764" s="200"/>
      <c r="AM764" s="200"/>
      <c r="AN764" s="200"/>
      <c r="AO764" s="200"/>
      <c r="AP764" s="200"/>
      <c r="AQ764" s="200"/>
      <c r="AR764" s="200"/>
      <c r="AS764" s="200"/>
      <c r="AT764" s="200"/>
      <c r="AU764" s="200"/>
      <c r="AV764" s="200"/>
      <c r="AW764" s="200"/>
      <c r="AX764" s="200"/>
      <c r="AY764" s="200"/>
      <c r="AZ764" s="200"/>
      <c r="BA764" s="200"/>
      <c r="BB764" s="200"/>
      <c r="BC764" s="200"/>
      <c r="BD764" s="200"/>
    </row>
    <row r="765" spans="32:56" ht="24" customHeight="1" x14ac:dyDescent="0.25">
      <c r="AF765" s="200"/>
      <c r="AG765" s="200"/>
      <c r="AH765" s="200"/>
      <c r="AI765" s="200"/>
      <c r="AJ765" s="200"/>
      <c r="AK765" s="200"/>
      <c r="AL765" s="200"/>
      <c r="AM765" s="200"/>
      <c r="AN765" s="200"/>
      <c r="AO765" s="200"/>
      <c r="AP765" s="200"/>
      <c r="AQ765" s="200"/>
      <c r="AR765" s="200"/>
      <c r="AS765" s="200"/>
      <c r="AT765" s="200"/>
      <c r="AU765" s="200"/>
      <c r="AV765" s="200"/>
      <c r="AW765" s="200"/>
      <c r="AX765" s="200"/>
      <c r="AY765" s="200"/>
      <c r="AZ765" s="200"/>
      <c r="BA765" s="200"/>
      <c r="BB765" s="200"/>
      <c r="BC765" s="200"/>
      <c r="BD765" s="200"/>
    </row>
    <row r="766" spans="32:56" ht="24" customHeight="1" x14ac:dyDescent="0.25">
      <c r="AF766" s="200"/>
      <c r="AG766" s="200"/>
      <c r="AH766" s="200"/>
      <c r="AI766" s="200"/>
      <c r="AJ766" s="200"/>
      <c r="AK766" s="200"/>
      <c r="AL766" s="200"/>
      <c r="AM766" s="200"/>
      <c r="AN766" s="200"/>
      <c r="AO766" s="200"/>
      <c r="AP766" s="200"/>
      <c r="AQ766" s="200"/>
      <c r="AR766" s="200"/>
      <c r="AS766" s="200"/>
      <c r="AT766" s="200"/>
      <c r="AU766" s="200"/>
      <c r="AV766" s="200"/>
      <c r="AW766" s="200"/>
      <c r="AX766" s="200"/>
      <c r="AY766" s="200"/>
      <c r="AZ766" s="200"/>
      <c r="BA766" s="200"/>
      <c r="BB766" s="200"/>
      <c r="BC766" s="200"/>
      <c r="BD766" s="200"/>
    </row>
    <row r="767" spans="32:56" ht="24" customHeight="1" x14ac:dyDescent="0.25">
      <c r="AF767" s="200"/>
      <c r="AG767" s="200"/>
      <c r="AH767" s="200"/>
      <c r="AI767" s="200"/>
      <c r="AJ767" s="200"/>
      <c r="AK767" s="200"/>
      <c r="AL767" s="200"/>
      <c r="AM767" s="200"/>
      <c r="AN767" s="200"/>
      <c r="AO767" s="200"/>
      <c r="AP767" s="200"/>
      <c r="AQ767" s="200"/>
      <c r="AR767" s="200"/>
      <c r="AS767" s="200"/>
      <c r="AT767" s="200"/>
      <c r="AU767" s="200"/>
      <c r="AV767" s="200"/>
      <c r="AW767" s="200"/>
      <c r="AX767" s="200"/>
      <c r="AY767" s="200"/>
      <c r="AZ767" s="200"/>
      <c r="BA767" s="200"/>
      <c r="BB767" s="200"/>
      <c r="BC767" s="200"/>
      <c r="BD767" s="200"/>
    </row>
    <row r="768" spans="32:56" ht="24" customHeight="1" x14ac:dyDescent="0.25">
      <c r="AF768" s="200"/>
      <c r="AG768" s="200"/>
      <c r="AH768" s="200"/>
      <c r="AI768" s="200"/>
      <c r="AJ768" s="200"/>
      <c r="AK768" s="200"/>
      <c r="AL768" s="200"/>
      <c r="AM768" s="200"/>
      <c r="AN768" s="200"/>
      <c r="AO768" s="200"/>
      <c r="AP768" s="200"/>
      <c r="AQ768" s="200"/>
      <c r="AR768" s="200"/>
      <c r="AS768" s="200"/>
      <c r="AT768" s="200"/>
      <c r="AU768" s="200"/>
      <c r="AV768" s="200"/>
      <c r="AW768" s="200"/>
      <c r="AX768" s="200"/>
      <c r="AY768" s="200"/>
      <c r="AZ768" s="200"/>
      <c r="BA768" s="200"/>
      <c r="BB768" s="200"/>
      <c r="BC768" s="200"/>
      <c r="BD768" s="200"/>
    </row>
    <row r="769" spans="32:56" ht="24" customHeight="1" x14ac:dyDescent="0.25">
      <c r="AF769" s="200"/>
      <c r="AG769" s="200"/>
      <c r="AH769" s="200"/>
      <c r="AI769" s="200"/>
      <c r="AJ769" s="200"/>
      <c r="AK769" s="200"/>
      <c r="AL769" s="200"/>
      <c r="AM769" s="200"/>
      <c r="AN769" s="200"/>
      <c r="AO769" s="200"/>
      <c r="AP769" s="200"/>
      <c r="AQ769" s="200"/>
      <c r="AR769" s="200"/>
      <c r="AS769" s="200"/>
      <c r="AT769" s="200"/>
      <c r="AU769" s="200"/>
      <c r="AV769" s="200"/>
      <c r="AW769" s="200"/>
      <c r="AX769" s="200"/>
      <c r="AY769" s="200"/>
      <c r="AZ769" s="200"/>
      <c r="BA769" s="200"/>
      <c r="BB769" s="200"/>
      <c r="BC769" s="200"/>
      <c r="BD769" s="200"/>
    </row>
    <row r="770" spans="32:56" ht="24" customHeight="1" x14ac:dyDescent="0.25">
      <c r="AF770" s="200"/>
      <c r="AG770" s="200"/>
      <c r="AH770" s="200"/>
      <c r="AI770" s="200"/>
      <c r="AJ770" s="200"/>
      <c r="AK770" s="200"/>
      <c r="AL770" s="200"/>
      <c r="AM770" s="200"/>
      <c r="AN770" s="200"/>
      <c r="AO770" s="200"/>
      <c r="AP770" s="200"/>
      <c r="AQ770" s="200"/>
      <c r="AR770" s="200"/>
      <c r="AS770" s="200"/>
      <c r="AT770" s="200"/>
      <c r="AU770" s="200"/>
      <c r="AV770" s="200"/>
      <c r="AW770" s="200"/>
      <c r="AX770" s="200"/>
      <c r="AY770" s="200"/>
      <c r="AZ770" s="200"/>
      <c r="BA770" s="200"/>
      <c r="BB770" s="200"/>
      <c r="BC770" s="200"/>
      <c r="BD770" s="200"/>
    </row>
    <row r="771" spans="32:56" ht="24" customHeight="1" x14ac:dyDescent="0.25">
      <c r="AF771" s="200"/>
      <c r="AG771" s="200"/>
      <c r="AH771" s="200"/>
      <c r="AI771" s="200"/>
      <c r="AJ771" s="200"/>
      <c r="AK771" s="200"/>
      <c r="AL771" s="200"/>
      <c r="AM771" s="200"/>
      <c r="AN771" s="200"/>
      <c r="AO771" s="200"/>
      <c r="AP771" s="200"/>
      <c r="AQ771" s="200"/>
      <c r="AR771" s="200"/>
      <c r="AS771" s="200"/>
      <c r="AT771" s="200"/>
      <c r="AU771" s="200"/>
      <c r="AV771" s="200"/>
      <c r="AW771" s="200"/>
      <c r="AX771" s="200"/>
      <c r="AY771" s="200"/>
      <c r="AZ771" s="200"/>
      <c r="BA771" s="200"/>
      <c r="BB771" s="200"/>
      <c r="BC771" s="200"/>
      <c r="BD771" s="200"/>
    </row>
    <row r="772" spans="32:56" ht="24" customHeight="1" x14ac:dyDescent="0.25">
      <c r="AF772" s="200"/>
      <c r="AG772" s="200"/>
      <c r="AH772" s="200"/>
      <c r="AI772" s="200"/>
      <c r="AJ772" s="200"/>
      <c r="AK772" s="200"/>
      <c r="AL772" s="200"/>
      <c r="AM772" s="200"/>
      <c r="AN772" s="200"/>
      <c r="AO772" s="200"/>
      <c r="AP772" s="200"/>
      <c r="AQ772" s="200"/>
      <c r="AR772" s="200"/>
      <c r="AS772" s="200"/>
      <c r="AT772" s="200"/>
      <c r="AU772" s="200"/>
      <c r="AV772" s="200"/>
      <c r="AW772" s="200"/>
      <c r="AX772" s="200"/>
      <c r="AY772" s="200"/>
      <c r="AZ772" s="200"/>
      <c r="BA772" s="200"/>
      <c r="BB772" s="200"/>
      <c r="BC772" s="200"/>
      <c r="BD772" s="200"/>
    </row>
    <row r="773" spans="32:56" ht="24" customHeight="1" x14ac:dyDescent="0.25">
      <c r="AF773" s="200"/>
      <c r="AG773" s="200"/>
      <c r="AH773" s="200"/>
      <c r="AI773" s="200"/>
      <c r="AJ773" s="200"/>
      <c r="AK773" s="200"/>
      <c r="AL773" s="200"/>
      <c r="AM773" s="200"/>
      <c r="AN773" s="200"/>
      <c r="AO773" s="200"/>
      <c r="AP773" s="200"/>
      <c r="AQ773" s="200"/>
      <c r="AR773" s="200"/>
      <c r="AS773" s="200"/>
      <c r="AT773" s="200"/>
      <c r="AU773" s="200"/>
      <c r="AV773" s="200"/>
      <c r="AW773" s="200"/>
      <c r="AX773" s="200"/>
      <c r="AY773" s="200"/>
      <c r="AZ773" s="200"/>
      <c r="BA773" s="200"/>
      <c r="BB773" s="200"/>
      <c r="BC773" s="200"/>
      <c r="BD773" s="200"/>
    </row>
    <row r="774" spans="32:56" ht="24" customHeight="1" x14ac:dyDescent="0.25">
      <c r="AF774" s="200"/>
      <c r="AG774" s="200"/>
      <c r="AH774" s="200"/>
      <c r="AI774" s="200"/>
      <c r="AJ774" s="200"/>
      <c r="AK774" s="200"/>
      <c r="AL774" s="200"/>
      <c r="AM774" s="200"/>
      <c r="AN774" s="200"/>
      <c r="AO774" s="200"/>
      <c r="AP774" s="200"/>
      <c r="AQ774" s="200"/>
      <c r="AR774" s="200"/>
      <c r="AS774" s="200"/>
      <c r="AT774" s="200"/>
      <c r="AU774" s="200"/>
      <c r="AV774" s="200"/>
      <c r="AW774" s="200"/>
      <c r="AX774" s="200"/>
      <c r="AY774" s="200"/>
      <c r="AZ774" s="200"/>
      <c r="BA774" s="200"/>
      <c r="BB774" s="200"/>
      <c r="BC774" s="200"/>
      <c r="BD774" s="200"/>
    </row>
    <row r="775" spans="32:56" ht="24" customHeight="1" x14ac:dyDescent="0.25">
      <c r="AF775" s="200"/>
      <c r="AG775" s="200"/>
      <c r="AH775" s="200"/>
      <c r="AI775" s="200"/>
      <c r="AJ775" s="200"/>
      <c r="AK775" s="200"/>
      <c r="AL775" s="200"/>
      <c r="AM775" s="200"/>
      <c r="AN775" s="200"/>
      <c r="AO775" s="200"/>
      <c r="AP775" s="200"/>
      <c r="AQ775" s="200"/>
      <c r="AR775" s="200"/>
      <c r="AS775" s="200"/>
      <c r="AT775" s="200"/>
      <c r="AU775" s="200"/>
      <c r="AV775" s="200"/>
      <c r="AW775" s="200"/>
      <c r="AX775" s="200"/>
      <c r="AY775" s="200"/>
      <c r="AZ775" s="200"/>
      <c r="BA775" s="200"/>
      <c r="BB775" s="200"/>
      <c r="BC775" s="200"/>
      <c r="BD775" s="200"/>
    </row>
    <row r="776" spans="32:56" ht="24" customHeight="1" x14ac:dyDescent="0.25">
      <c r="AF776" s="200"/>
      <c r="AG776" s="200"/>
      <c r="AH776" s="200"/>
      <c r="AI776" s="200"/>
      <c r="AJ776" s="200"/>
      <c r="AK776" s="200"/>
      <c r="AL776" s="200"/>
      <c r="AM776" s="200"/>
      <c r="AN776" s="200"/>
      <c r="AO776" s="200"/>
      <c r="AP776" s="200"/>
      <c r="AQ776" s="200"/>
      <c r="AR776" s="200"/>
      <c r="AS776" s="200"/>
      <c r="AT776" s="200"/>
      <c r="AU776" s="200"/>
      <c r="AV776" s="200"/>
      <c r="AW776" s="200"/>
      <c r="AX776" s="200"/>
      <c r="AY776" s="200"/>
      <c r="AZ776" s="200"/>
      <c r="BA776" s="200"/>
      <c r="BB776" s="200"/>
      <c r="BC776" s="200"/>
      <c r="BD776" s="200"/>
    </row>
    <row r="777" spans="32:56" ht="24" customHeight="1" x14ac:dyDescent="0.25">
      <c r="AF777" s="200"/>
      <c r="AG777" s="200"/>
      <c r="AH777" s="200"/>
      <c r="AI777" s="200"/>
      <c r="AJ777" s="200"/>
      <c r="AK777" s="200"/>
      <c r="AL777" s="200"/>
      <c r="AM777" s="200"/>
      <c r="AN777" s="200"/>
      <c r="AO777" s="200"/>
      <c r="AP777" s="200"/>
      <c r="AQ777" s="200"/>
      <c r="AR777" s="200"/>
      <c r="AS777" s="200"/>
      <c r="AT777" s="200"/>
      <c r="AU777" s="200"/>
      <c r="AV777" s="200"/>
      <c r="AW777" s="200"/>
      <c r="AX777" s="200"/>
      <c r="AY777" s="200"/>
      <c r="AZ777" s="200"/>
      <c r="BA777" s="200"/>
      <c r="BB777" s="200"/>
      <c r="BC777" s="200"/>
      <c r="BD777" s="200"/>
    </row>
    <row r="778" spans="32:56" ht="24" customHeight="1" x14ac:dyDescent="0.25">
      <c r="AF778" s="200"/>
      <c r="AG778" s="200"/>
      <c r="AH778" s="200"/>
      <c r="AI778" s="200"/>
      <c r="AJ778" s="200"/>
      <c r="AK778" s="200"/>
      <c r="AL778" s="200"/>
      <c r="AM778" s="200"/>
      <c r="AN778" s="200"/>
      <c r="AO778" s="200"/>
      <c r="AP778" s="200"/>
      <c r="AQ778" s="200"/>
      <c r="AR778" s="200"/>
      <c r="AS778" s="200"/>
      <c r="AT778" s="200"/>
      <c r="AU778" s="200"/>
      <c r="AV778" s="200"/>
      <c r="AW778" s="200"/>
      <c r="AX778" s="200"/>
      <c r="AY778" s="200"/>
      <c r="AZ778" s="200"/>
      <c r="BA778" s="200"/>
      <c r="BB778" s="200"/>
      <c r="BC778" s="200"/>
      <c r="BD778" s="200"/>
    </row>
    <row r="779" spans="32:56" ht="24" customHeight="1" x14ac:dyDescent="0.25">
      <c r="AF779" s="200"/>
      <c r="AG779" s="200"/>
      <c r="AH779" s="200"/>
      <c r="AI779" s="200"/>
      <c r="AJ779" s="200"/>
      <c r="AK779" s="200"/>
      <c r="AL779" s="200"/>
      <c r="AM779" s="200"/>
      <c r="AN779" s="200"/>
      <c r="AO779" s="200"/>
      <c r="AP779" s="200"/>
      <c r="AQ779" s="200"/>
      <c r="AR779" s="200"/>
      <c r="AS779" s="200"/>
      <c r="AT779" s="200"/>
      <c r="AU779" s="200"/>
      <c r="AV779" s="200"/>
      <c r="AW779" s="200"/>
      <c r="AX779" s="200"/>
      <c r="AY779" s="200"/>
      <c r="AZ779" s="200"/>
      <c r="BA779" s="200"/>
      <c r="BB779" s="200"/>
      <c r="BC779" s="200"/>
      <c r="BD779" s="200"/>
    </row>
    <row r="780" spans="32:56" ht="24" customHeight="1" x14ac:dyDescent="0.25">
      <c r="AF780" s="200"/>
      <c r="AG780" s="200"/>
      <c r="AH780" s="200"/>
      <c r="AI780" s="200"/>
      <c r="AJ780" s="200"/>
      <c r="AK780" s="200"/>
      <c r="AL780" s="200"/>
      <c r="AM780" s="200"/>
      <c r="AN780" s="200"/>
      <c r="AO780" s="200"/>
      <c r="AP780" s="200"/>
      <c r="AQ780" s="200"/>
      <c r="AR780" s="200"/>
      <c r="AS780" s="200"/>
      <c r="AT780" s="200"/>
      <c r="AU780" s="200"/>
      <c r="AV780" s="200"/>
      <c r="AW780" s="200"/>
      <c r="AX780" s="200"/>
      <c r="AY780" s="200"/>
      <c r="AZ780" s="200"/>
      <c r="BA780" s="200"/>
      <c r="BB780" s="200"/>
      <c r="BC780" s="200"/>
      <c r="BD780" s="200"/>
    </row>
    <row r="781" spans="32:56" ht="24" customHeight="1" x14ac:dyDescent="0.25">
      <c r="AF781" s="200"/>
      <c r="AG781" s="200"/>
      <c r="AH781" s="200"/>
      <c r="AI781" s="200"/>
      <c r="AJ781" s="200"/>
      <c r="AK781" s="200"/>
      <c r="AL781" s="200"/>
      <c r="AM781" s="200"/>
      <c r="AN781" s="200"/>
      <c r="AO781" s="200"/>
      <c r="AP781" s="200"/>
      <c r="AQ781" s="200"/>
      <c r="AR781" s="200"/>
      <c r="AS781" s="200"/>
      <c r="AT781" s="200"/>
      <c r="AU781" s="200"/>
      <c r="AV781" s="200"/>
      <c r="AW781" s="200"/>
      <c r="AX781" s="200"/>
      <c r="AY781" s="200"/>
      <c r="AZ781" s="200"/>
      <c r="BA781" s="200"/>
      <c r="BB781" s="200"/>
      <c r="BC781" s="200"/>
      <c r="BD781" s="200"/>
    </row>
    <row r="782" spans="32:56" ht="24" customHeight="1" x14ac:dyDescent="0.25">
      <c r="AF782" s="200"/>
      <c r="AG782" s="200"/>
      <c r="AH782" s="200"/>
      <c r="AI782" s="200"/>
      <c r="AJ782" s="200"/>
      <c r="AK782" s="200"/>
      <c r="AL782" s="200"/>
      <c r="AM782" s="200"/>
      <c r="AN782" s="200"/>
      <c r="AO782" s="200"/>
      <c r="AP782" s="200"/>
      <c r="AQ782" s="200"/>
      <c r="AR782" s="200"/>
      <c r="AS782" s="200"/>
      <c r="AT782" s="200"/>
      <c r="AU782" s="200"/>
      <c r="AV782" s="200"/>
      <c r="AW782" s="200"/>
      <c r="AX782" s="200"/>
      <c r="AY782" s="200"/>
      <c r="AZ782" s="200"/>
      <c r="BA782" s="200"/>
      <c r="BB782" s="200"/>
      <c r="BC782" s="200"/>
      <c r="BD782" s="200"/>
    </row>
    <row r="783" spans="32:56" ht="24" customHeight="1" x14ac:dyDescent="0.25">
      <c r="AF783" s="200"/>
      <c r="AG783" s="200"/>
      <c r="AH783" s="200"/>
      <c r="AI783" s="200"/>
      <c r="AJ783" s="200"/>
      <c r="AK783" s="200"/>
      <c r="AL783" s="200"/>
      <c r="AM783" s="200"/>
      <c r="AN783" s="200"/>
      <c r="AO783" s="200"/>
      <c r="AP783" s="200"/>
      <c r="AQ783" s="200"/>
      <c r="AR783" s="200"/>
      <c r="AS783" s="200"/>
      <c r="AT783" s="200"/>
      <c r="AU783" s="200"/>
      <c r="AV783" s="200"/>
      <c r="AW783" s="200"/>
      <c r="AX783" s="200"/>
      <c r="AY783" s="200"/>
      <c r="AZ783" s="200"/>
      <c r="BA783" s="200"/>
      <c r="BB783" s="200"/>
      <c r="BC783" s="200"/>
      <c r="BD783" s="200"/>
    </row>
    <row r="784" spans="32:56" ht="24" customHeight="1" x14ac:dyDescent="0.25">
      <c r="AF784" s="200"/>
      <c r="AG784" s="200"/>
      <c r="AH784" s="200"/>
      <c r="AI784" s="200"/>
      <c r="AJ784" s="200"/>
      <c r="AK784" s="200"/>
      <c r="AL784" s="200"/>
      <c r="AM784" s="200"/>
      <c r="AN784" s="200"/>
      <c r="AO784" s="200"/>
      <c r="AP784" s="200"/>
      <c r="AQ784" s="200"/>
      <c r="AR784" s="200"/>
      <c r="AS784" s="200"/>
      <c r="AT784" s="200"/>
      <c r="AU784" s="200"/>
      <c r="AV784" s="200"/>
      <c r="AW784" s="200"/>
      <c r="AX784" s="200"/>
      <c r="AY784" s="200"/>
      <c r="AZ784" s="200"/>
      <c r="BA784" s="200"/>
      <c r="BB784" s="200"/>
      <c r="BC784" s="200"/>
      <c r="BD784" s="200"/>
    </row>
    <row r="785" spans="32:56" ht="24" customHeight="1" x14ac:dyDescent="0.25">
      <c r="AF785" s="200"/>
      <c r="AG785" s="200"/>
      <c r="AH785" s="200"/>
      <c r="AI785" s="200"/>
      <c r="AJ785" s="200"/>
      <c r="AK785" s="200"/>
      <c r="AL785" s="200"/>
      <c r="AM785" s="200"/>
      <c r="AN785" s="200"/>
      <c r="AO785" s="200"/>
      <c r="AP785" s="200"/>
      <c r="AQ785" s="200"/>
      <c r="AR785" s="200"/>
      <c r="AS785" s="200"/>
      <c r="AT785" s="200"/>
      <c r="AU785" s="200"/>
      <c r="AV785" s="200"/>
      <c r="AW785" s="200"/>
      <c r="AX785" s="200"/>
      <c r="AY785" s="200"/>
      <c r="AZ785" s="200"/>
      <c r="BA785" s="200"/>
      <c r="BB785" s="200"/>
      <c r="BC785" s="200"/>
      <c r="BD785" s="200"/>
    </row>
    <row r="786" spans="32:56" ht="24" customHeight="1" x14ac:dyDescent="0.25">
      <c r="AF786" s="200"/>
      <c r="AG786" s="200"/>
      <c r="AH786" s="200"/>
      <c r="AI786" s="200"/>
      <c r="AJ786" s="200"/>
      <c r="AK786" s="200"/>
      <c r="AL786" s="200"/>
      <c r="AM786" s="200"/>
      <c r="AN786" s="200"/>
      <c r="AO786" s="200"/>
      <c r="AP786" s="200"/>
      <c r="AQ786" s="200"/>
      <c r="AR786" s="200"/>
      <c r="AS786" s="200"/>
      <c r="AT786" s="200"/>
      <c r="AU786" s="200"/>
      <c r="AV786" s="200"/>
      <c r="AW786" s="200"/>
      <c r="AX786" s="200"/>
      <c r="AY786" s="200"/>
      <c r="AZ786" s="200"/>
      <c r="BA786" s="200"/>
      <c r="BB786" s="200"/>
      <c r="BC786" s="200"/>
      <c r="BD786" s="200"/>
    </row>
    <row r="787" spans="32:56" ht="24" customHeight="1" x14ac:dyDescent="0.25">
      <c r="AF787" s="200"/>
      <c r="AG787" s="200"/>
      <c r="AH787" s="200"/>
      <c r="AI787" s="200"/>
      <c r="AJ787" s="200"/>
      <c r="AK787" s="200"/>
      <c r="AL787" s="200"/>
      <c r="AM787" s="200"/>
      <c r="AN787" s="200"/>
      <c r="AO787" s="200"/>
      <c r="AP787" s="200"/>
      <c r="AQ787" s="200"/>
      <c r="AR787" s="200"/>
      <c r="AS787" s="200"/>
      <c r="AT787" s="200"/>
      <c r="AU787" s="200"/>
      <c r="AV787" s="200"/>
      <c r="AW787" s="200"/>
      <c r="AX787" s="200"/>
      <c r="AY787" s="200"/>
      <c r="AZ787" s="200"/>
      <c r="BA787" s="200"/>
      <c r="BB787" s="200"/>
      <c r="BC787" s="200"/>
      <c r="BD787" s="200"/>
    </row>
    <row r="788" spans="32:56" ht="24" customHeight="1" x14ac:dyDescent="0.25">
      <c r="AF788" s="200"/>
      <c r="AG788" s="200"/>
      <c r="AH788" s="200"/>
      <c r="AI788" s="200"/>
      <c r="AJ788" s="200"/>
      <c r="AK788" s="200"/>
      <c r="AL788" s="200"/>
      <c r="AM788" s="200"/>
      <c r="AN788" s="200"/>
      <c r="AO788" s="200"/>
      <c r="AP788" s="200"/>
      <c r="AQ788" s="200"/>
      <c r="AR788" s="200"/>
      <c r="AS788" s="200"/>
      <c r="AT788" s="200"/>
      <c r="AU788" s="200"/>
      <c r="AV788" s="200"/>
      <c r="AW788" s="200"/>
      <c r="AX788" s="200"/>
      <c r="AY788" s="200"/>
      <c r="AZ788" s="200"/>
      <c r="BA788" s="200"/>
      <c r="BB788" s="200"/>
      <c r="BC788" s="200"/>
      <c r="BD788" s="200"/>
    </row>
    <row r="789" spans="32:56" ht="24" customHeight="1" x14ac:dyDescent="0.25">
      <c r="AF789" s="200"/>
      <c r="AG789" s="200"/>
      <c r="AH789" s="200"/>
      <c r="AI789" s="200"/>
      <c r="AJ789" s="200"/>
      <c r="AK789" s="200"/>
      <c r="AL789" s="200"/>
      <c r="AM789" s="200"/>
      <c r="AN789" s="200"/>
      <c r="AO789" s="200"/>
      <c r="AP789" s="200"/>
      <c r="AQ789" s="200"/>
      <c r="AR789" s="200"/>
      <c r="AS789" s="200"/>
      <c r="AT789" s="200"/>
      <c r="AU789" s="200"/>
      <c r="AV789" s="200"/>
      <c r="AW789" s="200"/>
      <c r="AX789" s="200"/>
      <c r="AY789" s="200"/>
      <c r="AZ789" s="200"/>
      <c r="BA789" s="200"/>
      <c r="BB789" s="200"/>
      <c r="BC789" s="200"/>
      <c r="BD789" s="200"/>
    </row>
    <row r="790" spans="32:56" ht="24" customHeight="1" x14ac:dyDescent="0.25">
      <c r="AF790" s="200"/>
      <c r="AG790" s="200"/>
      <c r="AH790" s="200"/>
      <c r="AI790" s="200"/>
      <c r="AJ790" s="200"/>
      <c r="AK790" s="200"/>
      <c r="AL790" s="200"/>
      <c r="AM790" s="200"/>
      <c r="AN790" s="200"/>
      <c r="AO790" s="200"/>
      <c r="AP790" s="200"/>
      <c r="AQ790" s="200"/>
      <c r="AR790" s="200"/>
      <c r="AS790" s="200"/>
      <c r="AT790" s="200"/>
      <c r="AU790" s="200"/>
      <c r="AV790" s="200"/>
      <c r="AW790" s="200"/>
      <c r="AX790" s="200"/>
      <c r="AY790" s="200"/>
      <c r="AZ790" s="200"/>
      <c r="BA790" s="200"/>
      <c r="BB790" s="200"/>
      <c r="BC790" s="200"/>
      <c r="BD790" s="200"/>
    </row>
    <row r="791" spans="32:56" ht="24" customHeight="1" x14ac:dyDescent="0.25">
      <c r="AF791" s="200"/>
      <c r="AG791" s="200"/>
      <c r="AH791" s="200"/>
      <c r="AI791" s="200"/>
      <c r="AJ791" s="200"/>
      <c r="AK791" s="200"/>
      <c r="AL791" s="200"/>
      <c r="AM791" s="200"/>
      <c r="AN791" s="200"/>
      <c r="AO791" s="200"/>
      <c r="AP791" s="200"/>
      <c r="AQ791" s="200"/>
      <c r="AR791" s="200"/>
      <c r="AS791" s="200"/>
      <c r="AT791" s="200"/>
      <c r="AU791" s="200"/>
      <c r="AV791" s="200"/>
      <c r="AW791" s="200"/>
      <c r="AX791" s="200"/>
      <c r="AY791" s="200"/>
      <c r="AZ791" s="200"/>
      <c r="BA791" s="200"/>
      <c r="BB791" s="200"/>
      <c r="BC791" s="200"/>
      <c r="BD791" s="200"/>
    </row>
    <row r="792" spans="32:56" ht="24" customHeight="1" x14ac:dyDescent="0.25">
      <c r="AF792" s="200"/>
      <c r="AG792" s="200"/>
      <c r="AH792" s="200"/>
      <c r="AI792" s="200"/>
      <c r="AJ792" s="200"/>
      <c r="AK792" s="200"/>
      <c r="AL792" s="200"/>
      <c r="AM792" s="200"/>
      <c r="AN792" s="200"/>
      <c r="AO792" s="200"/>
      <c r="AP792" s="200"/>
      <c r="AQ792" s="200"/>
      <c r="AR792" s="200"/>
      <c r="AS792" s="200"/>
      <c r="AT792" s="200"/>
      <c r="AU792" s="200"/>
      <c r="AV792" s="200"/>
      <c r="AW792" s="200"/>
      <c r="AX792" s="200"/>
      <c r="AY792" s="200"/>
      <c r="AZ792" s="200"/>
      <c r="BA792" s="200"/>
      <c r="BB792" s="200"/>
      <c r="BC792" s="200"/>
      <c r="BD792" s="200"/>
    </row>
    <row r="793" spans="32:56" ht="24" customHeight="1" x14ac:dyDescent="0.25">
      <c r="AF793" s="200"/>
      <c r="AG793" s="200"/>
      <c r="AH793" s="200"/>
      <c r="AI793" s="200"/>
      <c r="AJ793" s="200"/>
      <c r="AK793" s="200"/>
      <c r="AL793" s="200"/>
      <c r="AM793" s="200"/>
      <c r="AN793" s="200"/>
      <c r="AO793" s="200"/>
      <c r="AP793" s="200"/>
      <c r="AQ793" s="200"/>
      <c r="AR793" s="200"/>
      <c r="AS793" s="200"/>
      <c r="AT793" s="200"/>
      <c r="AU793" s="200"/>
      <c r="AV793" s="200"/>
      <c r="AW793" s="200"/>
      <c r="AX793" s="200"/>
      <c r="AY793" s="200"/>
      <c r="AZ793" s="200"/>
      <c r="BA793" s="200"/>
      <c r="BB793" s="200"/>
      <c r="BC793" s="200"/>
      <c r="BD793" s="200"/>
    </row>
    <row r="794" spans="32:56" ht="24" customHeight="1" x14ac:dyDescent="0.25">
      <c r="AF794" s="200"/>
      <c r="AG794" s="200"/>
      <c r="AH794" s="200"/>
      <c r="AI794" s="200"/>
      <c r="AJ794" s="200"/>
      <c r="AK794" s="200"/>
      <c r="AL794" s="200"/>
      <c r="AM794" s="200"/>
      <c r="AN794" s="200"/>
      <c r="AO794" s="200"/>
      <c r="AP794" s="200"/>
      <c r="AQ794" s="200"/>
      <c r="AR794" s="200"/>
      <c r="AS794" s="200"/>
      <c r="AT794" s="200"/>
      <c r="AU794" s="200"/>
      <c r="AV794" s="200"/>
      <c r="AW794" s="200"/>
      <c r="AX794" s="200"/>
      <c r="AY794" s="200"/>
      <c r="AZ794" s="200"/>
      <c r="BA794" s="200"/>
      <c r="BB794" s="200"/>
      <c r="BC794" s="200"/>
      <c r="BD794" s="200"/>
    </row>
    <row r="795" spans="32:56" ht="24" customHeight="1" x14ac:dyDescent="0.25">
      <c r="AF795" s="200"/>
      <c r="AG795" s="200"/>
      <c r="AH795" s="200"/>
      <c r="AI795" s="200"/>
      <c r="AJ795" s="200"/>
      <c r="AK795" s="200"/>
      <c r="AL795" s="200"/>
      <c r="AM795" s="200"/>
      <c r="AN795" s="200"/>
      <c r="AO795" s="200"/>
      <c r="AP795" s="200"/>
      <c r="AQ795" s="200"/>
      <c r="AR795" s="200"/>
      <c r="AS795" s="200"/>
      <c r="AT795" s="200"/>
      <c r="AU795" s="200"/>
      <c r="AV795" s="200"/>
      <c r="AW795" s="200"/>
      <c r="AX795" s="200"/>
      <c r="AY795" s="200"/>
      <c r="AZ795" s="200"/>
      <c r="BA795" s="200"/>
      <c r="BB795" s="200"/>
      <c r="BC795" s="200"/>
      <c r="BD795" s="200"/>
    </row>
    <row r="796" spans="32:56" ht="24" customHeight="1" x14ac:dyDescent="0.25">
      <c r="AF796" s="200"/>
      <c r="AG796" s="200"/>
      <c r="AH796" s="200"/>
      <c r="AI796" s="200"/>
      <c r="AJ796" s="200"/>
      <c r="AK796" s="200"/>
      <c r="AL796" s="200"/>
      <c r="AM796" s="200"/>
      <c r="AN796" s="200"/>
      <c r="AO796" s="200"/>
      <c r="AP796" s="200"/>
      <c r="AQ796" s="200"/>
      <c r="AR796" s="200"/>
      <c r="AS796" s="200"/>
      <c r="AT796" s="200"/>
      <c r="AU796" s="200"/>
      <c r="AV796" s="200"/>
      <c r="AW796" s="200"/>
      <c r="AX796" s="200"/>
      <c r="AY796" s="200"/>
      <c r="AZ796" s="200"/>
      <c r="BA796" s="200"/>
      <c r="BB796" s="200"/>
      <c r="BC796" s="200"/>
      <c r="BD796" s="200"/>
    </row>
    <row r="797" spans="32:56" ht="24" customHeight="1" x14ac:dyDescent="0.25">
      <c r="AF797" s="200"/>
      <c r="AG797" s="200"/>
      <c r="AH797" s="200"/>
      <c r="AI797" s="200"/>
      <c r="AJ797" s="200"/>
      <c r="AK797" s="200"/>
      <c r="AL797" s="200"/>
      <c r="AM797" s="200"/>
      <c r="AN797" s="200"/>
      <c r="AO797" s="200"/>
      <c r="AP797" s="200"/>
      <c r="AQ797" s="200"/>
      <c r="AR797" s="200"/>
      <c r="AS797" s="200"/>
      <c r="AT797" s="200"/>
      <c r="AU797" s="200"/>
      <c r="AV797" s="200"/>
      <c r="AW797" s="200"/>
      <c r="AX797" s="200"/>
      <c r="AY797" s="200"/>
      <c r="AZ797" s="200"/>
      <c r="BA797" s="200"/>
      <c r="BB797" s="200"/>
      <c r="BC797" s="200"/>
      <c r="BD797" s="200"/>
    </row>
    <row r="798" spans="32:56" ht="24" customHeight="1" x14ac:dyDescent="0.25">
      <c r="AF798" s="200"/>
      <c r="AG798" s="200"/>
      <c r="AH798" s="200"/>
      <c r="AI798" s="200"/>
      <c r="AJ798" s="200"/>
      <c r="AK798" s="200"/>
      <c r="AL798" s="200"/>
      <c r="AM798" s="200"/>
      <c r="AN798" s="200"/>
      <c r="AO798" s="200"/>
      <c r="AP798" s="200"/>
      <c r="AQ798" s="200"/>
      <c r="AR798" s="200"/>
      <c r="AS798" s="200"/>
      <c r="AT798" s="200"/>
      <c r="AU798" s="200"/>
      <c r="AV798" s="200"/>
      <c r="AW798" s="200"/>
      <c r="AX798" s="200"/>
      <c r="AY798" s="200"/>
      <c r="AZ798" s="200"/>
      <c r="BA798" s="200"/>
      <c r="BB798" s="200"/>
      <c r="BC798" s="200"/>
      <c r="BD798" s="200"/>
    </row>
    <row r="799" spans="32:56" ht="24" customHeight="1" x14ac:dyDescent="0.25">
      <c r="AF799" s="200"/>
      <c r="AG799" s="200"/>
      <c r="AH799" s="200"/>
      <c r="AI799" s="200"/>
      <c r="AJ799" s="200"/>
      <c r="AK799" s="200"/>
      <c r="AL799" s="200"/>
      <c r="AM799" s="200"/>
      <c r="AN799" s="200"/>
      <c r="AO799" s="200"/>
      <c r="AP799" s="200"/>
      <c r="AQ799" s="200"/>
      <c r="AR799" s="200"/>
      <c r="AS799" s="200"/>
      <c r="AT799" s="200"/>
      <c r="AU799" s="200"/>
      <c r="AV799" s="200"/>
      <c r="AW799" s="200"/>
      <c r="AX799" s="200"/>
      <c r="AY799" s="200"/>
      <c r="AZ799" s="200"/>
      <c r="BA799" s="200"/>
      <c r="BB799" s="200"/>
      <c r="BC799" s="200"/>
      <c r="BD799" s="200"/>
    </row>
    <row r="800" spans="32:56" ht="24" customHeight="1" x14ac:dyDescent="0.25">
      <c r="AF800" s="200"/>
      <c r="AG800" s="200"/>
      <c r="AH800" s="200"/>
      <c r="AI800" s="200"/>
      <c r="AJ800" s="200"/>
      <c r="AK800" s="200"/>
      <c r="AL800" s="200"/>
      <c r="AM800" s="200"/>
      <c r="AN800" s="200"/>
      <c r="AO800" s="200"/>
      <c r="AP800" s="200"/>
      <c r="AQ800" s="200"/>
      <c r="AR800" s="200"/>
      <c r="AS800" s="200"/>
      <c r="AT800" s="200"/>
      <c r="AU800" s="200"/>
      <c r="AV800" s="200"/>
      <c r="AW800" s="200"/>
      <c r="AX800" s="200"/>
      <c r="AY800" s="200"/>
      <c r="AZ800" s="200"/>
      <c r="BA800" s="200"/>
      <c r="BB800" s="200"/>
      <c r="BC800" s="200"/>
      <c r="BD800" s="200"/>
    </row>
    <row r="801" spans="32:56" ht="24" customHeight="1" x14ac:dyDescent="0.25">
      <c r="AF801" s="200"/>
      <c r="AG801" s="200"/>
      <c r="AH801" s="200"/>
      <c r="AI801" s="200"/>
      <c r="AJ801" s="200"/>
      <c r="AK801" s="200"/>
      <c r="AL801" s="200"/>
      <c r="AM801" s="200"/>
      <c r="AN801" s="200"/>
      <c r="AO801" s="200"/>
      <c r="AP801" s="200"/>
      <c r="AQ801" s="200"/>
      <c r="AR801" s="200"/>
      <c r="AS801" s="200"/>
      <c r="AT801" s="200"/>
      <c r="AU801" s="200"/>
      <c r="AV801" s="200"/>
      <c r="AW801" s="200"/>
      <c r="AX801" s="200"/>
      <c r="AY801" s="200"/>
      <c r="AZ801" s="200"/>
      <c r="BA801" s="200"/>
      <c r="BB801" s="200"/>
      <c r="BC801" s="200"/>
      <c r="BD801" s="200"/>
    </row>
    <row r="802" spans="32:56" ht="24" customHeight="1" x14ac:dyDescent="0.25">
      <c r="AF802" s="200"/>
      <c r="AG802" s="200"/>
      <c r="AH802" s="200"/>
      <c r="AI802" s="200"/>
      <c r="AJ802" s="200"/>
      <c r="AK802" s="200"/>
      <c r="AL802" s="200"/>
      <c r="AM802" s="200"/>
      <c r="AN802" s="200"/>
      <c r="AO802" s="200"/>
      <c r="AP802" s="200"/>
      <c r="AQ802" s="200"/>
      <c r="AR802" s="200"/>
      <c r="AS802" s="200"/>
      <c r="AT802" s="200"/>
      <c r="AU802" s="200"/>
      <c r="AV802" s="200"/>
      <c r="AW802" s="200"/>
      <c r="AX802" s="200"/>
      <c r="AY802" s="200"/>
      <c r="AZ802" s="200"/>
      <c r="BA802" s="200"/>
      <c r="BB802" s="200"/>
      <c r="BC802" s="200"/>
      <c r="BD802" s="200"/>
    </row>
    <row r="803" spans="32:56" ht="24" customHeight="1" x14ac:dyDescent="0.25">
      <c r="AF803" s="200"/>
      <c r="AG803" s="200"/>
      <c r="AH803" s="200"/>
      <c r="AI803" s="200"/>
      <c r="AJ803" s="200"/>
      <c r="AK803" s="200"/>
      <c r="AL803" s="200"/>
      <c r="AM803" s="200"/>
      <c r="AN803" s="200"/>
      <c r="AO803" s="200"/>
      <c r="AP803" s="200"/>
      <c r="AQ803" s="200"/>
      <c r="AR803" s="200"/>
      <c r="AS803" s="200"/>
      <c r="AT803" s="200"/>
      <c r="AU803" s="200"/>
      <c r="AV803" s="200"/>
      <c r="AW803" s="200"/>
      <c r="AX803" s="200"/>
      <c r="AY803" s="200"/>
      <c r="AZ803" s="200"/>
      <c r="BA803" s="200"/>
      <c r="BB803" s="200"/>
      <c r="BC803" s="200"/>
      <c r="BD803" s="200"/>
    </row>
    <row r="804" spans="32:56" ht="24" customHeight="1" x14ac:dyDescent="0.25">
      <c r="AF804" s="200"/>
      <c r="AG804" s="200"/>
      <c r="AH804" s="200"/>
      <c r="AI804" s="200"/>
      <c r="AJ804" s="200"/>
      <c r="AK804" s="200"/>
      <c r="AL804" s="200"/>
      <c r="AM804" s="200"/>
      <c r="AN804" s="200"/>
      <c r="AO804" s="200"/>
      <c r="AP804" s="200"/>
      <c r="AQ804" s="200"/>
      <c r="AR804" s="200"/>
      <c r="AS804" s="200"/>
      <c r="AT804" s="200"/>
      <c r="AU804" s="200"/>
      <c r="AV804" s="200"/>
      <c r="AW804" s="200"/>
      <c r="AX804" s="200"/>
      <c r="AY804" s="200"/>
      <c r="AZ804" s="200"/>
      <c r="BA804" s="200"/>
      <c r="BB804" s="200"/>
      <c r="BC804" s="200"/>
      <c r="BD804" s="200"/>
    </row>
    <row r="805" spans="32:56" ht="24" customHeight="1" x14ac:dyDescent="0.25">
      <c r="AF805" s="200"/>
      <c r="AG805" s="200"/>
      <c r="AH805" s="200"/>
      <c r="AI805" s="200"/>
      <c r="AJ805" s="200"/>
      <c r="AK805" s="200"/>
      <c r="AL805" s="200"/>
      <c r="AM805" s="200"/>
      <c r="AN805" s="200"/>
      <c r="AO805" s="200"/>
      <c r="AP805" s="200"/>
      <c r="AQ805" s="200"/>
      <c r="AR805" s="200"/>
      <c r="AS805" s="200"/>
      <c r="AT805" s="200"/>
      <c r="AU805" s="200"/>
      <c r="AV805" s="200"/>
      <c r="AW805" s="200"/>
      <c r="AX805" s="200"/>
      <c r="AY805" s="200"/>
      <c r="AZ805" s="200"/>
      <c r="BA805" s="200"/>
      <c r="BB805" s="200"/>
      <c r="BC805" s="200"/>
      <c r="BD805" s="200"/>
    </row>
    <row r="806" spans="32:56" ht="24" customHeight="1" x14ac:dyDescent="0.25">
      <c r="AF806" s="200"/>
      <c r="AG806" s="200"/>
      <c r="AH806" s="200"/>
      <c r="AI806" s="200"/>
      <c r="AJ806" s="200"/>
      <c r="AK806" s="200"/>
      <c r="AL806" s="200"/>
      <c r="AM806" s="200"/>
      <c r="AN806" s="200"/>
      <c r="AO806" s="200"/>
      <c r="AP806" s="200"/>
      <c r="AQ806" s="200"/>
      <c r="AR806" s="200"/>
      <c r="AS806" s="200"/>
      <c r="AT806" s="200"/>
      <c r="AU806" s="200"/>
      <c r="AV806" s="200"/>
      <c r="AW806" s="200"/>
      <c r="AX806" s="200"/>
      <c r="AY806" s="200"/>
      <c r="AZ806" s="200"/>
      <c r="BA806" s="200"/>
      <c r="BB806" s="200"/>
      <c r="BC806" s="200"/>
      <c r="BD806" s="200"/>
    </row>
    <row r="807" spans="32:56" ht="24" customHeight="1" x14ac:dyDescent="0.25">
      <c r="AF807" s="200"/>
      <c r="AG807" s="200"/>
      <c r="AH807" s="200"/>
      <c r="AI807" s="200"/>
      <c r="AJ807" s="200"/>
      <c r="AK807" s="200"/>
      <c r="AL807" s="200"/>
      <c r="AM807" s="200"/>
      <c r="AN807" s="200"/>
      <c r="AO807" s="200"/>
      <c r="AP807" s="200"/>
      <c r="AQ807" s="200"/>
      <c r="AR807" s="200"/>
      <c r="AS807" s="200"/>
      <c r="AT807" s="200"/>
      <c r="AU807" s="200"/>
      <c r="AV807" s="200"/>
      <c r="AW807" s="200"/>
      <c r="AX807" s="200"/>
      <c r="AY807" s="200"/>
      <c r="AZ807" s="200"/>
      <c r="BA807" s="200"/>
      <c r="BB807" s="200"/>
      <c r="BC807" s="200"/>
      <c r="BD807" s="200"/>
    </row>
    <row r="808" spans="32:56" ht="24" customHeight="1" x14ac:dyDescent="0.25">
      <c r="AF808" s="200"/>
      <c r="AG808" s="200"/>
      <c r="AH808" s="200"/>
      <c r="AI808" s="200"/>
      <c r="AJ808" s="200"/>
      <c r="AK808" s="200"/>
      <c r="AL808" s="200"/>
      <c r="AM808" s="200"/>
      <c r="AN808" s="200"/>
      <c r="AO808" s="200"/>
      <c r="AP808" s="200"/>
      <c r="AQ808" s="200"/>
      <c r="AR808" s="200"/>
      <c r="AS808" s="200"/>
      <c r="AT808" s="200"/>
      <c r="AU808" s="200"/>
      <c r="AV808" s="200"/>
      <c r="AW808" s="200"/>
      <c r="AX808" s="200"/>
      <c r="AY808" s="200"/>
      <c r="AZ808" s="200"/>
      <c r="BA808" s="200"/>
      <c r="BB808" s="200"/>
      <c r="BC808" s="200"/>
      <c r="BD808" s="200"/>
    </row>
    <row r="809" spans="32:56" ht="24" customHeight="1" x14ac:dyDescent="0.25">
      <c r="AF809" s="200"/>
      <c r="AG809" s="200"/>
      <c r="AH809" s="200"/>
      <c r="AI809" s="200"/>
      <c r="AJ809" s="200"/>
      <c r="AK809" s="200"/>
      <c r="AL809" s="200"/>
      <c r="AM809" s="200"/>
      <c r="AN809" s="200"/>
      <c r="AO809" s="200"/>
      <c r="AP809" s="200"/>
      <c r="AQ809" s="200"/>
      <c r="AR809" s="200"/>
      <c r="AS809" s="200"/>
      <c r="AT809" s="200"/>
      <c r="AU809" s="200"/>
      <c r="AV809" s="200"/>
      <c r="AW809" s="200"/>
      <c r="AX809" s="200"/>
      <c r="AY809" s="200"/>
      <c r="AZ809" s="200"/>
      <c r="BA809" s="200"/>
      <c r="BB809" s="200"/>
      <c r="BC809" s="200"/>
      <c r="BD809" s="200"/>
    </row>
    <row r="810" spans="32:56" ht="24" customHeight="1" x14ac:dyDescent="0.25">
      <c r="AF810" s="200"/>
      <c r="AG810" s="200"/>
      <c r="AH810" s="200"/>
      <c r="AI810" s="200"/>
      <c r="AJ810" s="200"/>
      <c r="AK810" s="200"/>
      <c r="AL810" s="200"/>
      <c r="AM810" s="200"/>
      <c r="AN810" s="200"/>
      <c r="AO810" s="200"/>
      <c r="AP810" s="200"/>
      <c r="AQ810" s="200"/>
      <c r="AR810" s="200"/>
      <c r="AS810" s="200"/>
      <c r="AT810" s="200"/>
      <c r="AU810" s="200"/>
      <c r="AV810" s="200"/>
      <c r="AW810" s="200"/>
      <c r="AX810" s="200"/>
      <c r="AY810" s="200"/>
      <c r="AZ810" s="200"/>
      <c r="BA810" s="200"/>
      <c r="BB810" s="200"/>
      <c r="BC810" s="200"/>
      <c r="BD810" s="200"/>
    </row>
    <row r="811" spans="32:56" ht="24" customHeight="1" x14ac:dyDescent="0.25">
      <c r="AF811" s="200"/>
      <c r="AG811" s="200"/>
      <c r="AH811" s="200"/>
      <c r="AI811" s="200"/>
      <c r="AJ811" s="200"/>
      <c r="AK811" s="200"/>
      <c r="AL811" s="200"/>
      <c r="AM811" s="200"/>
      <c r="AN811" s="200"/>
      <c r="AO811" s="200"/>
      <c r="AP811" s="200"/>
      <c r="AQ811" s="200"/>
      <c r="AR811" s="200"/>
      <c r="AS811" s="200"/>
      <c r="AT811" s="200"/>
      <c r="AU811" s="200"/>
      <c r="AV811" s="200"/>
      <c r="AW811" s="200"/>
      <c r="AX811" s="200"/>
      <c r="AY811" s="200"/>
      <c r="AZ811" s="200"/>
      <c r="BA811" s="200"/>
      <c r="BB811" s="200"/>
      <c r="BC811" s="200"/>
      <c r="BD811" s="200"/>
    </row>
    <row r="812" spans="32:56" ht="24" customHeight="1" x14ac:dyDescent="0.25">
      <c r="AF812" s="200"/>
      <c r="AG812" s="200"/>
      <c r="AH812" s="200"/>
      <c r="AI812" s="200"/>
      <c r="AJ812" s="200"/>
      <c r="AK812" s="200"/>
      <c r="AL812" s="200"/>
      <c r="AM812" s="200"/>
      <c r="AN812" s="200"/>
      <c r="AO812" s="200"/>
      <c r="AP812" s="200"/>
      <c r="AQ812" s="200"/>
      <c r="AR812" s="200"/>
      <c r="AS812" s="200"/>
      <c r="AT812" s="200"/>
      <c r="AU812" s="200"/>
      <c r="AV812" s="200"/>
      <c r="AW812" s="200"/>
      <c r="AX812" s="200"/>
      <c r="AY812" s="200"/>
      <c r="AZ812" s="200"/>
      <c r="BA812" s="200"/>
      <c r="BB812" s="200"/>
      <c r="BC812" s="200"/>
      <c r="BD812" s="200"/>
    </row>
    <row r="813" spans="32:56" ht="24" customHeight="1" x14ac:dyDescent="0.25">
      <c r="AF813" s="200"/>
      <c r="AG813" s="200"/>
      <c r="AH813" s="200"/>
      <c r="AI813" s="200"/>
      <c r="AJ813" s="200"/>
      <c r="AK813" s="200"/>
      <c r="AL813" s="200"/>
      <c r="AM813" s="200"/>
      <c r="AN813" s="200"/>
      <c r="AO813" s="200"/>
      <c r="AP813" s="200"/>
      <c r="AQ813" s="200"/>
      <c r="AR813" s="200"/>
      <c r="AS813" s="200"/>
      <c r="AT813" s="200"/>
      <c r="AU813" s="200"/>
      <c r="AV813" s="200"/>
      <c r="AW813" s="200"/>
      <c r="AX813" s="200"/>
      <c r="AY813" s="200"/>
      <c r="AZ813" s="200"/>
      <c r="BA813" s="200"/>
      <c r="BB813" s="200"/>
      <c r="BC813" s="200"/>
      <c r="BD813" s="200"/>
    </row>
    <row r="814" spans="32:56" ht="24" customHeight="1" x14ac:dyDescent="0.25">
      <c r="AF814" s="200"/>
      <c r="AG814" s="200"/>
      <c r="AH814" s="200"/>
      <c r="AI814" s="200"/>
      <c r="AJ814" s="200"/>
      <c r="AK814" s="200"/>
      <c r="AL814" s="200"/>
      <c r="AM814" s="200"/>
      <c r="AN814" s="200"/>
      <c r="AO814" s="200"/>
      <c r="AP814" s="200"/>
      <c r="AQ814" s="200"/>
      <c r="AR814" s="200"/>
      <c r="AS814" s="200"/>
      <c r="AT814" s="200"/>
      <c r="AU814" s="200"/>
      <c r="AV814" s="200"/>
      <c r="AW814" s="200"/>
      <c r="AX814" s="200"/>
      <c r="AY814" s="200"/>
      <c r="AZ814" s="200"/>
      <c r="BA814" s="200"/>
      <c r="BB814" s="200"/>
      <c r="BC814" s="200"/>
      <c r="BD814" s="200"/>
    </row>
    <row r="815" spans="32:56" ht="24" customHeight="1" x14ac:dyDescent="0.25">
      <c r="AF815" s="200"/>
      <c r="AG815" s="200"/>
      <c r="AH815" s="200"/>
      <c r="AI815" s="200"/>
      <c r="AJ815" s="200"/>
      <c r="AK815" s="200"/>
      <c r="AL815" s="200"/>
      <c r="AM815" s="200"/>
      <c r="AN815" s="200"/>
      <c r="AO815" s="200"/>
      <c r="AP815" s="200"/>
      <c r="AQ815" s="200"/>
      <c r="AR815" s="200"/>
      <c r="AS815" s="200"/>
      <c r="AT815" s="200"/>
      <c r="AU815" s="200"/>
      <c r="AV815" s="200"/>
      <c r="AW815" s="200"/>
      <c r="AX815" s="200"/>
      <c r="AY815" s="200"/>
      <c r="AZ815" s="200"/>
      <c r="BA815" s="200"/>
      <c r="BB815" s="200"/>
      <c r="BC815" s="200"/>
      <c r="BD815" s="200"/>
    </row>
    <row r="816" spans="32:56" ht="24" customHeight="1" x14ac:dyDescent="0.25">
      <c r="AF816" s="200"/>
      <c r="AG816" s="200"/>
      <c r="AH816" s="200"/>
      <c r="AI816" s="200"/>
      <c r="AJ816" s="200"/>
      <c r="AK816" s="200"/>
      <c r="AL816" s="200"/>
      <c r="AM816" s="200"/>
      <c r="AN816" s="200"/>
      <c r="AO816" s="200"/>
      <c r="AP816" s="200"/>
      <c r="AQ816" s="200"/>
      <c r="AR816" s="200"/>
      <c r="AS816" s="200"/>
      <c r="AT816" s="200"/>
      <c r="AU816" s="200"/>
      <c r="AV816" s="200"/>
      <c r="AW816" s="200"/>
      <c r="AX816" s="200"/>
      <c r="AY816" s="200"/>
      <c r="AZ816" s="200"/>
      <c r="BA816" s="200"/>
      <c r="BB816" s="200"/>
      <c r="BC816" s="200"/>
      <c r="BD816" s="200"/>
    </row>
    <row r="817" spans="32:56" ht="24" customHeight="1" x14ac:dyDescent="0.25">
      <c r="AF817" s="200"/>
      <c r="AG817" s="200"/>
      <c r="AH817" s="200"/>
      <c r="AI817" s="200"/>
      <c r="AJ817" s="200"/>
      <c r="AK817" s="200"/>
      <c r="AL817" s="200"/>
      <c r="AM817" s="200"/>
      <c r="AN817" s="200"/>
      <c r="AO817" s="200"/>
      <c r="AP817" s="200"/>
      <c r="AQ817" s="200"/>
      <c r="AR817" s="200"/>
      <c r="AS817" s="200"/>
      <c r="AT817" s="200"/>
      <c r="AU817" s="200"/>
      <c r="AV817" s="200"/>
      <c r="AW817" s="200"/>
      <c r="AX817" s="200"/>
      <c r="AY817" s="200"/>
      <c r="AZ817" s="200"/>
      <c r="BA817" s="200"/>
      <c r="BB817" s="200"/>
      <c r="BC817" s="200"/>
      <c r="BD817" s="200"/>
    </row>
    <row r="818" spans="32:56" ht="24" customHeight="1" x14ac:dyDescent="0.25">
      <c r="AF818" s="200"/>
      <c r="AG818" s="200"/>
      <c r="AH818" s="200"/>
      <c r="AI818" s="200"/>
      <c r="AJ818" s="200"/>
      <c r="AK818" s="200"/>
      <c r="AL818" s="200"/>
      <c r="AM818" s="200"/>
      <c r="AN818" s="200"/>
      <c r="AO818" s="200"/>
      <c r="AP818" s="200"/>
      <c r="AQ818" s="200"/>
      <c r="AR818" s="200"/>
      <c r="AS818" s="200"/>
      <c r="AT818" s="200"/>
      <c r="AU818" s="200"/>
      <c r="AV818" s="200"/>
      <c r="AW818" s="200"/>
      <c r="AX818" s="200"/>
      <c r="AY818" s="200"/>
      <c r="AZ818" s="200"/>
      <c r="BA818" s="200"/>
      <c r="BB818" s="200"/>
      <c r="BC818" s="200"/>
      <c r="BD818" s="200"/>
    </row>
    <row r="819" spans="32:56" ht="24" customHeight="1" x14ac:dyDescent="0.25">
      <c r="AF819" s="200"/>
      <c r="AG819" s="200"/>
      <c r="AH819" s="200"/>
      <c r="AI819" s="200"/>
      <c r="AJ819" s="200"/>
      <c r="AK819" s="200"/>
      <c r="AL819" s="200"/>
      <c r="AM819" s="200"/>
      <c r="AN819" s="200"/>
      <c r="AO819" s="200"/>
      <c r="AP819" s="200"/>
      <c r="AQ819" s="200"/>
      <c r="AR819" s="200"/>
      <c r="AS819" s="200"/>
      <c r="AT819" s="200"/>
      <c r="AU819" s="200"/>
      <c r="AV819" s="200"/>
      <c r="AW819" s="200"/>
      <c r="AX819" s="200"/>
      <c r="AY819" s="200"/>
      <c r="AZ819" s="200"/>
      <c r="BA819" s="200"/>
      <c r="BB819" s="200"/>
      <c r="BC819" s="200"/>
      <c r="BD819" s="200"/>
    </row>
    <row r="820" spans="32:56" ht="24" customHeight="1" x14ac:dyDescent="0.25">
      <c r="AF820" s="200"/>
      <c r="AG820" s="200"/>
      <c r="AH820" s="200"/>
      <c r="AI820" s="200"/>
      <c r="AJ820" s="200"/>
      <c r="AK820" s="200"/>
      <c r="AL820" s="200"/>
      <c r="AM820" s="200"/>
      <c r="AN820" s="200"/>
      <c r="AO820" s="200"/>
      <c r="AP820" s="200"/>
      <c r="AQ820" s="200"/>
      <c r="AR820" s="200"/>
      <c r="AS820" s="200"/>
      <c r="AT820" s="200"/>
      <c r="AU820" s="200"/>
      <c r="AV820" s="200"/>
      <c r="AW820" s="200"/>
      <c r="AX820" s="200"/>
      <c r="AY820" s="200"/>
      <c r="AZ820" s="200"/>
      <c r="BA820" s="200"/>
      <c r="BB820" s="200"/>
      <c r="BC820" s="200"/>
      <c r="BD820" s="200"/>
    </row>
    <row r="821" spans="32:56" ht="24" customHeight="1" x14ac:dyDescent="0.25">
      <c r="AF821" s="200"/>
      <c r="AG821" s="200"/>
      <c r="AH821" s="200"/>
      <c r="AI821" s="200"/>
      <c r="AJ821" s="200"/>
      <c r="AK821" s="200"/>
      <c r="AL821" s="200"/>
      <c r="AM821" s="200"/>
      <c r="AN821" s="200"/>
      <c r="AO821" s="200"/>
      <c r="AP821" s="200"/>
      <c r="AQ821" s="200"/>
      <c r="AR821" s="200"/>
      <c r="AS821" s="200"/>
      <c r="AT821" s="200"/>
      <c r="AU821" s="200"/>
      <c r="AV821" s="200"/>
      <c r="AW821" s="200"/>
      <c r="AX821" s="200"/>
      <c r="AY821" s="200"/>
      <c r="AZ821" s="200"/>
      <c r="BA821" s="200"/>
      <c r="BB821" s="200"/>
      <c r="BC821" s="200"/>
      <c r="BD821" s="200"/>
    </row>
    <row r="822" spans="32:56" ht="24" customHeight="1" x14ac:dyDescent="0.25">
      <c r="AF822" s="200"/>
      <c r="AG822" s="200"/>
      <c r="AH822" s="200"/>
      <c r="AI822" s="200"/>
      <c r="AJ822" s="200"/>
      <c r="AK822" s="200"/>
      <c r="AL822" s="200"/>
      <c r="AM822" s="200"/>
      <c r="AN822" s="200"/>
      <c r="AO822" s="200"/>
      <c r="AP822" s="200"/>
      <c r="AQ822" s="200"/>
      <c r="AR822" s="200"/>
      <c r="AS822" s="200"/>
      <c r="AT822" s="200"/>
      <c r="AU822" s="200"/>
      <c r="AV822" s="200"/>
      <c r="AW822" s="200"/>
      <c r="AX822" s="200"/>
      <c r="AY822" s="200"/>
      <c r="AZ822" s="200"/>
      <c r="BA822" s="200"/>
      <c r="BB822" s="200"/>
      <c r="BC822" s="200"/>
      <c r="BD822" s="200"/>
    </row>
    <row r="823" spans="32:56" ht="24" customHeight="1" x14ac:dyDescent="0.25">
      <c r="AF823" s="200"/>
      <c r="AG823" s="200"/>
      <c r="AH823" s="200"/>
      <c r="AI823" s="200"/>
      <c r="AJ823" s="200"/>
      <c r="AK823" s="200"/>
      <c r="AL823" s="200"/>
      <c r="AM823" s="200"/>
      <c r="AN823" s="200"/>
      <c r="AO823" s="200"/>
      <c r="AP823" s="200"/>
      <c r="AQ823" s="200"/>
      <c r="AR823" s="200"/>
      <c r="AS823" s="200"/>
      <c r="AT823" s="200"/>
      <c r="AU823" s="200"/>
      <c r="AV823" s="200"/>
      <c r="AW823" s="200"/>
      <c r="AX823" s="200"/>
      <c r="AY823" s="200"/>
      <c r="AZ823" s="200"/>
      <c r="BA823" s="200"/>
      <c r="BB823" s="200"/>
      <c r="BC823" s="200"/>
      <c r="BD823" s="200"/>
    </row>
    <row r="824" spans="32:56" ht="24" customHeight="1" x14ac:dyDescent="0.25">
      <c r="AF824" s="200"/>
      <c r="AG824" s="200"/>
      <c r="AH824" s="200"/>
      <c r="AI824" s="200"/>
      <c r="AJ824" s="200"/>
      <c r="AK824" s="200"/>
      <c r="AL824" s="200"/>
      <c r="AM824" s="200"/>
      <c r="AN824" s="200"/>
      <c r="AO824" s="200"/>
      <c r="AP824" s="200"/>
      <c r="AQ824" s="200"/>
      <c r="AR824" s="200"/>
      <c r="AS824" s="200"/>
      <c r="AT824" s="200"/>
      <c r="AU824" s="200"/>
      <c r="AV824" s="200"/>
      <c r="AW824" s="200"/>
      <c r="AX824" s="200"/>
      <c r="AY824" s="200"/>
      <c r="AZ824" s="200"/>
      <c r="BA824" s="200"/>
      <c r="BB824" s="200"/>
      <c r="BC824" s="200"/>
      <c r="BD824" s="200"/>
    </row>
    <row r="825" spans="32:56" ht="24" customHeight="1" x14ac:dyDescent="0.25">
      <c r="AF825" s="200"/>
      <c r="AG825" s="200"/>
      <c r="AH825" s="200"/>
      <c r="AI825" s="200"/>
      <c r="AJ825" s="200"/>
      <c r="AK825" s="200"/>
      <c r="AL825" s="200"/>
      <c r="AM825" s="200"/>
      <c r="AN825" s="200"/>
      <c r="AO825" s="200"/>
      <c r="AP825" s="200"/>
      <c r="AQ825" s="200"/>
      <c r="AR825" s="200"/>
      <c r="AS825" s="200"/>
      <c r="AT825" s="200"/>
      <c r="AU825" s="200"/>
      <c r="AV825" s="200"/>
      <c r="AW825" s="200"/>
      <c r="AX825" s="200"/>
      <c r="AY825" s="200"/>
      <c r="AZ825" s="200"/>
      <c r="BA825" s="200"/>
      <c r="BB825" s="200"/>
      <c r="BC825" s="200"/>
      <c r="BD825" s="200"/>
    </row>
    <row r="826" spans="32:56" ht="24" customHeight="1" x14ac:dyDescent="0.25">
      <c r="AF826" s="200"/>
      <c r="AG826" s="200"/>
      <c r="AH826" s="200"/>
      <c r="AI826" s="200"/>
      <c r="AJ826" s="200"/>
      <c r="AK826" s="200"/>
      <c r="AL826" s="200"/>
      <c r="AM826" s="200"/>
      <c r="AN826" s="200"/>
      <c r="AO826" s="200"/>
      <c r="AP826" s="200"/>
      <c r="AQ826" s="200"/>
      <c r="AR826" s="200"/>
      <c r="AS826" s="200"/>
      <c r="AT826" s="200"/>
      <c r="AU826" s="200"/>
      <c r="AV826" s="200"/>
      <c r="AW826" s="200"/>
      <c r="AX826" s="200"/>
      <c r="AY826" s="200"/>
      <c r="AZ826" s="200"/>
      <c r="BA826" s="200"/>
      <c r="BB826" s="200"/>
      <c r="BC826" s="200"/>
      <c r="BD826" s="200"/>
    </row>
    <row r="827" spans="32:56" ht="24" customHeight="1" x14ac:dyDescent="0.25">
      <c r="AF827" s="200"/>
      <c r="AG827" s="200"/>
      <c r="AH827" s="200"/>
      <c r="AI827" s="200"/>
      <c r="AJ827" s="200"/>
      <c r="AK827" s="200"/>
      <c r="AL827" s="200"/>
      <c r="AM827" s="200"/>
      <c r="AN827" s="200"/>
      <c r="AO827" s="200"/>
      <c r="AP827" s="200"/>
      <c r="AQ827" s="200"/>
      <c r="AR827" s="200"/>
      <c r="AS827" s="200"/>
      <c r="AT827" s="200"/>
      <c r="AU827" s="200"/>
      <c r="AV827" s="200"/>
      <c r="AW827" s="200"/>
      <c r="AX827" s="200"/>
      <c r="AY827" s="200"/>
      <c r="AZ827" s="200"/>
      <c r="BA827" s="200"/>
      <c r="BB827" s="200"/>
      <c r="BC827" s="200"/>
      <c r="BD827" s="200"/>
    </row>
    <row r="828" spans="32:56" ht="24" customHeight="1" x14ac:dyDescent="0.25">
      <c r="AF828" s="200"/>
      <c r="AG828" s="200"/>
      <c r="AH828" s="200"/>
      <c r="AI828" s="200"/>
      <c r="AJ828" s="200"/>
      <c r="AK828" s="200"/>
      <c r="AL828" s="200"/>
      <c r="AM828" s="200"/>
      <c r="AN828" s="200"/>
      <c r="AO828" s="200"/>
      <c r="AP828" s="200"/>
      <c r="AQ828" s="200"/>
      <c r="AR828" s="200"/>
      <c r="AS828" s="200"/>
      <c r="AT828" s="200"/>
      <c r="AU828" s="200"/>
      <c r="AV828" s="200"/>
      <c r="AW828" s="200"/>
      <c r="AX828" s="200"/>
      <c r="AY828" s="200"/>
      <c r="AZ828" s="200"/>
      <c r="BA828" s="200"/>
      <c r="BB828" s="200"/>
      <c r="BC828" s="200"/>
      <c r="BD828" s="200"/>
    </row>
    <row r="829" spans="32:56" ht="24" customHeight="1" x14ac:dyDescent="0.25">
      <c r="AF829" s="200"/>
      <c r="AG829" s="200"/>
      <c r="AH829" s="200"/>
      <c r="AI829" s="200"/>
      <c r="AJ829" s="200"/>
      <c r="AK829" s="200"/>
      <c r="AL829" s="200"/>
      <c r="AM829" s="200"/>
      <c r="AN829" s="200"/>
      <c r="AO829" s="200"/>
      <c r="AP829" s="200"/>
      <c r="AQ829" s="200"/>
      <c r="AR829" s="200"/>
      <c r="AS829" s="200"/>
      <c r="AT829" s="200"/>
      <c r="AU829" s="200"/>
      <c r="AV829" s="200"/>
      <c r="AW829" s="200"/>
      <c r="AX829" s="200"/>
      <c r="AY829" s="200"/>
      <c r="AZ829" s="200"/>
      <c r="BA829" s="200"/>
      <c r="BB829" s="200"/>
      <c r="BC829" s="200"/>
      <c r="BD829" s="200"/>
    </row>
    <row r="830" spans="32:56" ht="24" customHeight="1" x14ac:dyDescent="0.25">
      <c r="AF830" s="200"/>
      <c r="AG830" s="200"/>
      <c r="AH830" s="200"/>
      <c r="AI830" s="200"/>
      <c r="AJ830" s="200"/>
      <c r="AK830" s="200"/>
      <c r="AL830" s="200"/>
      <c r="AM830" s="200"/>
      <c r="AN830" s="200"/>
      <c r="AO830" s="200"/>
      <c r="AP830" s="200"/>
      <c r="AQ830" s="200"/>
      <c r="AR830" s="200"/>
      <c r="AS830" s="200"/>
      <c r="AT830" s="200"/>
      <c r="AU830" s="200"/>
      <c r="AV830" s="200"/>
      <c r="AW830" s="200"/>
      <c r="AX830" s="200"/>
      <c r="AY830" s="200"/>
      <c r="AZ830" s="200"/>
      <c r="BA830" s="200"/>
      <c r="BB830" s="200"/>
      <c r="BC830" s="200"/>
      <c r="BD830" s="200"/>
    </row>
    <row r="831" spans="32:56" ht="24" customHeight="1" x14ac:dyDescent="0.25">
      <c r="AF831" s="200"/>
      <c r="AG831" s="200"/>
      <c r="AH831" s="200"/>
      <c r="AI831" s="200"/>
      <c r="AJ831" s="200"/>
      <c r="AK831" s="200"/>
      <c r="AL831" s="200"/>
      <c r="AM831" s="200"/>
      <c r="AN831" s="200"/>
      <c r="AO831" s="200"/>
      <c r="AP831" s="200"/>
      <c r="AQ831" s="200"/>
      <c r="AR831" s="200"/>
      <c r="AS831" s="200"/>
      <c r="AT831" s="200"/>
      <c r="AU831" s="200"/>
      <c r="AV831" s="200"/>
      <c r="AW831" s="200"/>
      <c r="AX831" s="200"/>
      <c r="AY831" s="200"/>
      <c r="AZ831" s="200"/>
      <c r="BA831" s="200"/>
      <c r="BB831" s="200"/>
      <c r="BC831" s="200"/>
      <c r="BD831" s="200"/>
    </row>
    <row r="832" spans="32:56" ht="24" customHeight="1" x14ac:dyDescent="0.25">
      <c r="AF832" s="200"/>
      <c r="AG832" s="200"/>
      <c r="AH832" s="200"/>
      <c r="AI832" s="200"/>
      <c r="AJ832" s="200"/>
      <c r="AK832" s="200"/>
      <c r="AL832" s="200"/>
      <c r="AM832" s="200"/>
      <c r="AN832" s="200"/>
      <c r="AO832" s="200"/>
      <c r="AP832" s="200"/>
      <c r="AQ832" s="200"/>
      <c r="AR832" s="200"/>
      <c r="AS832" s="200"/>
      <c r="AT832" s="200"/>
      <c r="AU832" s="200"/>
      <c r="AV832" s="200"/>
      <c r="AW832" s="200"/>
      <c r="AX832" s="200"/>
      <c r="AY832" s="200"/>
      <c r="AZ832" s="200"/>
      <c r="BA832" s="200"/>
      <c r="BB832" s="200"/>
      <c r="BC832" s="200"/>
      <c r="BD832" s="200"/>
    </row>
    <row r="833" spans="32:56" ht="24" customHeight="1" x14ac:dyDescent="0.25">
      <c r="AF833" s="200"/>
      <c r="AG833" s="200"/>
      <c r="AH833" s="200"/>
      <c r="AI833" s="200"/>
      <c r="AJ833" s="200"/>
      <c r="AK833" s="200"/>
      <c r="AL833" s="200"/>
      <c r="AM833" s="200"/>
      <c r="AN833" s="200"/>
      <c r="AO833" s="200"/>
      <c r="AP833" s="200"/>
      <c r="AQ833" s="200"/>
      <c r="AR833" s="200"/>
      <c r="AS833" s="200"/>
      <c r="AT833" s="200"/>
      <c r="AU833" s="200"/>
      <c r="AV833" s="200"/>
      <c r="AW833" s="200"/>
      <c r="AX833" s="200"/>
      <c r="AY833" s="200"/>
      <c r="AZ833" s="200"/>
      <c r="BA833" s="200"/>
      <c r="BB833" s="200"/>
      <c r="BC833" s="200"/>
      <c r="BD833" s="200"/>
    </row>
    <row r="834" spans="32:56" ht="24" customHeight="1" x14ac:dyDescent="0.25">
      <c r="AF834" s="200"/>
      <c r="AG834" s="200"/>
      <c r="AH834" s="200"/>
      <c r="AI834" s="200"/>
      <c r="AJ834" s="200"/>
      <c r="AK834" s="200"/>
      <c r="AL834" s="200"/>
      <c r="AM834" s="200"/>
      <c r="AN834" s="200"/>
      <c r="AO834" s="200"/>
      <c r="AP834" s="200"/>
      <c r="AQ834" s="200"/>
      <c r="AR834" s="200"/>
      <c r="AS834" s="200"/>
      <c r="AT834" s="200"/>
      <c r="AU834" s="200"/>
      <c r="AV834" s="200"/>
      <c r="AW834" s="200"/>
      <c r="AX834" s="200"/>
      <c r="AY834" s="200"/>
      <c r="AZ834" s="200"/>
      <c r="BA834" s="200"/>
      <c r="BB834" s="200"/>
      <c r="BC834" s="200"/>
      <c r="BD834" s="200"/>
    </row>
    <row r="835" spans="32:56" ht="24" customHeight="1" x14ac:dyDescent="0.25">
      <c r="AF835" s="200"/>
      <c r="AG835" s="200"/>
      <c r="AH835" s="200"/>
      <c r="AI835" s="200"/>
      <c r="AJ835" s="200"/>
      <c r="AK835" s="200"/>
      <c r="AL835" s="200"/>
      <c r="AM835" s="200"/>
      <c r="AN835" s="200"/>
      <c r="AO835" s="200"/>
      <c r="AP835" s="200"/>
      <c r="AQ835" s="200"/>
      <c r="AR835" s="200"/>
      <c r="AS835" s="200"/>
      <c r="AT835" s="200"/>
      <c r="AU835" s="200"/>
      <c r="AV835" s="200"/>
      <c r="AW835" s="200"/>
      <c r="AX835" s="200"/>
      <c r="AY835" s="200"/>
      <c r="AZ835" s="200"/>
      <c r="BA835" s="200"/>
      <c r="BB835" s="200"/>
      <c r="BC835" s="200"/>
      <c r="BD835" s="200"/>
    </row>
    <row r="836" spans="32:56" ht="24" customHeight="1" x14ac:dyDescent="0.25">
      <c r="AF836" s="200"/>
      <c r="AG836" s="200"/>
      <c r="AH836" s="200"/>
      <c r="AI836" s="200"/>
      <c r="AJ836" s="200"/>
      <c r="AK836" s="200"/>
      <c r="AL836" s="200"/>
      <c r="AM836" s="200"/>
      <c r="AN836" s="200"/>
      <c r="AO836" s="200"/>
      <c r="AP836" s="200"/>
      <c r="AQ836" s="200"/>
      <c r="AR836" s="200"/>
      <c r="AS836" s="200"/>
      <c r="AT836" s="200"/>
      <c r="AU836" s="200"/>
      <c r="AV836" s="200"/>
      <c r="AW836" s="200"/>
      <c r="AX836" s="200"/>
      <c r="AY836" s="200"/>
      <c r="AZ836" s="200"/>
      <c r="BA836" s="200"/>
      <c r="BB836" s="200"/>
      <c r="BC836" s="200"/>
      <c r="BD836" s="200"/>
    </row>
    <row r="837" spans="32:56" ht="24" customHeight="1" x14ac:dyDescent="0.25">
      <c r="AF837" s="200"/>
      <c r="AG837" s="200"/>
      <c r="AH837" s="200"/>
      <c r="AI837" s="200"/>
      <c r="AJ837" s="200"/>
      <c r="AK837" s="200"/>
      <c r="AL837" s="200"/>
      <c r="AM837" s="200"/>
      <c r="AN837" s="200"/>
      <c r="AO837" s="200"/>
      <c r="AP837" s="200"/>
      <c r="AQ837" s="200"/>
      <c r="AR837" s="200"/>
      <c r="AS837" s="200"/>
      <c r="AT837" s="200"/>
      <c r="AU837" s="200"/>
      <c r="AV837" s="200"/>
      <c r="AW837" s="200"/>
      <c r="AX837" s="200"/>
      <c r="AY837" s="200"/>
      <c r="AZ837" s="200"/>
      <c r="BA837" s="200"/>
      <c r="BB837" s="200"/>
      <c r="BC837" s="200"/>
      <c r="BD837" s="200"/>
    </row>
    <row r="838" spans="32:56" ht="24" customHeight="1" x14ac:dyDescent="0.25">
      <c r="AF838" s="200"/>
      <c r="AG838" s="200"/>
      <c r="AH838" s="200"/>
      <c r="AI838" s="200"/>
      <c r="AJ838" s="200"/>
      <c r="AK838" s="200"/>
      <c r="AL838" s="200"/>
      <c r="AM838" s="200"/>
      <c r="AN838" s="200"/>
      <c r="AO838" s="200"/>
      <c r="AP838" s="200"/>
      <c r="AQ838" s="200"/>
      <c r="AR838" s="200"/>
      <c r="AS838" s="200"/>
      <c r="AT838" s="200"/>
      <c r="AU838" s="200"/>
      <c r="AV838" s="200"/>
      <c r="AW838" s="200"/>
      <c r="AX838" s="200"/>
      <c r="AY838" s="200"/>
      <c r="AZ838" s="200"/>
      <c r="BA838" s="200"/>
      <c r="BB838" s="200"/>
      <c r="BC838" s="200"/>
      <c r="BD838" s="200"/>
    </row>
    <row r="839" spans="32:56" ht="24" customHeight="1" x14ac:dyDescent="0.25">
      <c r="AF839" s="200"/>
      <c r="AG839" s="200"/>
      <c r="AH839" s="200"/>
      <c r="AI839" s="200"/>
      <c r="AJ839" s="200"/>
      <c r="AK839" s="200"/>
      <c r="AL839" s="200"/>
      <c r="AM839" s="200"/>
      <c r="AN839" s="200"/>
      <c r="AO839" s="200"/>
      <c r="AP839" s="200"/>
      <c r="AQ839" s="200"/>
      <c r="AR839" s="200"/>
      <c r="AS839" s="200"/>
      <c r="AT839" s="200"/>
      <c r="AU839" s="200"/>
      <c r="AV839" s="200"/>
      <c r="AW839" s="200"/>
      <c r="AX839" s="200"/>
      <c r="AY839" s="200"/>
      <c r="AZ839" s="200"/>
      <c r="BA839" s="200"/>
      <c r="BB839" s="200"/>
      <c r="BC839" s="200"/>
      <c r="BD839" s="200"/>
    </row>
    <row r="840" spans="32:56" ht="24" customHeight="1" x14ac:dyDescent="0.25">
      <c r="AF840" s="200"/>
      <c r="AG840" s="200"/>
      <c r="AH840" s="200"/>
      <c r="AI840" s="200"/>
      <c r="AJ840" s="200"/>
      <c r="AK840" s="200"/>
      <c r="AL840" s="200"/>
      <c r="AM840" s="200"/>
      <c r="AN840" s="200"/>
      <c r="AO840" s="200"/>
      <c r="AP840" s="200"/>
      <c r="AQ840" s="200"/>
      <c r="AR840" s="200"/>
      <c r="AS840" s="200"/>
      <c r="AT840" s="200"/>
      <c r="AU840" s="200"/>
      <c r="AV840" s="200"/>
      <c r="AW840" s="200"/>
      <c r="AX840" s="200"/>
      <c r="AY840" s="200"/>
      <c r="AZ840" s="200"/>
      <c r="BA840" s="200"/>
      <c r="BB840" s="200"/>
      <c r="BC840" s="200"/>
      <c r="BD840" s="200"/>
    </row>
    <row r="841" spans="32:56" ht="24" customHeight="1" x14ac:dyDescent="0.25">
      <c r="AF841" s="200"/>
      <c r="AG841" s="200"/>
      <c r="AH841" s="200"/>
      <c r="AI841" s="200"/>
      <c r="AJ841" s="200"/>
      <c r="AK841" s="200"/>
      <c r="AL841" s="200"/>
      <c r="AM841" s="200"/>
      <c r="AN841" s="200"/>
      <c r="AO841" s="200"/>
      <c r="AP841" s="200"/>
      <c r="AQ841" s="200"/>
      <c r="AR841" s="200"/>
      <c r="AS841" s="200"/>
      <c r="AT841" s="200"/>
      <c r="AU841" s="200"/>
      <c r="AV841" s="200"/>
      <c r="AW841" s="200"/>
      <c r="AX841" s="200"/>
      <c r="AY841" s="200"/>
      <c r="AZ841" s="200"/>
      <c r="BA841" s="200"/>
      <c r="BB841" s="200"/>
      <c r="BC841" s="200"/>
      <c r="BD841" s="200"/>
    </row>
    <row r="842" spans="32:56" ht="24" customHeight="1" x14ac:dyDescent="0.25">
      <c r="AF842" s="200"/>
      <c r="AG842" s="200"/>
      <c r="AH842" s="200"/>
      <c r="AI842" s="200"/>
      <c r="AJ842" s="200"/>
      <c r="AK842" s="200"/>
      <c r="AL842" s="200"/>
      <c r="AM842" s="200"/>
      <c r="AN842" s="200"/>
      <c r="AO842" s="200"/>
      <c r="AP842" s="200"/>
      <c r="AQ842" s="200"/>
      <c r="AR842" s="200"/>
      <c r="AS842" s="200"/>
      <c r="AT842" s="200"/>
      <c r="AU842" s="200"/>
      <c r="AV842" s="200"/>
      <c r="AW842" s="200"/>
      <c r="AX842" s="200"/>
      <c r="AY842" s="200"/>
      <c r="AZ842" s="200"/>
      <c r="BA842" s="200"/>
      <c r="BB842" s="200"/>
      <c r="BC842" s="200"/>
      <c r="BD842" s="200"/>
    </row>
    <row r="843" spans="32:56" ht="24" customHeight="1" x14ac:dyDescent="0.25">
      <c r="AF843" s="200"/>
      <c r="AG843" s="200"/>
      <c r="AH843" s="200"/>
      <c r="AI843" s="200"/>
      <c r="AJ843" s="200"/>
      <c r="AK843" s="200"/>
      <c r="AL843" s="200"/>
      <c r="AM843" s="200"/>
      <c r="AN843" s="200"/>
      <c r="AO843" s="200"/>
      <c r="AP843" s="200"/>
      <c r="AQ843" s="200"/>
      <c r="AR843" s="200"/>
      <c r="AS843" s="200"/>
      <c r="AT843" s="200"/>
      <c r="AU843" s="200"/>
      <c r="AV843" s="200"/>
      <c r="AW843" s="200"/>
      <c r="AX843" s="200"/>
      <c r="AY843" s="200"/>
      <c r="AZ843" s="200"/>
      <c r="BA843" s="200"/>
      <c r="BB843" s="200"/>
      <c r="BC843" s="200"/>
      <c r="BD843" s="200"/>
    </row>
    <row r="844" spans="32:56" ht="24" customHeight="1" x14ac:dyDescent="0.25">
      <c r="AF844" s="200"/>
      <c r="AG844" s="200"/>
      <c r="AH844" s="200"/>
      <c r="AI844" s="200"/>
      <c r="AJ844" s="200"/>
      <c r="AK844" s="200"/>
      <c r="AL844" s="200"/>
      <c r="AM844" s="200"/>
      <c r="AN844" s="200"/>
      <c r="AO844" s="200"/>
      <c r="AP844" s="200"/>
      <c r="AQ844" s="200"/>
      <c r="AR844" s="200"/>
      <c r="AS844" s="200"/>
      <c r="AT844" s="200"/>
      <c r="AU844" s="200"/>
      <c r="AV844" s="200"/>
      <c r="AW844" s="200"/>
      <c r="AX844" s="200"/>
      <c r="AY844" s="200"/>
      <c r="AZ844" s="200"/>
      <c r="BA844" s="200"/>
      <c r="BB844" s="200"/>
      <c r="BC844" s="200"/>
      <c r="BD844" s="200"/>
    </row>
    <row r="845" spans="32:56" ht="24" customHeight="1" x14ac:dyDescent="0.25">
      <c r="AF845" s="200"/>
      <c r="AG845" s="200"/>
      <c r="AH845" s="200"/>
      <c r="AI845" s="200"/>
      <c r="AJ845" s="200"/>
      <c r="AK845" s="200"/>
      <c r="AL845" s="200"/>
      <c r="AM845" s="200"/>
      <c r="AN845" s="200"/>
      <c r="AO845" s="200"/>
      <c r="AP845" s="200"/>
      <c r="AQ845" s="200"/>
      <c r="AR845" s="200"/>
      <c r="AS845" s="200"/>
      <c r="AT845" s="200"/>
      <c r="AU845" s="200"/>
      <c r="AV845" s="200"/>
      <c r="AW845" s="200"/>
      <c r="AX845" s="200"/>
      <c r="AY845" s="200"/>
      <c r="AZ845" s="200"/>
      <c r="BA845" s="200"/>
      <c r="BB845" s="200"/>
      <c r="BC845" s="200"/>
      <c r="BD845" s="200"/>
    </row>
    <row r="846" spans="32:56" ht="24" customHeight="1" x14ac:dyDescent="0.25">
      <c r="AF846" s="200"/>
      <c r="AG846" s="200"/>
      <c r="AH846" s="200"/>
      <c r="AI846" s="200"/>
      <c r="AJ846" s="200"/>
      <c r="AK846" s="200"/>
      <c r="AL846" s="200"/>
      <c r="AM846" s="200"/>
      <c r="AN846" s="200"/>
      <c r="AO846" s="200"/>
      <c r="AP846" s="200"/>
      <c r="AQ846" s="200"/>
      <c r="AR846" s="200"/>
      <c r="AS846" s="200"/>
      <c r="AT846" s="200"/>
      <c r="AU846" s="200"/>
      <c r="AV846" s="200"/>
      <c r="AW846" s="200"/>
      <c r="AX846" s="200"/>
      <c r="AY846" s="200"/>
      <c r="AZ846" s="200"/>
      <c r="BA846" s="200"/>
      <c r="BB846" s="200"/>
      <c r="BC846" s="200"/>
      <c r="BD846" s="200"/>
    </row>
    <row r="847" spans="32:56" ht="24" customHeight="1" x14ac:dyDescent="0.25">
      <c r="AF847" s="200"/>
      <c r="AG847" s="200"/>
      <c r="AH847" s="200"/>
      <c r="AI847" s="200"/>
      <c r="AJ847" s="200"/>
      <c r="AK847" s="200"/>
      <c r="AL847" s="200"/>
      <c r="AM847" s="200"/>
      <c r="AN847" s="200"/>
      <c r="AO847" s="200"/>
      <c r="AP847" s="200"/>
      <c r="AQ847" s="200"/>
      <c r="AR847" s="200"/>
      <c r="AS847" s="200"/>
      <c r="AT847" s="200"/>
      <c r="AU847" s="200"/>
      <c r="AV847" s="200"/>
      <c r="AW847" s="200"/>
      <c r="AX847" s="200"/>
      <c r="AY847" s="200"/>
      <c r="AZ847" s="200"/>
      <c r="BA847" s="200"/>
      <c r="BB847" s="200"/>
      <c r="BC847" s="200"/>
      <c r="BD847" s="200"/>
    </row>
    <row r="848" spans="32:56" ht="24" customHeight="1" x14ac:dyDescent="0.25">
      <c r="AF848" s="200"/>
      <c r="AG848" s="200"/>
      <c r="AH848" s="200"/>
      <c r="AI848" s="200"/>
      <c r="AJ848" s="200"/>
      <c r="AK848" s="200"/>
      <c r="AL848" s="200"/>
      <c r="AM848" s="200"/>
      <c r="AN848" s="200"/>
      <c r="AO848" s="200"/>
      <c r="AP848" s="200"/>
      <c r="AQ848" s="200"/>
      <c r="AR848" s="200"/>
      <c r="AS848" s="200"/>
      <c r="AT848" s="200"/>
      <c r="AU848" s="200"/>
      <c r="AV848" s="200"/>
      <c r="AW848" s="200"/>
      <c r="AX848" s="200"/>
      <c r="AY848" s="200"/>
      <c r="AZ848" s="200"/>
      <c r="BA848" s="200"/>
      <c r="BB848" s="200"/>
      <c r="BC848" s="200"/>
      <c r="BD848" s="200"/>
    </row>
    <row r="849" spans="32:56" ht="24" customHeight="1" x14ac:dyDescent="0.25">
      <c r="AF849" s="200"/>
      <c r="AG849" s="200"/>
      <c r="AH849" s="200"/>
      <c r="AI849" s="200"/>
      <c r="AJ849" s="200"/>
      <c r="AK849" s="200"/>
      <c r="AL849" s="200"/>
      <c r="AM849" s="200"/>
      <c r="AN849" s="200"/>
      <c r="AO849" s="200"/>
      <c r="AP849" s="200"/>
      <c r="AQ849" s="200"/>
      <c r="AR849" s="200"/>
      <c r="AS849" s="200"/>
      <c r="AT849" s="200"/>
      <c r="AU849" s="200"/>
      <c r="AV849" s="200"/>
      <c r="AW849" s="200"/>
      <c r="AX849" s="200"/>
      <c r="AY849" s="200"/>
      <c r="AZ849" s="200"/>
      <c r="BA849" s="200"/>
      <c r="BB849" s="200"/>
      <c r="BC849" s="200"/>
      <c r="BD849" s="200"/>
    </row>
    <row r="850" spans="32:56" ht="24" customHeight="1" x14ac:dyDescent="0.25">
      <c r="AF850" s="200"/>
      <c r="AG850" s="200"/>
      <c r="AH850" s="200"/>
      <c r="AI850" s="200"/>
      <c r="AJ850" s="200"/>
      <c r="AK850" s="200"/>
      <c r="AL850" s="200"/>
      <c r="AM850" s="200"/>
      <c r="AN850" s="200"/>
      <c r="AO850" s="200"/>
      <c r="AP850" s="200"/>
      <c r="AQ850" s="200"/>
      <c r="AR850" s="200"/>
      <c r="AS850" s="200"/>
      <c r="AT850" s="200"/>
      <c r="AU850" s="200"/>
      <c r="AV850" s="200"/>
      <c r="AW850" s="200"/>
      <c r="AX850" s="200"/>
      <c r="AY850" s="200"/>
      <c r="AZ850" s="200"/>
      <c r="BA850" s="200"/>
      <c r="BB850" s="200"/>
      <c r="BC850" s="200"/>
      <c r="BD850" s="200"/>
    </row>
    <row r="851" spans="32:56" ht="24" customHeight="1" x14ac:dyDescent="0.25">
      <c r="AF851" s="200"/>
      <c r="AG851" s="200"/>
      <c r="AH851" s="200"/>
      <c r="AI851" s="200"/>
      <c r="AJ851" s="200"/>
      <c r="AK851" s="200"/>
      <c r="AL851" s="200"/>
      <c r="AM851" s="200"/>
      <c r="AN851" s="200"/>
      <c r="AO851" s="200"/>
      <c r="AP851" s="200"/>
      <c r="AQ851" s="200"/>
      <c r="AR851" s="200"/>
      <c r="AS851" s="200"/>
      <c r="AT851" s="200"/>
      <c r="AU851" s="200"/>
      <c r="AV851" s="200"/>
      <c r="AW851" s="200"/>
      <c r="AX851" s="200"/>
      <c r="AY851" s="200"/>
      <c r="AZ851" s="200"/>
      <c r="BA851" s="200"/>
      <c r="BB851" s="200"/>
      <c r="BC851" s="200"/>
      <c r="BD851" s="200"/>
    </row>
    <row r="852" spans="32:56" ht="24" customHeight="1" x14ac:dyDescent="0.25">
      <c r="AF852" s="200"/>
      <c r="AG852" s="200"/>
      <c r="AH852" s="200"/>
      <c r="AI852" s="200"/>
      <c r="AJ852" s="200"/>
      <c r="AK852" s="200"/>
      <c r="AL852" s="200"/>
      <c r="AM852" s="200"/>
      <c r="AN852" s="200"/>
      <c r="AO852" s="200"/>
      <c r="AP852" s="200"/>
      <c r="AQ852" s="200"/>
      <c r="AR852" s="200"/>
      <c r="AS852" s="200"/>
      <c r="AT852" s="200"/>
      <c r="AU852" s="200"/>
      <c r="AV852" s="200"/>
      <c r="AW852" s="200"/>
      <c r="AX852" s="200"/>
      <c r="AY852" s="200"/>
      <c r="AZ852" s="200"/>
      <c r="BA852" s="200"/>
      <c r="BB852" s="200"/>
      <c r="BC852" s="200"/>
      <c r="BD852" s="200"/>
    </row>
    <row r="853" spans="32:56" ht="24" customHeight="1" x14ac:dyDescent="0.25">
      <c r="AF853" s="200"/>
      <c r="AG853" s="200"/>
      <c r="AH853" s="200"/>
      <c r="AI853" s="200"/>
      <c r="AJ853" s="200"/>
      <c r="AK853" s="200"/>
      <c r="AL853" s="200"/>
      <c r="AM853" s="200"/>
      <c r="AN853" s="200"/>
      <c r="AO853" s="200"/>
      <c r="AP853" s="200"/>
      <c r="AQ853" s="200"/>
      <c r="AR853" s="200"/>
      <c r="AS853" s="200"/>
      <c r="AT853" s="200"/>
      <c r="AU853" s="200"/>
      <c r="AV853" s="200"/>
      <c r="AW853" s="200"/>
      <c r="AX853" s="200"/>
      <c r="AY853" s="200"/>
      <c r="AZ853" s="200"/>
      <c r="BA853" s="200"/>
      <c r="BB853" s="200"/>
      <c r="BC853" s="200"/>
      <c r="BD853" s="200"/>
    </row>
    <row r="854" spans="32:56" ht="24" customHeight="1" x14ac:dyDescent="0.25">
      <c r="AF854" s="200"/>
      <c r="AG854" s="200"/>
      <c r="AH854" s="200"/>
      <c r="AI854" s="200"/>
      <c r="AJ854" s="200"/>
      <c r="AK854" s="200"/>
      <c r="AL854" s="200"/>
      <c r="AM854" s="200"/>
      <c r="AN854" s="200"/>
      <c r="AO854" s="200"/>
      <c r="AP854" s="200"/>
      <c r="AQ854" s="200"/>
      <c r="AR854" s="200"/>
      <c r="AS854" s="200"/>
      <c r="AT854" s="200"/>
      <c r="AU854" s="200"/>
      <c r="AV854" s="200"/>
      <c r="AW854" s="200"/>
      <c r="AX854" s="200"/>
      <c r="AY854" s="200"/>
      <c r="AZ854" s="200"/>
      <c r="BA854" s="200"/>
      <c r="BB854" s="200"/>
      <c r="BC854" s="200"/>
      <c r="BD854" s="200"/>
    </row>
    <row r="855" spans="32:56" ht="24" customHeight="1" x14ac:dyDescent="0.25">
      <c r="AF855" s="200"/>
      <c r="AG855" s="200"/>
      <c r="AH855" s="200"/>
      <c r="AI855" s="200"/>
      <c r="AJ855" s="200"/>
      <c r="AK855" s="200"/>
      <c r="AL855" s="200"/>
      <c r="AM855" s="200"/>
      <c r="AN855" s="200"/>
      <c r="AO855" s="200"/>
      <c r="AP855" s="200"/>
      <c r="AQ855" s="200"/>
      <c r="AR855" s="200"/>
      <c r="AS855" s="200"/>
      <c r="AT855" s="200"/>
      <c r="AU855" s="200"/>
      <c r="AV855" s="200"/>
      <c r="AW855" s="200"/>
      <c r="AX855" s="200"/>
      <c r="AY855" s="200"/>
      <c r="AZ855" s="200"/>
      <c r="BA855" s="200"/>
      <c r="BB855" s="200"/>
      <c r="BC855" s="200"/>
      <c r="BD855" s="200"/>
    </row>
    <row r="856" spans="32:56" ht="24" customHeight="1" x14ac:dyDescent="0.25">
      <c r="AF856" s="200"/>
      <c r="AG856" s="200"/>
      <c r="AH856" s="200"/>
      <c r="AI856" s="200"/>
      <c r="AJ856" s="200"/>
      <c r="AK856" s="200"/>
      <c r="AL856" s="200"/>
      <c r="AM856" s="200"/>
      <c r="AN856" s="200"/>
      <c r="AO856" s="200"/>
      <c r="AP856" s="200"/>
      <c r="AQ856" s="200"/>
      <c r="AR856" s="200"/>
      <c r="AS856" s="200"/>
      <c r="AT856" s="200"/>
      <c r="AU856" s="200"/>
      <c r="AV856" s="200"/>
      <c r="AW856" s="200"/>
      <c r="AX856" s="200"/>
      <c r="AY856" s="200"/>
      <c r="AZ856" s="200"/>
      <c r="BA856" s="200"/>
      <c r="BB856" s="200"/>
      <c r="BC856" s="200"/>
      <c r="BD856" s="200"/>
    </row>
    <row r="857" spans="32:56" ht="24" customHeight="1" x14ac:dyDescent="0.25">
      <c r="AF857" s="200"/>
      <c r="AG857" s="200"/>
      <c r="AH857" s="200"/>
      <c r="AI857" s="200"/>
      <c r="AJ857" s="200"/>
      <c r="AK857" s="200"/>
      <c r="AL857" s="200"/>
      <c r="AM857" s="200"/>
      <c r="AN857" s="200"/>
      <c r="AO857" s="200"/>
      <c r="AP857" s="200"/>
      <c r="AQ857" s="200"/>
      <c r="AR857" s="200"/>
      <c r="AS857" s="200"/>
      <c r="AT857" s="200"/>
      <c r="AU857" s="200"/>
      <c r="AV857" s="200"/>
      <c r="AW857" s="200"/>
      <c r="AX857" s="200"/>
      <c r="AY857" s="200"/>
      <c r="AZ857" s="200"/>
      <c r="BA857" s="200"/>
      <c r="BB857" s="200"/>
      <c r="BC857" s="200"/>
      <c r="BD857" s="200"/>
    </row>
    <row r="858" spans="32:56" ht="24" customHeight="1" x14ac:dyDescent="0.25">
      <c r="AF858" s="200"/>
      <c r="AG858" s="200"/>
      <c r="AH858" s="200"/>
      <c r="AI858" s="200"/>
      <c r="AJ858" s="200"/>
      <c r="AK858" s="200"/>
      <c r="AL858" s="200"/>
      <c r="AM858" s="200"/>
      <c r="AN858" s="200"/>
      <c r="AO858" s="200"/>
      <c r="AP858" s="200"/>
      <c r="AQ858" s="200"/>
      <c r="AR858" s="200"/>
      <c r="AS858" s="200"/>
      <c r="AT858" s="200"/>
      <c r="AU858" s="200"/>
      <c r="AV858" s="200"/>
      <c r="AW858" s="200"/>
      <c r="AX858" s="200"/>
      <c r="AY858" s="200"/>
      <c r="AZ858" s="200"/>
      <c r="BA858" s="200"/>
      <c r="BB858" s="200"/>
      <c r="BC858" s="200"/>
      <c r="BD858" s="200"/>
    </row>
    <row r="859" spans="32:56" ht="24" customHeight="1" x14ac:dyDescent="0.25">
      <c r="AF859" s="200"/>
      <c r="AG859" s="200"/>
      <c r="AH859" s="200"/>
      <c r="AI859" s="200"/>
      <c r="AJ859" s="200"/>
      <c r="AK859" s="200"/>
      <c r="AL859" s="200"/>
      <c r="AM859" s="200"/>
      <c r="AN859" s="200"/>
      <c r="AO859" s="200"/>
      <c r="AP859" s="200"/>
      <c r="AQ859" s="200"/>
      <c r="AR859" s="200"/>
      <c r="AS859" s="200"/>
      <c r="AT859" s="200"/>
      <c r="AU859" s="200"/>
      <c r="AV859" s="200"/>
      <c r="AW859" s="200"/>
      <c r="AX859" s="200"/>
      <c r="AY859" s="200"/>
      <c r="AZ859" s="200"/>
      <c r="BA859" s="200"/>
      <c r="BB859" s="200"/>
      <c r="BC859" s="200"/>
      <c r="BD859" s="200"/>
    </row>
    <row r="860" spans="32:56" ht="24" customHeight="1" x14ac:dyDescent="0.25">
      <c r="AF860" s="200"/>
      <c r="AG860" s="200"/>
      <c r="AH860" s="200"/>
      <c r="AI860" s="200"/>
      <c r="AJ860" s="200"/>
      <c r="AK860" s="200"/>
      <c r="AL860" s="200"/>
      <c r="AM860" s="200"/>
      <c r="AN860" s="200"/>
      <c r="AO860" s="200"/>
      <c r="AP860" s="200"/>
      <c r="AQ860" s="200"/>
      <c r="AR860" s="200"/>
      <c r="AS860" s="200"/>
      <c r="AT860" s="200"/>
      <c r="AU860" s="200"/>
      <c r="AV860" s="200"/>
      <c r="AW860" s="200"/>
      <c r="AX860" s="200"/>
      <c r="AY860" s="200"/>
      <c r="AZ860" s="200"/>
      <c r="BA860" s="200"/>
      <c r="BB860" s="200"/>
      <c r="BC860" s="200"/>
      <c r="BD860" s="200"/>
    </row>
    <row r="861" spans="32:56" ht="24" customHeight="1" x14ac:dyDescent="0.25">
      <c r="AF861" s="200"/>
      <c r="AG861" s="200"/>
      <c r="AH861" s="200"/>
      <c r="AI861" s="200"/>
      <c r="AJ861" s="200"/>
      <c r="AK861" s="200"/>
      <c r="AL861" s="200"/>
      <c r="AM861" s="200"/>
      <c r="AN861" s="200"/>
      <c r="AO861" s="200"/>
      <c r="AP861" s="200"/>
      <c r="AQ861" s="200"/>
      <c r="AR861" s="200"/>
      <c r="AS861" s="200"/>
      <c r="AT861" s="200"/>
      <c r="AU861" s="200"/>
      <c r="AV861" s="200"/>
      <c r="AW861" s="200"/>
      <c r="AX861" s="200"/>
      <c r="AY861" s="200"/>
      <c r="AZ861" s="200"/>
      <c r="BA861" s="200"/>
      <c r="BB861" s="200"/>
      <c r="BC861" s="200"/>
      <c r="BD861" s="200"/>
    </row>
    <row r="862" spans="32:56" ht="24" customHeight="1" x14ac:dyDescent="0.25">
      <c r="AF862" s="200"/>
      <c r="AG862" s="200"/>
      <c r="AH862" s="200"/>
      <c r="AI862" s="200"/>
      <c r="AJ862" s="200"/>
      <c r="AK862" s="200"/>
      <c r="AL862" s="200"/>
      <c r="AM862" s="200"/>
      <c r="AN862" s="200"/>
      <c r="AO862" s="200"/>
      <c r="AP862" s="200"/>
      <c r="AQ862" s="200"/>
      <c r="AR862" s="200"/>
      <c r="AS862" s="200"/>
      <c r="AT862" s="200"/>
      <c r="AU862" s="200"/>
      <c r="AV862" s="200"/>
      <c r="AW862" s="200"/>
      <c r="AX862" s="200"/>
      <c r="AY862" s="200"/>
      <c r="AZ862" s="200"/>
      <c r="BA862" s="200"/>
      <c r="BB862" s="200"/>
      <c r="BC862" s="200"/>
      <c r="BD862" s="200"/>
    </row>
    <row r="863" spans="32:56" ht="24" customHeight="1" x14ac:dyDescent="0.25">
      <c r="AF863" s="200"/>
      <c r="AG863" s="200"/>
      <c r="AH863" s="200"/>
      <c r="AI863" s="200"/>
      <c r="AJ863" s="200"/>
      <c r="AK863" s="200"/>
      <c r="AL863" s="200"/>
      <c r="AM863" s="200"/>
      <c r="AN863" s="200"/>
      <c r="AO863" s="200"/>
      <c r="AP863" s="200"/>
      <c r="AQ863" s="200"/>
      <c r="AR863" s="200"/>
      <c r="AS863" s="200"/>
      <c r="AT863" s="200"/>
      <c r="AU863" s="200"/>
      <c r="AV863" s="200"/>
      <c r="AW863" s="200"/>
      <c r="AX863" s="200"/>
      <c r="AY863" s="200"/>
      <c r="AZ863" s="200"/>
      <c r="BA863" s="200"/>
      <c r="BB863" s="200"/>
      <c r="BC863" s="200"/>
      <c r="BD863" s="200"/>
    </row>
    <row r="864" spans="32:56" ht="24" customHeight="1" x14ac:dyDescent="0.25">
      <c r="AF864" s="200"/>
      <c r="AG864" s="200"/>
      <c r="AH864" s="200"/>
      <c r="AI864" s="200"/>
      <c r="AJ864" s="200"/>
      <c r="AK864" s="200"/>
      <c r="AL864" s="200"/>
      <c r="AM864" s="200"/>
      <c r="AN864" s="200"/>
      <c r="AO864" s="200"/>
      <c r="AP864" s="200"/>
      <c r="AQ864" s="200"/>
      <c r="AR864" s="200"/>
      <c r="AS864" s="200"/>
      <c r="AT864" s="200"/>
      <c r="AU864" s="200"/>
      <c r="AV864" s="200"/>
      <c r="AW864" s="200"/>
      <c r="AX864" s="200"/>
      <c r="AY864" s="200"/>
      <c r="AZ864" s="200"/>
      <c r="BA864" s="200"/>
      <c r="BB864" s="200"/>
      <c r="BC864" s="200"/>
      <c r="BD864" s="200"/>
    </row>
    <row r="865" spans="32:56" ht="24" customHeight="1" x14ac:dyDescent="0.25">
      <c r="AF865" s="200"/>
      <c r="AG865" s="200"/>
      <c r="AH865" s="200"/>
      <c r="AI865" s="200"/>
      <c r="AJ865" s="200"/>
      <c r="AK865" s="200"/>
      <c r="AL865" s="200"/>
      <c r="AM865" s="200"/>
      <c r="AN865" s="200"/>
      <c r="AO865" s="200"/>
      <c r="AP865" s="200"/>
      <c r="AQ865" s="200"/>
      <c r="AR865" s="200"/>
      <c r="AS865" s="200"/>
      <c r="AT865" s="200"/>
      <c r="AU865" s="200"/>
      <c r="AV865" s="200"/>
      <c r="AW865" s="200"/>
      <c r="AX865" s="200"/>
      <c r="AY865" s="200"/>
      <c r="AZ865" s="200"/>
      <c r="BA865" s="200"/>
      <c r="BB865" s="200"/>
      <c r="BC865" s="200"/>
      <c r="BD865" s="200"/>
    </row>
    <row r="866" spans="32:56" ht="24" customHeight="1" x14ac:dyDescent="0.25">
      <c r="AF866" s="200"/>
      <c r="AG866" s="200"/>
      <c r="AH866" s="200"/>
      <c r="AI866" s="200"/>
      <c r="AJ866" s="200"/>
      <c r="AK866" s="200"/>
      <c r="AL866" s="200"/>
      <c r="AM866" s="200"/>
      <c r="AN866" s="200"/>
      <c r="AO866" s="200"/>
      <c r="AP866" s="200"/>
      <c r="AQ866" s="200"/>
      <c r="AR866" s="200"/>
      <c r="AS866" s="200"/>
      <c r="AT866" s="200"/>
      <c r="AU866" s="200"/>
      <c r="AV866" s="200"/>
      <c r="AW866" s="200"/>
      <c r="AX866" s="200"/>
      <c r="AY866" s="200"/>
      <c r="AZ866" s="200"/>
      <c r="BA866" s="200"/>
      <c r="BB866" s="200"/>
      <c r="BC866" s="200"/>
      <c r="BD866" s="200"/>
    </row>
    <row r="867" spans="32:56" ht="24" customHeight="1" x14ac:dyDescent="0.25">
      <c r="AF867" s="200"/>
      <c r="AG867" s="200"/>
      <c r="AH867" s="200"/>
      <c r="AI867" s="200"/>
      <c r="AJ867" s="200"/>
      <c r="AK867" s="200"/>
      <c r="AL867" s="200"/>
      <c r="AM867" s="200"/>
      <c r="AN867" s="200"/>
      <c r="AO867" s="200"/>
      <c r="AP867" s="200"/>
      <c r="AQ867" s="200"/>
      <c r="AR867" s="200"/>
      <c r="AS867" s="200"/>
      <c r="AT867" s="200"/>
      <c r="AU867" s="200"/>
      <c r="AV867" s="200"/>
      <c r="AW867" s="200"/>
      <c r="AX867" s="200"/>
      <c r="AY867" s="200"/>
      <c r="AZ867" s="200"/>
      <c r="BA867" s="200"/>
      <c r="BB867" s="200"/>
      <c r="BC867" s="200"/>
      <c r="BD867" s="200"/>
    </row>
    <row r="868" spans="32:56" ht="24" customHeight="1" x14ac:dyDescent="0.25">
      <c r="AF868" s="200"/>
      <c r="AG868" s="200"/>
      <c r="AH868" s="200"/>
      <c r="AI868" s="200"/>
      <c r="AJ868" s="200"/>
      <c r="AK868" s="200"/>
      <c r="AL868" s="200"/>
      <c r="AM868" s="200"/>
      <c r="AN868" s="200"/>
      <c r="AO868" s="200"/>
      <c r="AP868" s="200"/>
      <c r="AQ868" s="200"/>
      <c r="AR868" s="200"/>
      <c r="AS868" s="200"/>
      <c r="AT868" s="200"/>
      <c r="AU868" s="200"/>
      <c r="AV868" s="200"/>
      <c r="AW868" s="200"/>
      <c r="AX868" s="200"/>
      <c r="AY868" s="200"/>
      <c r="AZ868" s="200"/>
      <c r="BA868" s="200"/>
      <c r="BB868" s="200"/>
      <c r="BC868" s="200"/>
      <c r="BD868" s="200"/>
    </row>
    <row r="869" spans="32:56" ht="24" customHeight="1" x14ac:dyDescent="0.25">
      <c r="AF869" s="200"/>
      <c r="AG869" s="200"/>
      <c r="AH869" s="200"/>
      <c r="AI869" s="200"/>
      <c r="AJ869" s="200"/>
      <c r="AK869" s="200"/>
      <c r="AL869" s="200"/>
      <c r="AM869" s="200"/>
      <c r="AN869" s="200"/>
      <c r="AO869" s="200"/>
      <c r="AP869" s="200"/>
      <c r="AQ869" s="200"/>
      <c r="AR869" s="200"/>
      <c r="AS869" s="200"/>
      <c r="AT869" s="200"/>
      <c r="AU869" s="200"/>
      <c r="AV869" s="200"/>
      <c r="AW869" s="200"/>
      <c r="AX869" s="200"/>
      <c r="AY869" s="200"/>
      <c r="AZ869" s="200"/>
      <c r="BA869" s="200"/>
      <c r="BB869" s="200"/>
      <c r="BC869" s="200"/>
      <c r="BD869" s="200"/>
    </row>
    <row r="870" spans="32:56" ht="24" customHeight="1" x14ac:dyDescent="0.25">
      <c r="AF870" s="200"/>
      <c r="AG870" s="200"/>
      <c r="AH870" s="200"/>
      <c r="AI870" s="200"/>
      <c r="AJ870" s="200"/>
      <c r="AK870" s="200"/>
      <c r="AL870" s="200"/>
      <c r="AM870" s="200"/>
      <c r="AN870" s="200"/>
      <c r="AO870" s="200"/>
      <c r="AP870" s="200"/>
      <c r="AQ870" s="200"/>
      <c r="AR870" s="200"/>
      <c r="AS870" s="200"/>
      <c r="AT870" s="200"/>
      <c r="AU870" s="200"/>
      <c r="AV870" s="200"/>
      <c r="AW870" s="200"/>
      <c r="AX870" s="200"/>
      <c r="AY870" s="200"/>
      <c r="AZ870" s="200"/>
      <c r="BA870" s="200"/>
      <c r="BB870" s="200"/>
      <c r="BC870" s="200"/>
      <c r="BD870" s="200"/>
    </row>
    <row r="871" spans="32:56" ht="24" customHeight="1" x14ac:dyDescent="0.25">
      <c r="AF871" s="200"/>
      <c r="AG871" s="200"/>
      <c r="AH871" s="200"/>
      <c r="AI871" s="200"/>
      <c r="AJ871" s="200"/>
      <c r="AK871" s="200"/>
      <c r="AL871" s="200"/>
      <c r="AM871" s="200"/>
      <c r="AN871" s="200"/>
      <c r="AO871" s="200"/>
      <c r="AP871" s="200"/>
      <c r="AQ871" s="200"/>
      <c r="AR871" s="200"/>
      <c r="AS871" s="200"/>
      <c r="AT871" s="200"/>
      <c r="AU871" s="200"/>
      <c r="AV871" s="200"/>
      <c r="AW871" s="200"/>
      <c r="AX871" s="200"/>
      <c r="AY871" s="200"/>
      <c r="AZ871" s="200"/>
      <c r="BA871" s="200"/>
      <c r="BB871" s="200"/>
      <c r="BC871" s="200"/>
      <c r="BD871" s="200"/>
    </row>
    <row r="872" spans="32:56" ht="24" customHeight="1" x14ac:dyDescent="0.25">
      <c r="AF872" s="200"/>
      <c r="AG872" s="200"/>
      <c r="AH872" s="200"/>
      <c r="AI872" s="200"/>
      <c r="AJ872" s="200"/>
      <c r="AK872" s="200"/>
      <c r="AL872" s="200"/>
      <c r="AM872" s="200"/>
      <c r="AN872" s="200"/>
      <c r="AO872" s="200"/>
      <c r="AP872" s="200"/>
      <c r="AQ872" s="200"/>
      <c r="AR872" s="200"/>
      <c r="AS872" s="200"/>
      <c r="AT872" s="200"/>
      <c r="AU872" s="200"/>
      <c r="AV872" s="200"/>
      <c r="AW872" s="200"/>
      <c r="AX872" s="200"/>
      <c r="AY872" s="200"/>
      <c r="AZ872" s="200"/>
      <c r="BA872" s="200"/>
      <c r="BB872" s="200"/>
      <c r="BC872" s="200"/>
      <c r="BD872" s="200"/>
    </row>
    <row r="873" spans="32:56" ht="24" customHeight="1" x14ac:dyDescent="0.25">
      <c r="AF873" s="200"/>
      <c r="AG873" s="200"/>
      <c r="AH873" s="200"/>
      <c r="AI873" s="200"/>
      <c r="AJ873" s="200"/>
      <c r="AK873" s="200"/>
      <c r="AL873" s="200"/>
      <c r="AM873" s="200"/>
      <c r="AN873" s="200"/>
      <c r="AO873" s="200"/>
      <c r="AP873" s="200"/>
      <c r="AQ873" s="200"/>
      <c r="AR873" s="200"/>
      <c r="AS873" s="200"/>
      <c r="AT873" s="200"/>
      <c r="AU873" s="200"/>
      <c r="AV873" s="200"/>
      <c r="AW873" s="200"/>
      <c r="AX873" s="200"/>
      <c r="AY873" s="200"/>
      <c r="AZ873" s="200"/>
      <c r="BA873" s="200"/>
      <c r="BB873" s="200"/>
      <c r="BC873" s="200"/>
      <c r="BD873" s="200"/>
    </row>
    <row r="874" spans="32:56" ht="24" customHeight="1" x14ac:dyDescent="0.25">
      <c r="AF874" s="200"/>
      <c r="AG874" s="200"/>
      <c r="AH874" s="200"/>
      <c r="AI874" s="200"/>
      <c r="AJ874" s="200"/>
      <c r="AK874" s="200"/>
      <c r="AL874" s="200"/>
      <c r="AM874" s="200"/>
      <c r="AN874" s="200"/>
      <c r="AO874" s="200"/>
      <c r="AP874" s="200"/>
      <c r="AQ874" s="200"/>
      <c r="AR874" s="200"/>
      <c r="AS874" s="200"/>
      <c r="AT874" s="200"/>
      <c r="AU874" s="200"/>
      <c r="AV874" s="200"/>
      <c r="AW874" s="200"/>
      <c r="AX874" s="200"/>
      <c r="AY874" s="200"/>
      <c r="AZ874" s="200"/>
      <c r="BA874" s="200"/>
      <c r="BB874" s="200"/>
      <c r="BC874" s="200"/>
      <c r="BD874" s="200"/>
    </row>
    <row r="875" spans="32:56" ht="24" customHeight="1" x14ac:dyDescent="0.25">
      <c r="AF875" s="200"/>
      <c r="AG875" s="200"/>
      <c r="AH875" s="200"/>
      <c r="AI875" s="200"/>
      <c r="AJ875" s="200"/>
      <c r="AK875" s="200"/>
      <c r="AL875" s="200"/>
      <c r="AM875" s="200"/>
      <c r="AN875" s="200"/>
      <c r="AO875" s="200"/>
      <c r="AP875" s="200"/>
      <c r="AQ875" s="200"/>
      <c r="AR875" s="200"/>
      <c r="AS875" s="200"/>
      <c r="AT875" s="200"/>
      <c r="AU875" s="200"/>
      <c r="AV875" s="200"/>
      <c r="AW875" s="200"/>
      <c r="AX875" s="200"/>
      <c r="AY875" s="200"/>
      <c r="AZ875" s="200"/>
      <c r="BA875" s="200"/>
      <c r="BB875" s="200"/>
      <c r="BC875" s="200"/>
      <c r="BD875" s="200"/>
    </row>
    <row r="876" spans="32:56" ht="24" customHeight="1" x14ac:dyDescent="0.25">
      <c r="AF876" s="200"/>
      <c r="AG876" s="200"/>
      <c r="AH876" s="200"/>
      <c r="AI876" s="200"/>
      <c r="AJ876" s="200"/>
      <c r="AK876" s="200"/>
      <c r="AL876" s="200"/>
      <c r="AM876" s="200"/>
      <c r="AN876" s="200"/>
      <c r="AO876" s="200"/>
      <c r="AP876" s="200"/>
      <c r="AQ876" s="200"/>
      <c r="AR876" s="200"/>
      <c r="AS876" s="200"/>
      <c r="AT876" s="200"/>
      <c r="AU876" s="200"/>
      <c r="AV876" s="200"/>
      <c r="AW876" s="200"/>
      <c r="AX876" s="200"/>
      <c r="AY876" s="200"/>
      <c r="AZ876" s="200"/>
      <c r="BA876" s="200"/>
      <c r="BB876" s="200"/>
      <c r="BC876" s="200"/>
      <c r="BD876" s="200"/>
    </row>
    <row r="877" spans="32:56" ht="24" customHeight="1" x14ac:dyDescent="0.25">
      <c r="AF877" s="200"/>
      <c r="AG877" s="200"/>
      <c r="AH877" s="200"/>
      <c r="AI877" s="200"/>
      <c r="AJ877" s="200"/>
      <c r="AK877" s="200"/>
      <c r="AL877" s="200"/>
      <c r="AM877" s="200"/>
      <c r="AN877" s="200"/>
      <c r="AO877" s="200"/>
      <c r="AP877" s="200"/>
      <c r="AQ877" s="200"/>
      <c r="AR877" s="200"/>
      <c r="AS877" s="200"/>
      <c r="AT877" s="200"/>
      <c r="AU877" s="200"/>
      <c r="AV877" s="200"/>
      <c r="AW877" s="200"/>
      <c r="AX877" s="200"/>
      <c r="AY877" s="200"/>
      <c r="AZ877" s="200"/>
      <c r="BA877" s="200"/>
      <c r="BB877" s="200"/>
      <c r="BC877" s="200"/>
      <c r="BD877" s="200"/>
    </row>
    <row r="878" spans="32:56" ht="24" customHeight="1" x14ac:dyDescent="0.25">
      <c r="AF878" s="200"/>
      <c r="AG878" s="200"/>
      <c r="AH878" s="200"/>
      <c r="AI878" s="200"/>
      <c r="AJ878" s="200"/>
      <c r="AK878" s="200"/>
      <c r="AL878" s="200"/>
      <c r="AM878" s="200"/>
      <c r="AN878" s="200"/>
      <c r="AO878" s="200"/>
      <c r="AP878" s="200"/>
      <c r="AQ878" s="200"/>
      <c r="AR878" s="200"/>
      <c r="AS878" s="200"/>
      <c r="AT878" s="200"/>
      <c r="AU878" s="200"/>
      <c r="AV878" s="200"/>
      <c r="AW878" s="200"/>
      <c r="AX878" s="200"/>
      <c r="AY878" s="200"/>
      <c r="AZ878" s="200"/>
      <c r="BA878" s="200"/>
      <c r="BB878" s="200"/>
      <c r="BC878" s="200"/>
      <c r="BD878" s="200"/>
    </row>
    <row r="879" spans="32:56" ht="24" customHeight="1" x14ac:dyDescent="0.25">
      <c r="AF879" s="200"/>
      <c r="AG879" s="200"/>
      <c r="AH879" s="200"/>
      <c r="AI879" s="200"/>
      <c r="AJ879" s="200"/>
      <c r="AK879" s="200"/>
      <c r="AL879" s="200"/>
      <c r="AM879" s="200"/>
      <c r="AN879" s="200"/>
      <c r="AO879" s="200"/>
      <c r="AP879" s="200"/>
      <c r="AQ879" s="200"/>
      <c r="AR879" s="200"/>
      <c r="AS879" s="200"/>
      <c r="AT879" s="200"/>
      <c r="AU879" s="200"/>
      <c r="AV879" s="200"/>
      <c r="AW879" s="200"/>
      <c r="AX879" s="200"/>
      <c r="AY879" s="200"/>
      <c r="AZ879" s="200"/>
      <c r="BA879" s="200"/>
      <c r="BB879" s="200"/>
      <c r="BC879" s="200"/>
      <c r="BD879" s="200"/>
    </row>
    <row r="880" spans="32:56" ht="24" customHeight="1" x14ac:dyDescent="0.25">
      <c r="AF880" s="200"/>
      <c r="AG880" s="200"/>
      <c r="AH880" s="200"/>
      <c r="AI880" s="200"/>
      <c r="AJ880" s="200"/>
      <c r="AK880" s="200"/>
      <c r="AL880" s="200"/>
      <c r="AM880" s="200"/>
      <c r="AN880" s="200"/>
      <c r="AO880" s="200"/>
      <c r="AP880" s="200"/>
      <c r="AQ880" s="200"/>
      <c r="AR880" s="200"/>
      <c r="AS880" s="200"/>
      <c r="AT880" s="200"/>
      <c r="AU880" s="200"/>
      <c r="AV880" s="200"/>
      <c r="AW880" s="200"/>
      <c r="AX880" s="200"/>
      <c r="AY880" s="200"/>
      <c r="AZ880" s="200"/>
      <c r="BA880" s="200"/>
      <c r="BB880" s="200"/>
      <c r="BC880" s="200"/>
      <c r="BD880" s="200"/>
    </row>
    <row r="881" spans="32:56" ht="24" customHeight="1" x14ac:dyDescent="0.25">
      <c r="AF881" s="200"/>
      <c r="AG881" s="200"/>
      <c r="AH881" s="200"/>
      <c r="AI881" s="200"/>
      <c r="AJ881" s="200"/>
      <c r="AK881" s="200"/>
      <c r="AL881" s="200"/>
      <c r="AM881" s="200"/>
      <c r="AN881" s="200"/>
      <c r="AO881" s="200"/>
      <c r="AP881" s="200"/>
      <c r="AQ881" s="200"/>
      <c r="AR881" s="200"/>
      <c r="AS881" s="200"/>
      <c r="AT881" s="200"/>
      <c r="AU881" s="200"/>
      <c r="AV881" s="200"/>
      <c r="AW881" s="200"/>
      <c r="AX881" s="200"/>
      <c r="AY881" s="200"/>
      <c r="AZ881" s="200"/>
      <c r="BA881" s="200"/>
      <c r="BB881" s="200"/>
      <c r="BC881" s="200"/>
      <c r="BD881" s="200"/>
    </row>
    <row r="882" spans="32:56" ht="24" customHeight="1" x14ac:dyDescent="0.25">
      <c r="AF882" s="200"/>
      <c r="AG882" s="200"/>
      <c r="AH882" s="200"/>
      <c r="AI882" s="200"/>
      <c r="AJ882" s="200"/>
      <c r="AK882" s="200"/>
      <c r="AL882" s="200"/>
      <c r="AM882" s="200"/>
      <c r="AN882" s="200"/>
      <c r="AO882" s="200"/>
      <c r="AP882" s="200"/>
      <c r="AQ882" s="200"/>
      <c r="AR882" s="200"/>
      <c r="AS882" s="200"/>
      <c r="AT882" s="200"/>
      <c r="AU882" s="200"/>
      <c r="AV882" s="200"/>
      <c r="AW882" s="200"/>
      <c r="AX882" s="200"/>
      <c r="AY882" s="200"/>
      <c r="AZ882" s="200"/>
      <c r="BA882" s="200"/>
      <c r="BB882" s="200"/>
      <c r="BC882" s="200"/>
      <c r="BD882" s="200"/>
    </row>
    <row r="883" spans="32:56" ht="24" customHeight="1" x14ac:dyDescent="0.25">
      <c r="AF883" s="200"/>
      <c r="AG883" s="200"/>
      <c r="AH883" s="200"/>
      <c r="AI883" s="200"/>
      <c r="AJ883" s="200"/>
      <c r="AK883" s="200"/>
      <c r="AL883" s="200"/>
      <c r="AM883" s="200"/>
      <c r="AN883" s="200"/>
      <c r="AO883" s="200"/>
      <c r="AP883" s="200"/>
      <c r="AQ883" s="200"/>
      <c r="AR883" s="200"/>
      <c r="AS883" s="200"/>
      <c r="AT883" s="200"/>
      <c r="AU883" s="200"/>
      <c r="AV883" s="200"/>
      <c r="AW883" s="200"/>
      <c r="AX883" s="200"/>
      <c r="AY883" s="200"/>
      <c r="AZ883" s="200"/>
      <c r="BA883" s="200"/>
      <c r="BB883" s="200"/>
      <c r="BC883" s="200"/>
      <c r="BD883" s="200"/>
    </row>
    <row r="884" spans="32:56" ht="24" customHeight="1" x14ac:dyDescent="0.25">
      <c r="AF884" s="200"/>
      <c r="AG884" s="200"/>
      <c r="AH884" s="200"/>
      <c r="AI884" s="200"/>
      <c r="AJ884" s="200"/>
      <c r="AK884" s="200"/>
      <c r="AL884" s="200"/>
      <c r="AM884" s="200"/>
      <c r="AN884" s="200"/>
      <c r="AO884" s="200"/>
      <c r="AP884" s="200"/>
      <c r="AQ884" s="200"/>
      <c r="AR884" s="200"/>
      <c r="AS884" s="200"/>
      <c r="AT884" s="200"/>
      <c r="AU884" s="200"/>
      <c r="AV884" s="200"/>
      <c r="AW884" s="200"/>
      <c r="AX884" s="200"/>
      <c r="AY884" s="200"/>
      <c r="AZ884" s="200"/>
      <c r="BA884" s="200"/>
      <c r="BB884" s="200"/>
      <c r="BC884" s="200"/>
      <c r="BD884" s="200"/>
    </row>
    <row r="885" spans="32:56" ht="24" customHeight="1" x14ac:dyDescent="0.25">
      <c r="AF885" s="200"/>
      <c r="AG885" s="200"/>
      <c r="AH885" s="200"/>
      <c r="AI885" s="200"/>
      <c r="AJ885" s="200"/>
      <c r="AK885" s="200"/>
      <c r="AL885" s="200"/>
      <c r="AM885" s="200"/>
      <c r="AN885" s="200"/>
      <c r="AO885" s="200"/>
      <c r="AP885" s="200"/>
      <c r="AQ885" s="200"/>
      <c r="AR885" s="200"/>
      <c r="AS885" s="200"/>
      <c r="AT885" s="200"/>
      <c r="AU885" s="200"/>
      <c r="AV885" s="200"/>
      <c r="AW885" s="200"/>
      <c r="AX885" s="200"/>
      <c r="AY885" s="200"/>
      <c r="AZ885" s="200"/>
      <c r="BA885" s="200"/>
      <c r="BB885" s="200"/>
      <c r="BC885" s="200"/>
      <c r="BD885" s="200"/>
    </row>
    <row r="886" spans="32:56" ht="24" customHeight="1" x14ac:dyDescent="0.25">
      <c r="AF886" s="200"/>
      <c r="AG886" s="200"/>
      <c r="AH886" s="200"/>
      <c r="AI886" s="200"/>
      <c r="AJ886" s="200"/>
      <c r="AK886" s="200"/>
      <c r="AL886" s="200"/>
      <c r="AM886" s="200"/>
      <c r="AN886" s="200"/>
      <c r="AO886" s="200"/>
      <c r="AP886" s="200"/>
      <c r="AQ886" s="200"/>
      <c r="AR886" s="200"/>
      <c r="AS886" s="200"/>
      <c r="AT886" s="200"/>
      <c r="AU886" s="200"/>
      <c r="AV886" s="200"/>
      <c r="AW886" s="200"/>
      <c r="AX886" s="200"/>
      <c r="AY886" s="200"/>
      <c r="AZ886" s="200"/>
      <c r="BA886" s="200"/>
      <c r="BB886" s="200"/>
      <c r="BC886" s="200"/>
      <c r="BD886" s="200"/>
    </row>
    <row r="887" spans="32:56" ht="24" customHeight="1" x14ac:dyDescent="0.25">
      <c r="AF887" s="200"/>
      <c r="AG887" s="200"/>
      <c r="AH887" s="200"/>
      <c r="AI887" s="200"/>
      <c r="AJ887" s="200"/>
      <c r="AK887" s="200"/>
      <c r="AL887" s="200"/>
      <c r="AM887" s="200"/>
      <c r="AN887" s="200"/>
      <c r="AO887" s="200"/>
      <c r="AP887" s="200"/>
      <c r="AQ887" s="200"/>
      <c r="AR887" s="200"/>
      <c r="AS887" s="200"/>
      <c r="AT887" s="200"/>
      <c r="AU887" s="200"/>
      <c r="AV887" s="200"/>
      <c r="AW887" s="200"/>
      <c r="AX887" s="200"/>
      <c r="AY887" s="200"/>
      <c r="AZ887" s="200"/>
      <c r="BA887" s="200"/>
      <c r="BB887" s="200"/>
      <c r="BC887" s="200"/>
      <c r="BD887" s="200"/>
    </row>
    <row r="888" spans="32:56" ht="24" customHeight="1" x14ac:dyDescent="0.25">
      <c r="AF888" s="200"/>
      <c r="AG888" s="200"/>
      <c r="AH888" s="200"/>
      <c r="AI888" s="200"/>
      <c r="AJ888" s="200"/>
      <c r="AK888" s="200"/>
      <c r="AL888" s="200"/>
      <c r="AM888" s="200"/>
      <c r="AN888" s="200"/>
      <c r="AO888" s="200"/>
      <c r="AP888" s="200"/>
      <c r="AQ888" s="200"/>
      <c r="AR888" s="200"/>
      <c r="AS888" s="200"/>
      <c r="AT888" s="200"/>
      <c r="AU888" s="200"/>
      <c r="AV888" s="200"/>
      <c r="AW888" s="200"/>
      <c r="AX888" s="200"/>
      <c r="AY888" s="200"/>
      <c r="AZ888" s="200"/>
      <c r="BA888" s="200"/>
      <c r="BB888" s="200"/>
      <c r="BC888" s="200"/>
      <c r="BD888" s="200"/>
    </row>
    <row r="889" spans="32:56" ht="24" customHeight="1" x14ac:dyDescent="0.25">
      <c r="AF889" s="200"/>
      <c r="AG889" s="200"/>
      <c r="AH889" s="200"/>
      <c r="AI889" s="200"/>
      <c r="AJ889" s="200"/>
      <c r="AK889" s="200"/>
      <c r="AL889" s="200"/>
      <c r="AM889" s="200"/>
      <c r="AN889" s="200"/>
      <c r="AO889" s="200"/>
      <c r="AP889" s="200"/>
      <c r="AQ889" s="200"/>
      <c r="AR889" s="200"/>
      <c r="AS889" s="200"/>
      <c r="AT889" s="200"/>
      <c r="AU889" s="200"/>
      <c r="AV889" s="200"/>
      <c r="AW889" s="200"/>
      <c r="AX889" s="200"/>
      <c r="AY889" s="200"/>
      <c r="AZ889" s="200"/>
      <c r="BA889" s="200"/>
      <c r="BB889" s="200"/>
      <c r="BC889" s="200"/>
      <c r="BD889" s="200"/>
    </row>
    <row r="890" spans="32:56" ht="24" customHeight="1" x14ac:dyDescent="0.25">
      <c r="AF890" s="200"/>
      <c r="AG890" s="200"/>
      <c r="AH890" s="200"/>
      <c r="AI890" s="200"/>
      <c r="AJ890" s="200"/>
      <c r="AK890" s="200"/>
      <c r="AL890" s="200"/>
      <c r="AM890" s="200"/>
      <c r="AN890" s="200"/>
      <c r="AO890" s="200"/>
      <c r="AP890" s="200"/>
      <c r="AQ890" s="200"/>
      <c r="AR890" s="200"/>
      <c r="AS890" s="200"/>
      <c r="AT890" s="200"/>
      <c r="AU890" s="200"/>
      <c r="AV890" s="200"/>
      <c r="AW890" s="200"/>
      <c r="AX890" s="200"/>
      <c r="AY890" s="200"/>
      <c r="AZ890" s="200"/>
      <c r="BA890" s="200"/>
      <c r="BB890" s="200"/>
      <c r="BC890" s="200"/>
      <c r="BD890" s="200"/>
    </row>
    <row r="891" spans="32:56" ht="24" customHeight="1" x14ac:dyDescent="0.25">
      <c r="AF891" s="200"/>
      <c r="AG891" s="200"/>
      <c r="AH891" s="200"/>
      <c r="AI891" s="200"/>
      <c r="AJ891" s="200"/>
      <c r="AK891" s="200"/>
      <c r="AL891" s="200"/>
      <c r="AM891" s="200"/>
      <c r="AN891" s="200"/>
      <c r="AO891" s="200"/>
      <c r="AP891" s="200"/>
      <c r="AQ891" s="200"/>
      <c r="AR891" s="200"/>
      <c r="AS891" s="200"/>
      <c r="AT891" s="200"/>
      <c r="AU891" s="200"/>
      <c r="AV891" s="200"/>
      <c r="AW891" s="200"/>
      <c r="AX891" s="200"/>
      <c r="AY891" s="200"/>
      <c r="AZ891" s="200"/>
      <c r="BA891" s="200"/>
      <c r="BB891" s="200"/>
      <c r="BC891" s="200"/>
      <c r="BD891" s="200"/>
    </row>
    <row r="892" spans="32:56" ht="24" customHeight="1" x14ac:dyDescent="0.25">
      <c r="AF892" s="200"/>
      <c r="AG892" s="200"/>
      <c r="AH892" s="200"/>
      <c r="AI892" s="200"/>
      <c r="AJ892" s="200"/>
      <c r="AK892" s="200"/>
      <c r="AL892" s="200"/>
      <c r="AM892" s="200"/>
      <c r="AN892" s="200"/>
      <c r="AO892" s="200"/>
      <c r="AP892" s="200"/>
      <c r="AQ892" s="200"/>
      <c r="AR892" s="200"/>
      <c r="AS892" s="200"/>
      <c r="AT892" s="200"/>
      <c r="AU892" s="200"/>
      <c r="AV892" s="200"/>
      <c r="AW892" s="200"/>
      <c r="AX892" s="200"/>
      <c r="AY892" s="200"/>
      <c r="AZ892" s="200"/>
      <c r="BA892" s="200"/>
      <c r="BB892" s="200"/>
      <c r="BC892" s="200"/>
      <c r="BD892" s="200"/>
    </row>
    <row r="893" spans="32:56" ht="24" customHeight="1" x14ac:dyDescent="0.25">
      <c r="AF893" s="200"/>
      <c r="AG893" s="200"/>
      <c r="AH893" s="200"/>
      <c r="AI893" s="200"/>
      <c r="AJ893" s="200"/>
      <c r="AK893" s="200"/>
      <c r="AL893" s="200"/>
      <c r="AM893" s="200"/>
      <c r="AN893" s="200"/>
      <c r="AO893" s="200"/>
      <c r="AP893" s="200"/>
      <c r="AQ893" s="200"/>
      <c r="AR893" s="200"/>
      <c r="AS893" s="200"/>
      <c r="AT893" s="200"/>
      <c r="AU893" s="200"/>
      <c r="AV893" s="200"/>
      <c r="AW893" s="200"/>
      <c r="AX893" s="200"/>
      <c r="AY893" s="200"/>
      <c r="AZ893" s="200"/>
      <c r="BA893" s="200"/>
      <c r="BB893" s="200"/>
      <c r="BC893" s="200"/>
      <c r="BD893" s="200"/>
    </row>
    <row r="894" spans="32:56" ht="24" customHeight="1" x14ac:dyDescent="0.25">
      <c r="AF894" s="200"/>
      <c r="AG894" s="200"/>
      <c r="AH894" s="200"/>
      <c r="AI894" s="200"/>
      <c r="AJ894" s="200"/>
      <c r="AK894" s="200"/>
      <c r="AL894" s="200"/>
      <c r="AM894" s="200"/>
      <c r="AN894" s="200"/>
      <c r="AO894" s="200"/>
      <c r="AP894" s="200"/>
      <c r="AQ894" s="200"/>
      <c r="AR894" s="200"/>
      <c r="AS894" s="200"/>
      <c r="AT894" s="200"/>
      <c r="AU894" s="200"/>
      <c r="AV894" s="200"/>
      <c r="AW894" s="200"/>
      <c r="AX894" s="200"/>
      <c r="AY894" s="200"/>
      <c r="AZ894" s="200"/>
      <c r="BA894" s="200"/>
      <c r="BB894" s="200"/>
      <c r="BC894" s="200"/>
      <c r="BD894" s="200"/>
    </row>
    <row r="895" spans="32:56" ht="24" customHeight="1" x14ac:dyDescent="0.25">
      <c r="AF895" s="200"/>
      <c r="AG895" s="200"/>
      <c r="AH895" s="200"/>
      <c r="AI895" s="200"/>
      <c r="AJ895" s="200"/>
      <c r="AK895" s="200"/>
      <c r="AL895" s="200"/>
      <c r="AM895" s="200"/>
      <c r="AN895" s="200"/>
      <c r="AO895" s="200"/>
      <c r="AP895" s="200"/>
      <c r="AQ895" s="200"/>
      <c r="AR895" s="200"/>
      <c r="AS895" s="200"/>
      <c r="AT895" s="200"/>
      <c r="AU895" s="200"/>
      <c r="AV895" s="200"/>
      <c r="AW895" s="200"/>
      <c r="AX895" s="200"/>
      <c r="AY895" s="200"/>
      <c r="AZ895" s="200"/>
      <c r="BA895" s="200"/>
      <c r="BB895" s="200"/>
      <c r="BC895" s="200"/>
      <c r="BD895" s="200"/>
    </row>
    <row r="896" spans="32:56" ht="24" customHeight="1" x14ac:dyDescent="0.25">
      <c r="AF896" s="200"/>
      <c r="AG896" s="200"/>
      <c r="AH896" s="200"/>
      <c r="AI896" s="200"/>
      <c r="AJ896" s="200"/>
      <c r="AK896" s="200"/>
      <c r="AL896" s="200"/>
      <c r="AM896" s="200"/>
      <c r="AN896" s="200"/>
      <c r="AO896" s="200"/>
      <c r="AP896" s="200"/>
      <c r="AQ896" s="200"/>
      <c r="AR896" s="200"/>
      <c r="AS896" s="200"/>
      <c r="AT896" s="200"/>
      <c r="AU896" s="200"/>
      <c r="AV896" s="200"/>
      <c r="AW896" s="200"/>
      <c r="AX896" s="200"/>
      <c r="AY896" s="200"/>
      <c r="AZ896" s="200"/>
      <c r="BA896" s="200"/>
      <c r="BB896" s="200"/>
      <c r="BC896" s="200"/>
      <c r="BD896" s="200"/>
    </row>
    <row r="897" spans="32:56" ht="24" customHeight="1" x14ac:dyDescent="0.25">
      <c r="AF897" s="200"/>
      <c r="AG897" s="200"/>
      <c r="AH897" s="200"/>
      <c r="AI897" s="200"/>
      <c r="AJ897" s="200"/>
      <c r="AK897" s="200"/>
      <c r="AL897" s="200"/>
      <c r="AM897" s="200"/>
      <c r="AN897" s="200"/>
      <c r="AO897" s="200"/>
      <c r="AP897" s="200"/>
      <c r="AQ897" s="200"/>
      <c r="AR897" s="200"/>
      <c r="AS897" s="200"/>
      <c r="AT897" s="200"/>
      <c r="AU897" s="200"/>
      <c r="AV897" s="200"/>
      <c r="AW897" s="200"/>
      <c r="AX897" s="200"/>
      <c r="AY897" s="200"/>
      <c r="AZ897" s="200"/>
      <c r="BA897" s="200"/>
      <c r="BB897" s="200"/>
      <c r="BC897" s="200"/>
      <c r="BD897" s="200"/>
    </row>
    <row r="898" spans="32:56" ht="24" customHeight="1" x14ac:dyDescent="0.25">
      <c r="AF898" s="200"/>
      <c r="AG898" s="200"/>
      <c r="AH898" s="200"/>
      <c r="AI898" s="200"/>
      <c r="AJ898" s="200"/>
      <c r="AK898" s="200"/>
      <c r="AL898" s="200"/>
      <c r="AM898" s="200"/>
      <c r="AN898" s="200"/>
      <c r="AO898" s="200"/>
      <c r="AP898" s="200"/>
      <c r="AQ898" s="200"/>
      <c r="AR898" s="200"/>
      <c r="AS898" s="200"/>
      <c r="AT898" s="200"/>
      <c r="AU898" s="200"/>
      <c r="AV898" s="200"/>
      <c r="AW898" s="200"/>
      <c r="AX898" s="200"/>
      <c r="AY898" s="200"/>
      <c r="AZ898" s="200"/>
      <c r="BA898" s="200"/>
      <c r="BB898" s="200"/>
      <c r="BC898" s="200"/>
      <c r="BD898" s="200"/>
    </row>
    <row r="899" spans="32:56" ht="24" customHeight="1" x14ac:dyDescent="0.25">
      <c r="AF899" s="200"/>
      <c r="AG899" s="200"/>
      <c r="AH899" s="200"/>
      <c r="AI899" s="200"/>
      <c r="AJ899" s="200"/>
      <c r="AK899" s="200"/>
      <c r="AL899" s="200"/>
      <c r="AM899" s="200"/>
      <c r="AN899" s="200"/>
      <c r="AO899" s="200"/>
      <c r="AP899" s="200"/>
      <c r="AQ899" s="200"/>
      <c r="AR899" s="200"/>
      <c r="AS899" s="200"/>
      <c r="AT899" s="200"/>
      <c r="AU899" s="200"/>
      <c r="AV899" s="200"/>
      <c r="AW899" s="200"/>
      <c r="AX899" s="200"/>
      <c r="AY899" s="200"/>
      <c r="AZ899" s="200"/>
      <c r="BA899" s="200"/>
      <c r="BB899" s="200"/>
      <c r="BC899" s="200"/>
      <c r="BD899" s="200"/>
    </row>
    <row r="900" spans="32:56" ht="24" customHeight="1" x14ac:dyDescent="0.25">
      <c r="AF900" s="200"/>
      <c r="AG900" s="200"/>
      <c r="AH900" s="200"/>
      <c r="AI900" s="200"/>
      <c r="AJ900" s="200"/>
      <c r="AK900" s="200"/>
      <c r="AL900" s="200"/>
      <c r="AM900" s="200"/>
      <c r="AN900" s="200"/>
      <c r="AO900" s="200"/>
      <c r="AP900" s="200"/>
      <c r="AQ900" s="200"/>
      <c r="AR900" s="200"/>
      <c r="AS900" s="200"/>
      <c r="AT900" s="200"/>
      <c r="AU900" s="200"/>
      <c r="AV900" s="200"/>
      <c r="AW900" s="200"/>
      <c r="AX900" s="200"/>
      <c r="AY900" s="200"/>
      <c r="AZ900" s="200"/>
      <c r="BA900" s="200"/>
      <c r="BB900" s="200"/>
      <c r="BC900" s="200"/>
      <c r="BD900" s="200"/>
    </row>
    <row r="901" spans="32:56" ht="24" customHeight="1" x14ac:dyDescent="0.25">
      <c r="AF901" s="200"/>
      <c r="AG901" s="200"/>
      <c r="AH901" s="200"/>
      <c r="AI901" s="200"/>
      <c r="AJ901" s="200"/>
      <c r="AK901" s="200"/>
      <c r="AL901" s="200"/>
      <c r="AM901" s="200"/>
      <c r="AN901" s="200"/>
      <c r="AO901" s="200"/>
      <c r="AP901" s="200"/>
      <c r="AQ901" s="200"/>
      <c r="AR901" s="200"/>
      <c r="AS901" s="200"/>
      <c r="AT901" s="200"/>
      <c r="AU901" s="200"/>
      <c r="AV901" s="200"/>
      <c r="AW901" s="200"/>
      <c r="AX901" s="200"/>
      <c r="AY901" s="200"/>
      <c r="AZ901" s="200"/>
      <c r="BA901" s="200"/>
      <c r="BB901" s="200"/>
      <c r="BC901" s="200"/>
      <c r="BD901" s="200"/>
    </row>
    <row r="902" spans="32:56" ht="24" customHeight="1" x14ac:dyDescent="0.25">
      <c r="AF902" s="200"/>
      <c r="AG902" s="200"/>
      <c r="AH902" s="200"/>
      <c r="AI902" s="200"/>
      <c r="AJ902" s="200"/>
      <c r="AK902" s="200"/>
      <c r="AL902" s="200"/>
      <c r="AM902" s="200"/>
      <c r="AN902" s="200"/>
      <c r="AO902" s="200"/>
      <c r="AP902" s="200"/>
      <c r="AQ902" s="200"/>
      <c r="AR902" s="200"/>
      <c r="AS902" s="200"/>
      <c r="AT902" s="200"/>
      <c r="AU902" s="200"/>
      <c r="AV902" s="200"/>
      <c r="AW902" s="200"/>
      <c r="AX902" s="200"/>
      <c r="AY902" s="200"/>
      <c r="AZ902" s="200"/>
      <c r="BA902" s="200"/>
      <c r="BB902" s="200"/>
      <c r="BC902" s="200"/>
      <c r="BD902" s="200"/>
    </row>
    <row r="903" spans="32:56" ht="24" customHeight="1" x14ac:dyDescent="0.25">
      <c r="AF903" s="200"/>
      <c r="AG903" s="200"/>
      <c r="AH903" s="200"/>
      <c r="AI903" s="200"/>
      <c r="AJ903" s="200"/>
      <c r="AK903" s="200"/>
      <c r="AL903" s="200"/>
      <c r="AM903" s="200"/>
      <c r="AN903" s="200"/>
      <c r="AO903" s="200"/>
      <c r="AP903" s="200"/>
      <c r="AQ903" s="200"/>
      <c r="AR903" s="200"/>
      <c r="AS903" s="200"/>
      <c r="AT903" s="200"/>
      <c r="AU903" s="200"/>
      <c r="AV903" s="200"/>
      <c r="AW903" s="200"/>
      <c r="AX903" s="200"/>
      <c r="AY903" s="200"/>
      <c r="AZ903" s="200"/>
      <c r="BA903" s="200"/>
      <c r="BB903" s="200"/>
      <c r="BC903" s="200"/>
      <c r="BD903" s="200"/>
    </row>
    <row r="904" spans="32:56" ht="24" customHeight="1" x14ac:dyDescent="0.25">
      <c r="AF904" s="200"/>
      <c r="AG904" s="200"/>
      <c r="AH904" s="200"/>
      <c r="AI904" s="200"/>
      <c r="AJ904" s="200"/>
      <c r="AK904" s="200"/>
      <c r="AL904" s="200"/>
      <c r="AM904" s="200"/>
      <c r="AN904" s="200"/>
      <c r="AO904" s="200"/>
      <c r="AP904" s="200"/>
      <c r="AQ904" s="200"/>
      <c r="AR904" s="200"/>
      <c r="AS904" s="200"/>
      <c r="AT904" s="200"/>
      <c r="AU904" s="200"/>
      <c r="AV904" s="200"/>
      <c r="AW904" s="200"/>
      <c r="AX904" s="200"/>
      <c r="AY904" s="200"/>
      <c r="AZ904" s="200"/>
      <c r="BA904" s="200"/>
      <c r="BB904" s="200"/>
      <c r="BC904" s="200"/>
      <c r="BD904" s="200"/>
    </row>
    <row r="905" spans="32:56" ht="24" customHeight="1" x14ac:dyDescent="0.25">
      <c r="AF905" s="200"/>
      <c r="AG905" s="200"/>
      <c r="AH905" s="200"/>
      <c r="AI905" s="200"/>
      <c r="AJ905" s="200"/>
      <c r="AK905" s="200"/>
      <c r="AL905" s="200"/>
      <c r="AM905" s="200"/>
      <c r="AN905" s="200"/>
      <c r="AO905" s="200"/>
      <c r="AP905" s="200"/>
      <c r="AQ905" s="200"/>
      <c r="AR905" s="200"/>
      <c r="AS905" s="200"/>
      <c r="AT905" s="200"/>
      <c r="AU905" s="200"/>
      <c r="AV905" s="200"/>
      <c r="AW905" s="200"/>
      <c r="AX905" s="200"/>
      <c r="AY905" s="200"/>
      <c r="AZ905" s="200"/>
      <c r="BA905" s="200"/>
      <c r="BB905" s="200"/>
      <c r="BC905" s="200"/>
      <c r="BD905" s="200"/>
    </row>
    <row r="906" spans="32:56" ht="24" customHeight="1" x14ac:dyDescent="0.25">
      <c r="AF906" s="200"/>
      <c r="AG906" s="200"/>
      <c r="AH906" s="200"/>
      <c r="AI906" s="200"/>
      <c r="AJ906" s="200"/>
      <c r="AK906" s="200"/>
      <c r="AL906" s="200"/>
      <c r="AM906" s="200"/>
      <c r="AN906" s="200"/>
      <c r="AO906" s="200"/>
      <c r="AP906" s="200"/>
      <c r="AQ906" s="200"/>
      <c r="AR906" s="200"/>
      <c r="AS906" s="200"/>
      <c r="AT906" s="200"/>
      <c r="AU906" s="200"/>
      <c r="AV906" s="200"/>
      <c r="AW906" s="200"/>
      <c r="AX906" s="200"/>
      <c r="AY906" s="200"/>
      <c r="AZ906" s="200"/>
      <c r="BA906" s="200"/>
      <c r="BB906" s="200"/>
      <c r="BC906" s="200"/>
      <c r="BD906" s="200"/>
    </row>
    <row r="907" spans="32:56" ht="24" customHeight="1" x14ac:dyDescent="0.25">
      <c r="AF907" s="200"/>
      <c r="AG907" s="200"/>
      <c r="AH907" s="200"/>
      <c r="AI907" s="200"/>
      <c r="AJ907" s="200"/>
      <c r="AK907" s="200"/>
      <c r="AL907" s="200"/>
      <c r="AM907" s="200"/>
      <c r="AN907" s="200"/>
      <c r="AO907" s="200"/>
      <c r="AP907" s="200"/>
      <c r="AQ907" s="200"/>
      <c r="AR907" s="200"/>
      <c r="AS907" s="200"/>
      <c r="AT907" s="200"/>
      <c r="AU907" s="200"/>
      <c r="AV907" s="200"/>
      <c r="AW907" s="200"/>
      <c r="AX907" s="200"/>
      <c r="AY907" s="200"/>
      <c r="AZ907" s="200"/>
      <c r="BA907" s="200"/>
      <c r="BB907" s="200"/>
      <c r="BC907" s="200"/>
      <c r="BD907" s="200"/>
    </row>
    <row r="908" spans="32:56" ht="24" customHeight="1" x14ac:dyDescent="0.25">
      <c r="AF908" s="200"/>
      <c r="AG908" s="200"/>
      <c r="AH908" s="200"/>
      <c r="AI908" s="200"/>
      <c r="AJ908" s="200"/>
      <c r="AK908" s="200"/>
      <c r="AL908" s="200"/>
      <c r="AM908" s="200"/>
      <c r="AN908" s="200"/>
      <c r="AO908" s="200"/>
      <c r="AP908" s="200"/>
      <c r="AQ908" s="200"/>
      <c r="AR908" s="200"/>
      <c r="AS908" s="200"/>
      <c r="AT908" s="200"/>
      <c r="AU908" s="200"/>
      <c r="AV908" s="200"/>
      <c r="AW908" s="200"/>
      <c r="AX908" s="200"/>
      <c r="AY908" s="200"/>
      <c r="AZ908" s="200"/>
      <c r="BA908" s="200"/>
      <c r="BB908" s="200"/>
      <c r="BC908" s="200"/>
      <c r="BD908" s="200"/>
    </row>
    <row r="909" spans="32:56" ht="24" customHeight="1" x14ac:dyDescent="0.25">
      <c r="AF909" s="200"/>
      <c r="AG909" s="200"/>
      <c r="AH909" s="200"/>
      <c r="AI909" s="200"/>
      <c r="AJ909" s="200"/>
      <c r="AK909" s="200"/>
      <c r="AL909" s="200"/>
      <c r="AM909" s="200"/>
      <c r="AN909" s="200"/>
      <c r="AO909" s="200"/>
      <c r="AP909" s="200"/>
      <c r="AQ909" s="200"/>
      <c r="AR909" s="200"/>
      <c r="AS909" s="200"/>
      <c r="AT909" s="200"/>
      <c r="AU909" s="200"/>
      <c r="AV909" s="200"/>
      <c r="AW909" s="200"/>
      <c r="AX909" s="200"/>
      <c r="AY909" s="200"/>
      <c r="AZ909" s="200"/>
      <c r="BA909" s="200"/>
      <c r="BB909" s="200"/>
      <c r="BC909" s="200"/>
      <c r="BD909" s="200"/>
    </row>
    <row r="910" spans="32:56" ht="24" customHeight="1" x14ac:dyDescent="0.25">
      <c r="AF910" s="200"/>
      <c r="AG910" s="200"/>
      <c r="AH910" s="200"/>
      <c r="AI910" s="200"/>
      <c r="AJ910" s="200"/>
      <c r="AK910" s="200"/>
      <c r="AL910" s="200"/>
      <c r="AM910" s="200"/>
      <c r="AN910" s="200"/>
      <c r="AO910" s="200"/>
      <c r="AP910" s="200"/>
      <c r="AQ910" s="200"/>
      <c r="AR910" s="200"/>
      <c r="AS910" s="200"/>
      <c r="AT910" s="200"/>
      <c r="AU910" s="200"/>
      <c r="AV910" s="200"/>
      <c r="AW910" s="200"/>
      <c r="AX910" s="200"/>
      <c r="AY910" s="200"/>
      <c r="AZ910" s="200"/>
      <c r="BA910" s="200"/>
      <c r="BB910" s="200"/>
      <c r="BC910" s="200"/>
      <c r="BD910" s="200"/>
    </row>
    <row r="911" spans="32:56" ht="24" customHeight="1" x14ac:dyDescent="0.25">
      <c r="AF911" s="200"/>
      <c r="AG911" s="200"/>
      <c r="AH911" s="200"/>
      <c r="AI911" s="200"/>
      <c r="AJ911" s="200"/>
      <c r="AK911" s="200"/>
      <c r="AL911" s="200"/>
      <c r="AM911" s="200"/>
      <c r="AN911" s="200"/>
      <c r="AO911" s="200"/>
      <c r="AP911" s="200"/>
      <c r="AQ911" s="200"/>
      <c r="AR911" s="200"/>
      <c r="AS911" s="200"/>
      <c r="AT911" s="200"/>
      <c r="AU911" s="200"/>
      <c r="AV911" s="200"/>
      <c r="AW911" s="200"/>
      <c r="AX911" s="200"/>
      <c r="AY911" s="200"/>
      <c r="AZ911" s="200"/>
      <c r="BA911" s="200"/>
      <c r="BB911" s="200"/>
      <c r="BC911" s="200"/>
      <c r="BD911" s="200"/>
    </row>
    <row r="912" spans="32:56" ht="24" customHeight="1" x14ac:dyDescent="0.25">
      <c r="AF912" s="200"/>
      <c r="AG912" s="200"/>
      <c r="AH912" s="200"/>
      <c r="AI912" s="200"/>
      <c r="AJ912" s="200"/>
      <c r="AK912" s="200"/>
      <c r="AL912" s="200"/>
      <c r="AM912" s="200"/>
      <c r="AN912" s="200"/>
      <c r="AO912" s="200"/>
      <c r="AP912" s="200"/>
      <c r="AQ912" s="200"/>
      <c r="AR912" s="200"/>
      <c r="AS912" s="200"/>
      <c r="AT912" s="200"/>
      <c r="AU912" s="200"/>
      <c r="AV912" s="200"/>
      <c r="AW912" s="200"/>
      <c r="AX912" s="200"/>
      <c r="AY912" s="200"/>
      <c r="AZ912" s="200"/>
      <c r="BA912" s="200"/>
      <c r="BB912" s="200"/>
      <c r="BC912" s="200"/>
      <c r="BD912" s="200"/>
    </row>
    <row r="913" spans="32:56" ht="24" customHeight="1" x14ac:dyDescent="0.25">
      <c r="AF913" s="200"/>
      <c r="AG913" s="200"/>
      <c r="AH913" s="200"/>
      <c r="AI913" s="200"/>
      <c r="AJ913" s="200"/>
      <c r="AK913" s="200"/>
      <c r="AL913" s="200"/>
      <c r="AM913" s="200"/>
      <c r="AN913" s="200"/>
      <c r="AO913" s="200"/>
      <c r="AP913" s="200"/>
      <c r="AQ913" s="200"/>
      <c r="AR913" s="200"/>
      <c r="AS913" s="200"/>
      <c r="AT913" s="200"/>
      <c r="AU913" s="200"/>
      <c r="AV913" s="200"/>
      <c r="AW913" s="200"/>
      <c r="AX913" s="200"/>
      <c r="AY913" s="200"/>
      <c r="AZ913" s="200"/>
      <c r="BA913" s="200"/>
      <c r="BB913" s="200"/>
      <c r="BC913" s="200"/>
      <c r="BD913" s="200"/>
    </row>
    <row r="914" spans="32:56" ht="24" customHeight="1" x14ac:dyDescent="0.25">
      <c r="AF914" s="200"/>
      <c r="AG914" s="200"/>
      <c r="AH914" s="200"/>
      <c r="AI914" s="200"/>
      <c r="AJ914" s="200"/>
      <c r="AK914" s="200"/>
      <c r="AL914" s="200"/>
      <c r="AM914" s="200"/>
      <c r="AN914" s="200"/>
      <c r="AO914" s="200"/>
      <c r="AP914" s="200"/>
      <c r="AQ914" s="200"/>
      <c r="AR914" s="200"/>
      <c r="AS914" s="200"/>
      <c r="AT914" s="200"/>
      <c r="AU914" s="200"/>
      <c r="AV914" s="200"/>
      <c r="AW914" s="200"/>
      <c r="AX914" s="200"/>
      <c r="AY914" s="200"/>
      <c r="AZ914" s="200"/>
      <c r="BA914" s="200"/>
      <c r="BB914" s="200"/>
      <c r="BC914" s="200"/>
      <c r="BD914" s="200"/>
    </row>
    <row r="915" spans="32:56" ht="24" customHeight="1" x14ac:dyDescent="0.25">
      <c r="AF915" s="200"/>
      <c r="AG915" s="200"/>
      <c r="AH915" s="200"/>
      <c r="AI915" s="200"/>
      <c r="AJ915" s="200"/>
      <c r="AK915" s="200"/>
      <c r="AL915" s="200"/>
      <c r="AM915" s="200"/>
      <c r="AN915" s="200"/>
      <c r="AO915" s="200"/>
      <c r="AP915" s="200"/>
      <c r="AQ915" s="200"/>
      <c r="AR915" s="200"/>
      <c r="AS915" s="200"/>
      <c r="AT915" s="200"/>
      <c r="AU915" s="200"/>
      <c r="AV915" s="200"/>
      <c r="AW915" s="200"/>
      <c r="AX915" s="200"/>
      <c r="AY915" s="200"/>
      <c r="AZ915" s="200"/>
      <c r="BA915" s="200"/>
      <c r="BB915" s="200"/>
      <c r="BC915" s="200"/>
      <c r="BD915" s="200"/>
    </row>
    <row r="916" spans="32:56" ht="24" customHeight="1" x14ac:dyDescent="0.25">
      <c r="AF916" s="200"/>
      <c r="AG916" s="200"/>
      <c r="AH916" s="200"/>
      <c r="AI916" s="200"/>
      <c r="AJ916" s="200"/>
      <c r="AK916" s="200"/>
      <c r="AL916" s="200"/>
      <c r="AM916" s="200"/>
      <c r="AN916" s="200"/>
      <c r="AO916" s="200"/>
      <c r="AP916" s="200"/>
      <c r="AQ916" s="200"/>
      <c r="AR916" s="200"/>
      <c r="AS916" s="200"/>
      <c r="AT916" s="200"/>
      <c r="AU916" s="200"/>
      <c r="AV916" s="200"/>
      <c r="AW916" s="200"/>
      <c r="AX916" s="200"/>
      <c r="AY916" s="200"/>
      <c r="AZ916" s="200"/>
      <c r="BA916" s="200"/>
      <c r="BB916" s="200"/>
      <c r="BC916" s="200"/>
      <c r="BD916" s="200"/>
    </row>
    <row r="917" spans="32:56" ht="24" customHeight="1" x14ac:dyDescent="0.25">
      <c r="AF917" s="200"/>
      <c r="AG917" s="200"/>
      <c r="AH917" s="200"/>
      <c r="AI917" s="200"/>
      <c r="AJ917" s="200"/>
      <c r="AK917" s="200"/>
      <c r="AL917" s="200"/>
      <c r="AM917" s="200"/>
      <c r="AN917" s="200"/>
      <c r="AO917" s="200"/>
      <c r="AP917" s="200"/>
      <c r="AQ917" s="200"/>
      <c r="AR917" s="200"/>
      <c r="AS917" s="200"/>
      <c r="AT917" s="200"/>
      <c r="AU917" s="200"/>
      <c r="AV917" s="200"/>
      <c r="AW917" s="200"/>
      <c r="AX917" s="200"/>
      <c r="AY917" s="200"/>
      <c r="AZ917" s="200"/>
      <c r="BA917" s="200"/>
      <c r="BB917" s="200"/>
      <c r="BC917" s="200"/>
      <c r="BD917" s="200"/>
    </row>
    <row r="918" spans="32:56" ht="24" customHeight="1" x14ac:dyDescent="0.25">
      <c r="AF918" s="200"/>
      <c r="AG918" s="200"/>
      <c r="AH918" s="200"/>
      <c r="AI918" s="200"/>
      <c r="AJ918" s="200"/>
      <c r="AK918" s="200"/>
      <c r="AL918" s="200"/>
      <c r="AM918" s="200"/>
      <c r="AN918" s="200"/>
      <c r="AO918" s="200"/>
      <c r="AP918" s="200"/>
      <c r="AQ918" s="200"/>
      <c r="AR918" s="200"/>
      <c r="AS918" s="200"/>
      <c r="AT918" s="200"/>
      <c r="AU918" s="200"/>
      <c r="AV918" s="200"/>
      <c r="AW918" s="200"/>
      <c r="AX918" s="200"/>
      <c r="AY918" s="200"/>
      <c r="AZ918" s="200"/>
      <c r="BA918" s="200"/>
      <c r="BB918" s="200"/>
      <c r="BC918" s="200"/>
      <c r="BD918" s="200"/>
    </row>
    <row r="919" spans="32:56" ht="24" customHeight="1" x14ac:dyDescent="0.25">
      <c r="AF919" s="200"/>
      <c r="AG919" s="200"/>
      <c r="AH919" s="200"/>
      <c r="AI919" s="200"/>
      <c r="AJ919" s="200"/>
      <c r="AK919" s="200"/>
      <c r="AL919" s="200"/>
      <c r="AM919" s="200"/>
      <c r="AN919" s="200"/>
      <c r="AO919" s="200"/>
      <c r="AP919" s="200"/>
      <c r="AQ919" s="200"/>
      <c r="AR919" s="200"/>
      <c r="AS919" s="200"/>
      <c r="AT919" s="200"/>
      <c r="AU919" s="200"/>
      <c r="AV919" s="200"/>
      <c r="AW919" s="200"/>
      <c r="AX919" s="200"/>
      <c r="AY919" s="200"/>
      <c r="AZ919" s="200"/>
      <c r="BA919" s="200"/>
      <c r="BB919" s="200"/>
      <c r="BC919" s="200"/>
      <c r="BD919" s="200"/>
    </row>
    <row r="920" spans="32:56" ht="24" customHeight="1" x14ac:dyDescent="0.25"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Q920" s="200"/>
      <c r="AR920" s="200"/>
      <c r="AS920" s="200"/>
      <c r="AT920" s="200"/>
      <c r="AU920" s="200"/>
      <c r="AV920" s="200"/>
      <c r="AW920" s="200"/>
      <c r="AX920" s="200"/>
      <c r="AY920" s="200"/>
      <c r="AZ920" s="200"/>
      <c r="BA920" s="200"/>
      <c r="BB920" s="200"/>
      <c r="BC920" s="200"/>
      <c r="BD920" s="200"/>
    </row>
    <row r="921" spans="32:56" ht="24" customHeight="1" x14ac:dyDescent="0.25">
      <c r="AF921" s="200"/>
      <c r="AG921" s="200"/>
      <c r="AH921" s="200"/>
      <c r="AI921" s="200"/>
      <c r="AJ921" s="200"/>
      <c r="AK921" s="200"/>
      <c r="AL921" s="200"/>
      <c r="AM921" s="200"/>
      <c r="AN921" s="200"/>
      <c r="AO921" s="200"/>
      <c r="AP921" s="200"/>
      <c r="AQ921" s="200"/>
      <c r="AR921" s="200"/>
      <c r="AS921" s="200"/>
      <c r="AT921" s="200"/>
      <c r="AU921" s="200"/>
      <c r="AV921" s="200"/>
      <c r="AW921" s="200"/>
      <c r="AX921" s="200"/>
      <c r="AY921" s="200"/>
      <c r="AZ921" s="200"/>
      <c r="BA921" s="200"/>
      <c r="BB921" s="200"/>
      <c r="BC921" s="200"/>
      <c r="BD921" s="200"/>
    </row>
    <row r="922" spans="32:56" ht="24" customHeight="1" x14ac:dyDescent="0.25"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Q922" s="200"/>
      <c r="AR922" s="200"/>
      <c r="AS922" s="200"/>
      <c r="AT922" s="200"/>
      <c r="AU922" s="200"/>
      <c r="AV922" s="200"/>
      <c r="AW922" s="200"/>
      <c r="AX922" s="200"/>
      <c r="AY922" s="200"/>
      <c r="AZ922" s="200"/>
      <c r="BA922" s="200"/>
      <c r="BB922" s="200"/>
      <c r="BC922" s="200"/>
      <c r="BD922" s="200"/>
    </row>
    <row r="923" spans="32:56" ht="24" customHeight="1" x14ac:dyDescent="0.25">
      <c r="AF923" s="200"/>
      <c r="AG923" s="200"/>
      <c r="AH923" s="200"/>
      <c r="AI923" s="200"/>
      <c r="AJ923" s="200"/>
      <c r="AK923" s="200"/>
      <c r="AL923" s="200"/>
      <c r="AM923" s="200"/>
      <c r="AN923" s="200"/>
      <c r="AO923" s="200"/>
      <c r="AP923" s="200"/>
      <c r="AQ923" s="200"/>
      <c r="AR923" s="200"/>
      <c r="AS923" s="200"/>
      <c r="AT923" s="200"/>
      <c r="AU923" s="200"/>
      <c r="AV923" s="200"/>
      <c r="AW923" s="200"/>
      <c r="AX923" s="200"/>
      <c r="AY923" s="200"/>
      <c r="AZ923" s="200"/>
      <c r="BA923" s="200"/>
      <c r="BB923" s="200"/>
      <c r="BC923" s="200"/>
      <c r="BD923" s="200"/>
    </row>
    <row r="924" spans="32:56" ht="24" customHeight="1" x14ac:dyDescent="0.25">
      <c r="AF924" s="200"/>
      <c r="AG924" s="200"/>
      <c r="AH924" s="200"/>
      <c r="AI924" s="200"/>
      <c r="AJ924" s="200"/>
      <c r="AK924" s="200"/>
      <c r="AL924" s="200"/>
      <c r="AM924" s="200"/>
      <c r="AN924" s="200"/>
      <c r="AO924" s="200"/>
      <c r="AP924" s="200"/>
      <c r="AQ924" s="200"/>
      <c r="AR924" s="200"/>
      <c r="AS924" s="200"/>
      <c r="AT924" s="200"/>
      <c r="AU924" s="200"/>
      <c r="AV924" s="200"/>
      <c r="AW924" s="200"/>
      <c r="AX924" s="200"/>
      <c r="AY924" s="200"/>
      <c r="AZ924" s="200"/>
      <c r="BA924" s="200"/>
      <c r="BB924" s="200"/>
      <c r="BC924" s="200"/>
      <c r="BD924" s="200"/>
    </row>
    <row r="925" spans="32:56" ht="24" customHeight="1" x14ac:dyDescent="0.25">
      <c r="AF925" s="200"/>
      <c r="AG925" s="200"/>
      <c r="AH925" s="200"/>
      <c r="AI925" s="200"/>
      <c r="AJ925" s="200"/>
      <c r="AK925" s="200"/>
      <c r="AL925" s="200"/>
      <c r="AM925" s="200"/>
      <c r="AN925" s="200"/>
      <c r="AO925" s="200"/>
      <c r="AP925" s="200"/>
      <c r="AQ925" s="200"/>
      <c r="AR925" s="200"/>
      <c r="AS925" s="200"/>
      <c r="AT925" s="200"/>
      <c r="AU925" s="200"/>
      <c r="AV925" s="200"/>
      <c r="AW925" s="200"/>
      <c r="AX925" s="200"/>
      <c r="AY925" s="200"/>
      <c r="AZ925" s="200"/>
      <c r="BA925" s="200"/>
      <c r="BB925" s="200"/>
      <c r="BC925" s="200"/>
      <c r="BD925" s="200"/>
    </row>
    <row r="926" spans="32:56" ht="24" customHeight="1" x14ac:dyDescent="0.25">
      <c r="AF926" s="200"/>
      <c r="AG926" s="200"/>
      <c r="AH926" s="200"/>
      <c r="AI926" s="200"/>
      <c r="AJ926" s="200"/>
      <c r="AK926" s="200"/>
      <c r="AL926" s="200"/>
      <c r="AM926" s="200"/>
      <c r="AN926" s="200"/>
      <c r="AO926" s="200"/>
      <c r="AP926" s="200"/>
      <c r="AQ926" s="200"/>
      <c r="AR926" s="200"/>
      <c r="AS926" s="200"/>
      <c r="AT926" s="200"/>
      <c r="AU926" s="200"/>
      <c r="AV926" s="200"/>
      <c r="AW926" s="200"/>
      <c r="AX926" s="200"/>
      <c r="AY926" s="200"/>
      <c r="AZ926" s="200"/>
      <c r="BA926" s="200"/>
      <c r="BB926" s="200"/>
      <c r="BC926" s="200"/>
      <c r="BD926" s="200"/>
    </row>
    <row r="927" spans="32:56" ht="24" customHeight="1" x14ac:dyDescent="0.25">
      <c r="AF927" s="200"/>
      <c r="AG927" s="200"/>
      <c r="AH927" s="200"/>
      <c r="AI927" s="200"/>
      <c r="AJ927" s="200"/>
      <c r="AK927" s="200"/>
      <c r="AL927" s="200"/>
      <c r="AM927" s="200"/>
      <c r="AN927" s="200"/>
      <c r="AO927" s="200"/>
      <c r="AP927" s="200"/>
      <c r="AQ927" s="200"/>
      <c r="AR927" s="200"/>
      <c r="AS927" s="200"/>
      <c r="AT927" s="200"/>
      <c r="AU927" s="200"/>
      <c r="AV927" s="200"/>
      <c r="AW927" s="200"/>
      <c r="AX927" s="200"/>
      <c r="AY927" s="200"/>
      <c r="AZ927" s="200"/>
      <c r="BA927" s="200"/>
      <c r="BB927" s="200"/>
      <c r="BC927" s="200"/>
      <c r="BD927" s="200"/>
    </row>
    <row r="928" spans="32:56" ht="24" customHeight="1" x14ac:dyDescent="0.25">
      <c r="AF928" s="200"/>
      <c r="AG928" s="200"/>
      <c r="AH928" s="200"/>
      <c r="AI928" s="200"/>
      <c r="AJ928" s="200"/>
      <c r="AK928" s="200"/>
      <c r="AL928" s="200"/>
      <c r="AM928" s="200"/>
      <c r="AN928" s="200"/>
      <c r="AO928" s="200"/>
      <c r="AP928" s="200"/>
      <c r="AQ928" s="200"/>
      <c r="AR928" s="200"/>
      <c r="AS928" s="200"/>
      <c r="AT928" s="200"/>
      <c r="AU928" s="200"/>
      <c r="AV928" s="200"/>
      <c r="AW928" s="200"/>
      <c r="AX928" s="200"/>
      <c r="AY928" s="200"/>
      <c r="AZ928" s="200"/>
      <c r="BA928" s="200"/>
      <c r="BB928" s="200"/>
      <c r="BC928" s="200"/>
      <c r="BD928" s="200"/>
    </row>
    <row r="929" spans="32:56" ht="24" customHeight="1" x14ac:dyDescent="0.25">
      <c r="AF929" s="200"/>
      <c r="AG929" s="200"/>
      <c r="AH929" s="200"/>
      <c r="AI929" s="200"/>
      <c r="AJ929" s="200"/>
      <c r="AK929" s="200"/>
      <c r="AL929" s="200"/>
      <c r="AM929" s="200"/>
      <c r="AN929" s="200"/>
      <c r="AO929" s="200"/>
      <c r="AP929" s="200"/>
      <c r="AQ929" s="200"/>
      <c r="AR929" s="200"/>
      <c r="AS929" s="200"/>
      <c r="AT929" s="200"/>
      <c r="AU929" s="200"/>
      <c r="AV929" s="200"/>
      <c r="AW929" s="200"/>
      <c r="AX929" s="200"/>
      <c r="AY929" s="200"/>
      <c r="AZ929" s="200"/>
      <c r="BA929" s="200"/>
      <c r="BB929" s="200"/>
      <c r="BC929" s="200"/>
      <c r="BD929" s="200"/>
    </row>
    <row r="930" spans="32:56" ht="24" customHeight="1" x14ac:dyDescent="0.25">
      <c r="AF930" s="200"/>
      <c r="AG930" s="200"/>
      <c r="AH930" s="200"/>
      <c r="AI930" s="200"/>
      <c r="AJ930" s="200"/>
      <c r="AK930" s="200"/>
      <c r="AL930" s="200"/>
      <c r="AM930" s="200"/>
      <c r="AN930" s="200"/>
      <c r="AO930" s="200"/>
      <c r="AP930" s="200"/>
      <c r="AQ930" s="200"/>
      <c r="AR930" s="200"/>
      <c r="AS930" s="200"/>
      <c r="AT930" s="200"/>
      <c r="AU930" s="200"/>
      <c r="AV930" s="200"/>
      <c r="AW930" s="200"/>
      <c r="AX930" s="200"/>
      <c r="AY930" s="200"/>
      <c r="AZ930" s="200"/>
      <c r="BA930" s="200"/>
      <c r="BB930" s="200"/>
      <c r="BC930" s="200"/>
      <c r="BD930" s="200"/>
    </row>
    <row r="931" spans="32:56" ht="24" customHeight="1" x14ac:dyDescent="0.25">
      <c r="AF931" s="200"/>
      <c r="AG931" s="200"/>
      <c r="AH931" s="200"/>
      <c r="AI931" s="200"/>
      <c r="AJ931" s="200"/>
      <c r="AK931" s="200"/>
      <c r="AL931" s="200"/>
      <c r="AM931" s="200"/>
      <c r="AN931" s="200"/>
      <c r="AO931" s="200"/>
      <c r="AP931" s="200"/>
      <c r="AQ931" s="200"/>
      <c r="AR931" s="200"/>
      <c r="AS931" s="200"/>
      <c r="AT931" s="200"/>
      <c r="AU931" s="200"/>
      <c r="AV931" s="200"/>
      <c r="AW931" s="200"/>
      <c r="AX931" s="200"/>
      <c r="AY931" s="200"/>
      <c r="AZ931" s="200"/>
      <c r="BA931" s="200"/>
      <c r="BB931" s="200"/>
      <c r="BC931" s="200"/>
      <c r="BD931" s="200"/>
    </row>
    <row r="932" spans="32:56" ht="24" customHeight="1" x14ac:dyDescent="0.25">
      <c r="AF932" s="200"/>
      <c r="AG932" s="200"/>
      <c r="AH932" s="200"/>
      <c r="AI932" s="200"/>
      <c r="AJ932" s="200"/>
      <c r="AK932" s="200"/>
      <c r="AL932" s="200"/>
      <c r="AM932" s="200"/>
      <c r="AN932" s="200"/>
      <c r="AO932" s="200"/>
      <c r="AP932" s="200"/>
      <c r="AQ932" s="200"/>
      <c r="AR932" s="200"/>
      <c r="AS932" s="200"/>
      <c r="AT932" s="200"/>
      <c r="AU932" s="200"/>
      <c r="AV932" s="200"/>
      <c r="AW932" s="200"/>
      <c r="AX932" s="200"/>
      <c r="AY932" s="200"/>
      <c r="AZ932" s="200"/>
      <c r="BA932" s="200"/>
      <c r="BB932" s="200"/>
      <c r="BC932" s="200"/>
      <c r="BD932" s="200"/>
    </row>
    <row r="933" spans="32:56" ht="24" customHeight="1" x14ac:dyDescent="0.25">
      <c r="AF933" s="200"/>
      <c r="AG933" s="200"/>
      <c r="AH933" s="200"/>
      <c r="AI933" s="200"/>
      <c r="AJ933" s="200"/>
      <c r="AK933" s="200"/>
      <c r="AL933" s="200"/>
      <c r="AM933" s="200"/>
      <c r="AN933" s="200"/>
      <c r="AO933" s="200"/>
      <c r="AP933" s="200"/>
      <c r="AQ933" s="200"/>
      <c r="AR933" s="200"/>
      <c r="AS933" s="200"/>
      <c r="AT933" s="200"/>
      <c r="AU933" s="200"/>
      <c r="AV933" s="200"/>
      <c r="AW933" s="200"/>
      <c r="AX933" s="200"/>
      <c r="AY933" s="200"/>
      <c r="AZ933" s="200"/>
      <c r="BA933" s="200"/>
      <c r="BB933" s="200"/>
      <c r="BC933" s="200"/>
      <c r="BD933" s="200"/>
    </row>
    <row r="934" spans="32:56" ht="24" customHeight="1" x14ac:dyDescent="0.25">
      <c r="AF934" s="200"/>
      <c r="AG934" s="200"/>
      <c r="AH934" s="200"/>
      <c r="AI934" s="200"/>
      <c r="AJ934" s="200"/>
      <c r="AK934" s="200"/>
      <c r="AL934" s="200"/>
      <c r="AM934" s="200"/>
      <c r="AN934" s="200"/>
      <c r="AO934" s="200"/>
      <c r="AP934" s="200"/>
      <c r="AQ934" s="200"/>
      <c r="AR934" s="200"/>
      <c r="AS934" s="200"/>
      <c r="AT934" s="200"/>
      <c r="AU934" s="200"/>
      <c r="AV934" s="200"/>
      <c r="AW934" s="200"/>
      <c r="AX934" s="200"/>
      <c r="AY934" s="200"/>
      <c r="AZ934" s="200"/>
      <c r="BA934" s="200"/>
      <c r="BB934" s="200"/>
      <c r="BC934" s="200"/>
      <c r="BD934" s="200"/>
    </row>
    <row r="935" spans="32:56" ht="24" customHeight="1" x14ac:dyDescent="0.25">
      <c r="AF935" s="200"/>
      <c r="AG935" s="200"/>
      <c r="AH935" s="200"/>
      <c r="AI935" s="200"/>
      <c r="AJ935" s="200"/>
      <c r="AK935" s="200"/>
      <c r="AL935" s="200"/>
      <c r="AM935" s="200"/>
      <c r="AN935" s="200"/>
      <c r="AO935" s="200"/>
      <c r="AP935" s="200"/>
      <c r="AQ935" s="200"/>
      <c r="AR935" s="200"/>
      <c r="AS935" s="200"/>
      <c r="AT935" s="200"/>
      <c r="AU935" s="200"/>
      <c r="AV935" s="200"/>
      <c r="AW935" s="200"/>
      <c r="AX935" s="200"/>
      <c r="AY935" s="200"/>
      <c r="AZ935" s="200"/>
      <c r="BA935" s="200"/>
      <c r="BB935" s="200"/>
      <c r="BC935" s="200"/>
      <c r="BD935" s="200"/>
    </row>
    <row r="936" spans="32:56" ht="24" customHeight="1" x14ac:dyDescent="0.25">
      <c r="AF936" s="200"/>
      <c r="AG936" s="200"/>
      <c r="AH936" s="200"/>
      <c r="AI936" s="200"/>
      <c r="AJ936" s="200"/>
      <c r="AK936" s="200"/>
      <c r="AL936" s="200"/>
      <c r="AM936" s="200"/>
      <c r="AN936" s="200"/>
      <c r="AO936" s="200"/>
      <c r="AP936" s="200"/>
      <c r="AQ936" s="200"/>
      <c r="AR936" s="200"/>
      <c r="AS936" s="200"/>
      <c r="AT936" s="200"/>
      <c r="AU936" s="200"/>
      <c r="AV936" s="200"/>
      <c r="AW936" s="200"/>
      <c r="AX936" s="200"/>
      <c r="AY936" s="200"/>
      <c r="AZ936" s="200"/>
      <c r="BA936" s="200"/>
      <c r="BB936" s="200"/>
      <c r="BC936" s="200"/>
      <c r="BD936" s="200"/>
    </row>
    <row r="937" spans="32:56" ht="24" customHeight="1" x14ac:dyDescent="0.25">
      <c r="AF937" s="200"/>
      <c r="AG937" s="200"/>
      <c r="AH937" s="200"/>
      <c r="AI937" s="200"/>
      <c r="AJ937" s="200"/>
      <c r="AK937" s="200"/>
      <c r="AL937" s="200"/>
      <c r="AM937" s="200"/>
      <c r="AN937" s="200"/>
      <c r="AO937" s="200"/>
      <c r="AP937" s="200"/>
      <c r="AQ937" s="200"/>
      <c r="AR937" s="200"/>
      <c r="AS937" s="200"/>
      <c r="AT937" s="200"/>
      <c r="AU937" s="200"/>
      <c r="AV937" s="200"/>
      <c r="AW937" s="200"/>
      <c r="AX937" s="200"/>
      <c r="AY937" s="200"/>
      <c r="AZ937" s="200"/>
      <c r="BA937" s="200"/>
      <c r="BB937" s="200"/>
      <c r="BC937" s="200"/>
      <c r="BD937" s="200"/>
    </row>
    <row r="938" spans="32:56" ht="24" customHeight="1" x14ac:dyDescent="0.25">
      <c r="AF938" s="200"/>
      <c r="AG938" s="200"/>
      <c r="AH938" s="200"/>
      <c r="AI938" s="200"/>
      <c r="AJ938" s="200"/>
      <c r="AK938" s="200"/>
      <c r="AL938" s="200"/>
      <c r="AM938" s="200"/>
      <c r="AN938" s="200"/>
      <c r="AO938" s="200"/>
      <c r="AP938" s="200"/>
      <c r="AQ938" s="200"/>
      <c r="AR938" s="200"/>
      <c r="AS938" s="200"/>
      <c r="AT938" s="200"/>
      <c r="AU938" s="200"/>
      <c r="AV938" s="200"/>
      <c r="AW938" s="200"/>
      <c r="AX938" s="200"/>
      <c r="AY938" s="200"/>
      <c r="AZ938" s="200"/>
      <c r="BA938" s="200"/>
      <c r="BB938" s="200"/>
      <c r="BC938" s="200"/>
      <c r="BD938" s="200"/>
    </row>
    <row r="939" spans="32:56" ht="24" customHeight="1" x14ac:dyDescent="0.25">
      <c r="AF939" s="200"/>
      <c r="AG939" s="200"/>
      <c r="AH939" s="200"/>
      <c r="AI939" s="200"/>
      <c r="AJ939" s="200"/>
      <c r="AK939" s="200"/>
      <c r="AL939" s="200"/>
      <c r="AM939" s="200"/>
      <c r="AN939" s="200"/>
      <c r="AO939" s="200"/>
      <c r="AP939" s="200"/>
      <c r="AQ939" s="200"/>
      <c r="AR939" s="200"/>
      <c r="AS939" s="200"/>
      <c r="AT939" s="200"/>
      <c r="AU939" s="200"/>
      <c r="AV939" s="200"/>
      <c r="AW939" s="200"/>
      <c r="AX939" s="200"/>
      <c r="AY939" s="200"/>
      <c r="AZ939" s="200"/>
      <c r="BA939" s="200"/>
      <c r="BB939" s="200"/>
      <c r="BC939" s="200"/>
      <c r="BD939" s="200"/>
    </row>
    <row r="940" spans="32:56" ht="24" customHeight="1" x14ac:dyDescent="0.25">
      <c r="AF940" s="200"/>
      <c r="AG940" s="200"/>
      <c r="AH940" s="200"/>
      <c r="AI940" s="200"/>
      <c r="AJ940" s="200"/>
      <c r="AK940" s="200"/>
      <c r="AL940" s="200"/>
      <c r="AM940" s="200"/>
      <c r="AN940" s="200"/>
      <c r="AO940" s="200"/>
      <c r="AP940" s="200"/>
      <c r="AQ940" s="200"/>
      <c r="AR940" s="200"/>
      <c r="AS940" s="200"/>
      <c r="AT940" s="200"/>
      <c r="AU940" s="200"/>
      <c r="AV940" s="200"/>
      <c r="AW940" s="200"/>
      <c r="AX940" s="200"/>
      <c r="AY940" s="200"/>
      <c r="AZ940" s="200"/>
      <c r="BA940" s="200"/>
      <c r="BB940" s="200"/>
      <c r="BC940" s="200"/>
      <c r="BD940" s="200"/>
    </row>
    <row r="941" spans="32:56" ht="24" customHeight="1" x14ac:dyDescent="0.25">
      <c r="AF941" s="200"/>
      <c r="AG941" s="200"/>
      <c r="AH941" s="200"/>
      <c r="AI941" s="200"/>
      <c r="AJ941" s="200"/>
      <c r="AK941" s="200"/>
      <c r="AL941" s="200"/>
      <c r="AM941" s="200"/>
      <c r="AN941" s="200"/>
      <c r="AO941" s="200"/>
      <c r="AP941" s="200"/>
      <c r="AQ941" s="200"/>
      <c r="AR941" s="200"/>
      <c r="AS941" s="200"/>
      <c r="AT941" s="200"/>
      <c r="AU941" s="200"/>
      <c r="AV941" s="200"/>
      <c r="AW941" s="200"/>
      <c r="AX941" s="200"/>
      <c r="AY941" s="200"/>
      <c r="AZ941" s="200"/>
      <c r="BA941" s="200"/>
      <c r="BB941" s="200"/>
      <c r="BC941" s="200"/>
      <c r="BD941" s="200"/>
    </row>
    <row r="942" spans="32:56" ht="24" customHeight="1" x14ac:dyDescent="0.25">
      <c r="AF942" s="200"/>
      <c r="AG942" s="200"/>
      <c r="AH942" s="200"/>
      <c r="AI942" s="200"/>
      <c r="AJ942" s="200"/>
      <c r="AK942" s="200"/>
      <c r="AL942" s="200"/>
      <c r="AM942" s="200"/>
      <c r="AN942" s="200"/>
      <c r="AO942" s="200"/>
      <c r="AP942" s="200"/>
      <c r="AQ942" s="200"/>
      <c r="AR942" s="200"/>
      <c r="AS942" s="200"/>
      <c r="AT942" s="200"/>
      <c r="AU942" s="200"/>
      <c r="AV942" s="200"/>
      <c r="AW942" s="200"/>
      <c r="AX942" s="200"/>
      <c r="AY942" s="200"/>
      <c r="AZ942" s="200"/>
      <c r="BA942" s="200"/>
      <c r="BB942" s="200"/>
      <c r="BC942" s="200"/>
      <c r="BD942" s="200"/>
    </row>
    <row r="943" spans="32:56" ht="24" customHeight="1" x14ac:dyDescent="0.25">
      <c r="AF943" s="200"/>
      <c r="AG943" s="200"/>
      <c r="AH943" s="200"/>
      <c r="AI943" s="200"/>
      <c r="AJ943" s="200"/>
      <c r="AK943" s="200"/>
      <c r="AL943" s="200"/>
      <c r="AM943" s="200"/>
      <c r="AN943" s="200"/>
      <c r="AO943" s="200"/>
      <c r="AP943" s="200"/>
      <c r="AQ943" s="200"/>
      <c r="AR943" s="200"/>
      <c r="AS943" s="200"/>
      <c r="AT943" s="200"/>
      <c r="AU943" s="200"/>
      <c r="AV943" s="200"/>
      <c r="AW943" s="200"/>
      <c r="AX943" s="200"/>
      <c r="AY943" s="200"/>
      <c r="AZ943" s="200"/>
      <c r="BA943" s="200"/>
      <c r="BB943" s="200"/>
      <c r="BC943" s="200"/>
      <c r="BD943" s="200"/>
    </row>
    <row r="944" spans="32:56" ht="24" customHeight="1" x14ac:dyDescent="0.25">
      <c r="AF944" s="200"/>
      <c r="AG944" s="200"/>
      <c r="AH944" s="200"/>
      <c r="AI944" s="200"/>
      <c r="AJ944" s="200"/>
      <c r="AK944" s="200"/>
      <c r="AL944" s="200"/>
      <c r="AM944" s="200"/>
      <c r="AN944" s="200"/>
      <c r="AO944" s="200"/>
      <c r="AP944" s="200"/>
      <c r="AQ944" s="200"/>
      <c r="AR944" s="200"/>
      <c r="AS944" s="200"/>
      <c r="AT944" s="200"/>
      <c r="AU944" s="200"/>
      <c r="AV944" s="200"/>
      <c r="AW944" s="200"/>
      <c r="AX944" s="200"/>
      <c r="AY944" s="200"/>
      <c r="AZ944" s="200"/>
      <c r="BA944" s="200"/>
      <c r="BB944" s="200"/>
      <c r="BC944" s="200"/>
      <c r="BD944" s="200"/>
    </row>
    <row r="945" spans="32:56" ht="24" customHeight="1" x14ac:dyDescent="0.25">
      <c r="AF945" s="200"/>
      <c r="AG945" s="200"/>
      <c r="AH945" s="200"/>
      <c r="AI945" s="200"/>
      <c r="AJ945" s="200"/>
      <c r="AK945" s="200"/>
      <c r="AL945" s="200"/>
      <c r="AM945" s="200"/>
      <c r="AN945" s="200"/>
      <c r="AO945" s="200"/>
      <c r="AP945" s="200"/>
      <c r="AQ945" s="200"/>
      <c r="AR945" s="200"/>
      <c r="AS945" s="200"/>
      <c r="AT945" s="200"/>
      <c r="AU945" s="200"/>
      <c r="AV945" s="200"/>
      <c r="AW945" s="200"/>
      <c r="AX945" s="200"/>
      <c r="AY945" s="200"/>
      <c r="AZ945" s="200"/>
      <c r="BA945" s="200"/>
      <c r="BB945" s="200"/>
      <c r="BC945" s="200"/>
      <c r="BD945" s="200"/>
    </row>
    <row r="946" spans="32:56" ht="24" customHeight="1" x14ac:dyDescent="0.25">
      <c r="AF946" s="200"/>
      <c r="AG946" s="200"/>
      <c r="AH946" s="200"/>
      <c r="AI946" s="200"/>
      <c r="AJ946" s="200"/>
      <c r="AK946" s="200"/>
      <c r="AL946" s="200"/>
      <c r="AM946" s="200"/>
      <c r="AN946" s="200"/>
      <c r="AO946" s="200"/>
      <c r="AP946" s="200"/>
      <c r="AQ946" s="200"/>
      <c r="AR946" s="200"/>
      <c r="AS946" s="200"/>
      <c r="AT946" s="200"/>
      <c r="AU946" s="200"/>
      <c r="AV946" s="200"/>
      <c r="AW946" s="200"/>
      <c r="AX946" s="200"/>
      <c r="AY946" s="200"/>
      <c r="AZ946" s="200"/>
      <c r="BA946" s="200"/>
      <c r="BB946" s="200"/>
      <c r="BC946" s="200"/>
      <c r="BD946" s="200"/>
    </row>
    <row r="947" spans="32:56" ht="24" customHeight="1" x14ac:dyDescent="0.25">
      <c r="AF947" s="200"/>
      <c r="AG947" s="200"/>
      <c r="AH947" s="200"/>
      <c r="AI947" s="200"/>
      <c r="AJ947" s="200"/>
      <c r="AK947" s="200"/>
      <c r="AL947" s="200"/>
      <c r="AM947" s="200"/>
      <c r="AN947" s="200"/>
      <c r="AO947" s="200"/>
      <c r="AP947" s="200"/>
      <c r="AQ947" s="200"/>
      <c r="AR947" s="200"/>
      <c r="AS947" s="200"/>
      <c r="AT947" s="200"/>
      <c r="AU947" s="200"/>
      <c r="AV947" s="200"/>
      <c r="AW947" s="200"/>
      <c r="AX947" s="200"/>
      <c r="AY947" s="200"/>
      <c r="AZ947" s="200"/>
      <c r="BA947" s="200"/>
      <c r="BB947" s="200"/>
      <c r="BC947" s="200"/>
      <c r="BD947" s="200"/>
    </row>
    <row r="948" spans="32:56" ht="24" customHeight="1" x14ac:dyDescent="0.25">
      <c r="AF948" s="200"/>
      <c r="AG948" s="200"/>
      <c r="AH948" s="200"/>
      <c r="AI948" s="200"/>
      <c r="AJ948" s="200"/>
      <c r="AK948" s="200"/>
      <c r="AL948" s="200"/>
      <c r="AM948" s="200"/>
      <c r="AN948" s="200"/>
      <c r="AO948" s="200"/>
      <c r="AP948" s="200"/>
      <c r="AQ948" s="200"/>
      <c r="AR948" s="200"/>
      <c r="AS948" s="200"/>
      <c r="AT948" s="200"/>
      <c r="AU948" s="200"/>
      <c r="AV948" s="200"/>
      <c r="AW948" s="200"/>
      <c r="AX948" s="200"/>
      <c r="AY948" s="200"/>
      <c r="AZ948" s="200"/>
      <c r="BA948" s="200"/>
      <c r="BB948" s="200"/>
      <c r="BC948" s="200"/>
      <c r="BD948" s="200"/>
    </row>
    <row r="949" spans="32:56" ht="24" customHeight="1" x14ac:dyDescent="0.25">
      <c r="AF949" s="200"/>
      <c r="AG949" s="200"/>
      <c r="AH949" s="200"/>
      <c r="AI949" s="200"/>
      <c r="AJ949" s="200"/>
      <c r="AK949" s="200"/>
      <c r="AL949" s="200"/>
      <c r="AM949" s="200"/>
      <c r="AN949" s="200"/>
      <c r="AO949" s="200"/>
      <c r="AP949" s="200"/>
      <c r="AQ949" s="200"/>
      <c r="AR949" s="200"/>
      <c r="AS949" s="200"/>
      <c r="AT949" s="200"/>
      <c r="AU949" s="200"/>
      <c r="AV949" s="200"/>
      <c r="AW949" s="200"/>
      <c r="AX949" s="200"/>
      <c r="AY949" s="200"/>
      <c r="AZ949" s="200"/>
      <c r="BA949" s="200"/>
      <c r="BB949" s="200"/>
      <c r="BC949" s="200"/>
      <c r="BD949" s="200"/>
    </row>
    <row r="950" spans="32:56" ht="24" customHeight="1" x14ac:dyDescent="0.25">
      <c r="AF950" s="200"/>
      <c r="AG950" s="200"/>
      <c r="AH950" s="200"/>
      <c r="AI950" s="200"/>
      <c r="AJ950" s="200"/>
      <c r="AK950" s="200"/>
      <c r="AL950" s="200"/>
      <c r="AM950" s="200"/>
      <c r="AN950" s="200"/>
      <c r="AO950" s="200"/>
      <c r="AP950" s="200"/>
      <c r="AQ950" s="200"/>
      <c r="AR950" s="200"/>
      <c r="AS950" s="200"/>
      <c r="AT950" s="200"/>
      <c r="AU950" s="200"/>
      <c r="AV950" s="200"/>
      <c r="AW950" s="200"/>
      <c r="AX950" s="200"/>
      <c r="AY950" s="200"/>
      <c r="AZ950" s="200"/>
      <c r="BA950" s="200"/>
      <c r="BB950" s="200"/>
      <c r="BC950" s="200"/>
      <c r="BD950" s="200"/>
    </row>
    <row r="951" spans="32:56" ht="24" customHeight="1" x14ac:dyDescent="0.25">
      <c r="AF951" s="200"/>
      <c r="AG951" s="200"/>
      <c r="AH951" s="200"/>
      <c r="AI951" s="200"/>
      <c r="AJ951" s="200"/>
      <c r="AK951" s="200"/>
      <c r="AL951" s="200"/>
      <c r="AM951" s="200"/>
      <c r="AN951" s="200"/>
      <c r="AO951" s="200"/>
      <c r="AP951" s="200"/>
      <c r="AQ951" s="200"/>
      <c r="AR951" s="200"/>
      <c r="AS951" s="200"/>
      <c r="AT951" s="200"/>
      <c r="AU951" s="200"/>
      <c r="AV951" s="200"/>
      <c r="AW951" s="200"/>
      <c r="AX951" s="200"/>
      <c r="AY951" s="200"/>
      <c r="AZ951" s="200"/>
      <c r="BA951" s="200"/>
      <c r="BB951" s="200"/>
      <c r="BC951" s="200"/>
      <c r="BD951" s="200"/>
    </row>
  </sheetData>
  <mergeCells count="53">
    <mergeCell ref="B2:B22"/>
    <mergeCell ref="C2:U2"/>
    <mergeCell ref="V2:Y2"/>
    <mergeCell ref="C3:C4"/>
    <mergeCell ref="D3:U3"/>
    <mergeCell ref="V3:Y3"/>
    <mergeCell ref="D4:I4"/>
    <mergeCell ref="J4:O4"/>
    <mergeCell ref="P4:U4"/>
    <mergeCell ref="V4:Y4"/>
    <mergeCell ref="D11:I11"/>
    <mergeCell ref="J11:O11"/>
    <mergeCell ref="P11:U11"/>
    <mergeCell ref="C5:C11"/>
    <mergeCell ref="D9:E9"/>
    <mergeCell ref="F9:G9"/>
    <mergeCell ref="H9:I9"/>
    <mergeCell ref="J9:K9"/>
    <mergeCell ref="L9:M9"/>
    <mergeCell ref="T12:U12"/>
    <mergeCell ref="N9:O9"/>
    <mergeCell ref="P9:Q9"/>
    <mergeCell ref="R9:S9"/>
    <mergeCell ref="T9:U9"/>
    <mergeCell ref="D12:G12"/>
    <mergeCell ref="H12:I12"/>
    <mergeCell ref="J12:M12"/>
    <mergeCell ref="N12:O12"/>
    <mergeCell ref="P12:S12"/>
    <mergeCell ref="C15:C21"/>
    <mergeCell ref="J17:K17"/>
    <mergeCell ref="L17:M17"/>
    <mergeCell ref="N17:O17"/>
    <mergeCell ref="D18:E18"/>
    <mergeCell ref="C13:C14"/>
    <mergeCell ref="D13:U13"/>
    <mergeCell ref="D14:I14"/>
    <mergeCell ref="J14:O14"/>
    <mergeCell ref="P14:U14"/>
    <mergeCell ref="T22:U22"/>
    <mergeCell ref="F18:G18"/>
    <mergeCell ref="H18:I18"/>
    <mergeCell ref="P19:Q19"/>
    <mergeCell ref="R19:S19"/>
    <mergeCell ref="T19:U19"/>
    <mergeCell ref="D21:I21"/>
    <mergeCell ref="J21:O21"/>
    <mergeCell ref="P21:U21"/>
    <mergeCell ref="D22:G22"/>
    <mergeCell ref="H22:I22"/>
    <mergeCell ref="J22:M22"/>
    <mergeCell ref="N22:O22"/>
    <mergeCell ref="P22:S22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11 J11 P11">
    <cfRule type="containsText" dxfId="16" priority="2" operator="containsText" text="VEGA">
      <formula>NOT(ISERROR(SEARCH(("VEGA"),(D11))))</formula>
    </cfRule>
    <cfRule type="containsText" dxfId="15" priority="3" operator="containsText" text="LÍDER">
      <formula>NOT(ISERROR(SEARCH(("LÍDER"),(D11))))</formula>
    </cfRule>
    <cfRule type="containsText" dxfId="14" priority="4" operator="containsText" text="GLOBAL">
      <formula>NOT(ISERROR(SEARCH(("GLOBAL"),(D11))))</formula>
    </cfRule>
    <cfRule type="containsText" dxfId="13" priority="5" operator="containsText" text="COROADO">
      <formula>NOT(ISERROR(SEARCH(("COROADO"),(D11))))</formula>
    </cfRule>
    <cfRule type="containsText" dxfId="12" priority="6" operator="containsText" text="VIA VERDE">
      <formula>NOT(ISERROR(SEARCH(("VIA VERDE"),(D11))))</formula>
    </cfRule>
    <cfRule type="containsText" dxfId="11" priority="7" operator="containsText" text="INTEGRAÇÃO">
      <formula>NOT(ISERROR(SEARCH(("INTEGRAÇÃO"),(D11))))</formula>
    </cfRule>
    <cfRule type="containsText" dxfId="10" priority="8" operator="containsText" text="SÃO PEDRO">
      <formula>NOT(ISERROR(SEARCH(("SÃO PEDRO"),(D11))))</formula>
    </cfRule>
  </conditionalFormatting>
  <conditionalFormatting sqref="D21 J21 P21">
    <cfRule type="containsText" dxfId="9" priority="9" operator="containsText" text="VEGA">
      <formula>NOT(ISERROR(SEARCH(("VEGA"),(D21))))</formula>
    </cfRule>
    <cfRule type="containsText" dxfId="8" priority="10" operator="containsText" text="LÍDER">
      <formula>NOT(ISERROR(SEARCH(("LÍDER"),(D21))))</formula>
    </cfRule>
    <cfRule type="containsText" dxfId="7" priority="11" operator="containsText" text="GLOBAL">
      <formula>NOT(ISERROR(SEARCH(("GLOBAL"),(D21))))</formula>
    </cfRule>
    <cfRule type="containsText" dxfId="6" priority="12" operator="containsText" text="COROADO">
      <formula>NOT(ISERROR(SEARCH(("COROADO"),(D21))))</formula>
    </cfRule>
    <cfRule type="containsText" dxfId="5" priority="13" operator="containsText" text="VIA VERDE">
      <formula>NOT(ISERROR(SEARCH(("VIA VERDE"),(D21))))</formula>
    </cfRule>
    <cfRule type="containsText" dxfId="4" priority="14" operator="containsText" text="INTEGRAÇÃO">
      <formula>NOT(ISERROR(SEARCH(("INTEGRAÇÃO"),(D21))))</formula>
    </cfRule>
    <cfRule type="containsText" dxfId="3" priority="15" operator="containsText" text="SÃO PEDRO">
      <formula>NOT(ISERROR(SEARCH(("SÃO PEDRO"),(D21))))</formula>
    </cfRule>
  </conditionalFormatting>
  <conditionalFormatting sqref="D4:I4">
    <cfRule type="expression" dxfId="2" priority="16" stopIfTrue="1">
      <formula>LEN($D4)=14</formula>
    </cfRule>
  </conditionalFormatting>
  <conditionalFormatting sqref="J4:O4">
    <cfRule type="expression" dxfId="1" priority="17">
      <formula>LEN($J4)=14</formula>
    </cfRule>
  </conditionalFormatting>
  <conditionalFormatting sqref="P4:U4">
    <cfRule type="expression" dxfId="0" priority="18">
      <formula>LEN($P4)=14</formula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011</vt:lpstr>
      <vt:lpstr>101</vt:lpstr>
      <vt:lpstr>110</vt:lpstr>
      <vt:lpstr>111</vt:lpstr>
      <vt:lpstr>112</vt:lpstr>
      <vt:lpstr>113</vt:lpstr>
      <vt:lpstr>119</vt:lpstr>
      <vt:lpstr>120</vt:lpstr>
      <vt:lpstr>121</vt:lpstr>
      <vt:lpstr>123</vt:lpstr>
      <vt:lpstr>126</vt:lpstr>
      <vt:lpstr>127</vt:lpstr>
      <vt:lpstr>129</vt:lpstr>
      <vt:lpstr>211</vt:lpstr>
      <vt:lpstr>216</vt:lpstr>
      <vt:lpstr>219</vt:lpstr>
      <vt:lpstr>221</vt:lpstr>
      <vt:lpstr>302</vt:lpstr>
      <vt:lpstr>305</vt:lpstr>
      <vt:lpstr>306</vt:lpstr>
      <vt:lpstr>320</vt:lpstr>
      <vt:lpstr>321</vt:lpstr>
      <vt:lpstr>324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Lopes</dc:creator>
  <cp:lastModifiedBy>Acop Powerbi</cp:lastModifiedBy>
  <dcterms:created xsi:type="dcterms:W3CDTF">2026-09-01T12:33:28Z</dcterms:created>
  <dcterms:modified xsi:type="dcterms:W3CDTF">2026-09-02T14:52:50Z</dcterms:modified>
</cp:coreProperties>
</file>